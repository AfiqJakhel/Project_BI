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firstSheet="4" activeTab="13"/>
  </bookViews>
  <sheets>
    <sheet name="AGUSTUS" sheetId="1" r:id="rId1"/>
    <sheet name="JULI" sheetId="2" r:id="rId2"/>
    <sheet name="JUNI" sheetId="3" r:id="rId3"/>
    <sheet name="Sheet4" sheetId="4" r:id="rId4"/>
    <sheet name="Sheet5" sheetId="5" r:id="rId5"/>
    <sheet name="MEI" sheetId="6" r:id="rId6"/>
    <sheet name="APRIL" sheetId="7" r:id="rId7"/>
    <sheet name="MARET" sheetId="8" r:id="rId8"/>
    <sheet name="FEBRUARI" sheetId="9" r:id="rId9"/>
    <sheet name="JANUARI" sheetId="10" r:id="rId10"/>
    <sheet name="SEPTEMBER" sheetId="11" r:id="rId11"/>
    <sheet name="OKTOBER" sheetId="12" r:id="rId12"/>
    <sheet name="NOVEMBER" sheetId="13" r:id="rId13"/>
    <sheet name="DESEMBER" sheetId="14" r:id="rId14"/>
    <sheet name="Sheet1" sheetId="15" r:id="rId15"/>
    <sheet name="Sheet2" sheetId="16" r:id="rId16"/>
  </sheets>
  <calcPr calcId="125725"/>
</workbook>
</file>

<file path=xl/calcChain.xml><?xml version="1.0" encoding="utf-8"?>
<calcChain xmlns="http://schemas.openxmlformats.org/spreadsheetml/2006/main">
  <c r="F10" i="15"/>
  <c r="F38" s="1"/>
  <c r="D10"/>
  <c r="G10"/>
  <c r="G38" s="1"/>
  <c r="G9"/>
  <c r="F9"/>
  <c r="G8"/>
  <c r="F8"/>
  <c r="D8"/>
  <c r="L29"/>
  <c r="G7"/>
  <c r="F7"/>
  <c r="D7"/>
  <c r="D38" s="1"/>
  <c r="L34"/>
  <c r="E38"/>
  <c r="C38"/>
  <c r="B38"/>
  <c r="G6"/>
  <c r="F6"/>
  <c r="D6"/>
  <c r="F36" i="14"/>
  <c r="G36"/>
  <c r="D36"/>
  <c r="F35"/>
  <c r="G35"/>
  <c r="D35"/>
  <c r="F34"/>
  <c r="G34"/>
  <c r="D34"/>
  <c r="F33"/>
  <c r="G33"/>
  <c r="D33"/>
  <c r="F32"/>
  <c r="G32"/>
  <c r="D32"/>
  <c r="G31"/>
  <c r="F31"/>
  <c r="D31"/>
  <c r="F29"/>
  <c r="G29"/>
  <c r="D29"/>
  <c r="F28"/>
  <c r="G28"/>
  <c r="D28"/>
  <c r="F27"/>
  <c r="G27"/>
  <c r="D27"/>
  <c r="F26"/>
  <c r="G26"/>
  <c r="D26"/>
  <c r="F25"/>
  <c r="G25"/>
  <c r="D25"/>
  <c r="G24"/>
  <c r="F24"/>
  <c r="D24"/>
  <c r="F22"/>
  <c r="G22"/>
  <c r="D22"/>
  <c r="F21"/>
  <c r="G21"/>
  <c r="D21"/>
  <c r="F20"/>
  <c r="G20"/>
  <c r="D20"/>
  <c r="F19"/>
  <c r="G19"/>
  <c r="D19"/>
  <c r="F18"/>
  <c r="G18"/>
  <c r="D18"/>
  <c r="G17"/>
  <c r="F17"/>
  <c r="D17"/>
  <c r="F15"/>
  <c r="G15"/>
  <c r="D15"/>
  <c r="G14"/>
  <c r="F14"/>
  <c r="D14"/>
  <c r="G13"/>
  <c r="F13"/>
  <c r="F12"/>
  <c r="G12"/>
  <c r="D12"/>
  <c r="G11"/>
  <c r="F11"/>
  <c r="D11"/>
  <c r="G9"/>
  <c r="F9"/>
  <c r="G10"/>
  <c r="F10"/>
  <c r="G8"/>
  <c r="F8"/>
  <c r="D8"/>
  <c r="G7"/>
  <c r="F7"/>
  <c r="K47"/>
  <c r="K57"/>
  <c r="E56"/>
  <c r="C56"/>
  <c r="B56"/>
  <c r="G6"/>
  <c r="D6"/>
  <c r="F6" s="1"/>
  <c r="F35" i="13"/>
  <c r="G35"/>
  <c r="D35"/>
  <c r="F34"/>
  <c r="G34"/>
  <c r="D34"/>
  <c r="G33"/>
  <c r="F33"/>
  <c r="F31"/>
  <c r="G31"/>
  <c r="D31"/>
  <c r="F30"/>
  <c r="G30"/>
  <c r="D30"/>
  <c r="F29"/>
  <c r="G29"/>
  <c r="D29"/>
  <c r="F28"/>
  <c r="G28"/>
  <c r="C57"/>
  <c r="B57"/>
  <c r="G27"/>
  <c r="D27"/>
  <c r="F27" s="1"/>
  <c r="G26"/>
  <c r="F26"/>
  <c r="D26"/>
  <c r="G24"/>
  <c r="D24"/>
  <c r="F24" s="1"/>
  <c r="G23"/>
  <c r="D23"/>
  <c r="F23" s="1"/>
  <c r="G22"/>
  <c r="D22"/>
  <c r="F22" s="1"/>
  <c r="G21"/>
  <c r="D21"/>
  <c r="F21" s="1"/>
  <c r="G20"/>
  <c r="D20"/>
  <c r="F20" s="1"/>
  <c r="G19"/>
  <c r="D19"/>
  <c r="F19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F12"/>
  <c r="D12"/>
  <c r="G10"/>
  <c r="D10"/>
  <c r="F10" s="1"/>
  <c r="K48"/>
  <c r="G9"/>
  <c r="D9"/>
  <c r="F9" s="1"/>
  <c r="G8"/>
  <c r="F8"/>
  <c r="D8"/>
  <c r="K58"/>
  <c r="E57"/>
  <c r="G7"/>
  <c r="D7"/>
  <c r="F7" s="1"/>
  <c r="G6"/>
  <c r="D6"/>
  <c r="F6" s="1"/>
  <c r="G36" i="12"/>
  <c r="F36"/>
  <c r="D36"/>
  <c r="F34"/>
  <c r="G34"/>
  <c r="D34"/>
  <c r="G33"/>
  <c r="D33"/>
  <c r="F33" s="1"/>
  <c r="G32"/>
  <c r="D32"/>
  <c r="F32" s="1"/>
  <c r="G31"/>
  <c r="F31"/>
  <c r="D31"/>
  <c r="G30"/>
  <c r="D30"/>
  <c r="F30" s="1"/>
  <c r="G29"/>
  <c r="F29"/>
  <c r="D29"/>
  <c r="F27"/>
  <c r="G27"/>
  <c r="G26"/>
  <c r="D26"/>
  <c r="F26" s="1"/>
  <c r="G25"/>
  <c r="D25"/>
  <c r="F25" s="1"/>
  <c r="G24"/>
  <c r="D24"/>
  <c r="F24" s="1"/>
  <c r="G23"/>
  <c r="D23"/>
  <c r="F23" s="1"/>
  <c r="G22"/>
  <c r="D22"/>
  <c r="F22" s="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3"/>
  <c r="D13"/>
  <c r="F13" s="1"/>
  <c r="G12"/>
  <c r="D12"/>
  <c r="F12" s="1"/>
  <c r="G11"/>
  <c r="F11"/>
  <c r="D11"/>
  <c r="D8"/>
  <c r="G10"/>
  <c r="F10"/>
  <c r="D10"/>
  <c r="G9"/>
  <c r="D9"/>
  <c r="F9" s="1"/>
  <c r="K41"/>
  <c r="K35"/>
  <c r="E40"/>
  <c r="B40"/>
  <c r="G6"/>
  <c r="D6"/>
  <c r="F6" s="1"/>
  <c r="F35" i="11"/>
  <c r="G35"/>
  <c r="D35"/>
  <c r="F34"/>
  <c r="G34"/>
  <c r="D34"/>
  <c r="F33"/>
  <c r="G33"/>
  <c r="D33"/>
  <c r="F32"/>
  <c r="G32"/>
  <c r="D32"/>
  <c r="G31"/>
  <c r="F31"/>
  <c r="D31"/>
  <c r="K33"/>
  <c r="G29"/>
  <c r="D29"/>
  <c r="F29" s="1"/>
  <c r="G28"/>
  <c r="D28"/>
  <c r="F28" s="1"/>
  <c r="G27"/>
  <c r="D27"/>
  <c r="F27" s="1"/>
  <c r="F26"/>
  <c r="C26"/>
  <c r="G26" s="1"/>
  <c r="G25"/>
  <c r="D25"/>
  <c r="F25" s="1"/>
  <c r="G24"/>
  <c r="D24"/>
  <c r="F24" s="1"/>
  <c r="G22"/>
  <c r="D22"/>
  <c r="F22" s="1"/>
  <c r="G21"/>
  <c r="D21"/>
  <c r="F21" s="1"/>
  <c r="G182" i="4"/>
  <c r="D182"/>
  <c r="F182" s="1"/>
  <c r="G168"/>
  <c r="D168"/>
  <c r="F168" s="1"/>
  <c r="G186"/>
  <c r="D186"/>
  <c r="F186" s="1"/>
  <c r="G193"/>
  <c r="D193"/>
  <c r="F193" s="1"/>
  <c r="G166"/>
  <c r="D166"/>
  <c r="F166" s="1"/>
  <c r="K199"/>
  <c r="E197"/>
  <c r="C197"/>
  <c r="B197"/>
  <c r="D116"/>
  <c r="F116" s="1"/>
  <c r="G115"/>
  <c r="D115"/>
  <c r="F115" s="1"/>
  <c r="G111"/>
  <c r="F111"/>
  <c r="K122"/>
  <c r="E120"/>
  <c r="C120"/>
  <c r="B120"/>
  <c r="G88"/>
  <c r="D88"/>
  <c r="G64"/>
  <c r="D64"/>
  <c r="F64" s="1"/>
  <c r="G72"/>
  <c r="D72"/>
  <c r="F72" s="1"/>
  <c r="G75"/>
  <c r="F75"/>
  <c r="D75"/>
  <c r="G54"/>
  <c r="D54"/>
  <c r="F54" s="1"/>
  <c r="G61"/>
  <c r="D61"/>
  <c r="F61" s="1"/>
  <c r="G56"/>
  <c r="F56"/>
  <c r="G58"/>
  <c r="D58"/>
  <c r="F58" s="1"/>
  <c r="K76"/>
  <c r="G52"/>
  <c r="D52"/>
  <c r="F52" s="1"/>
  <c r="E77"/>
  <c r="C77"/>
  <c r="B77"/>
  <c r="G22"/>
  <c r="D22"/>
  <c r="F22" s="1"/>
  <c r="G32"/>
  <c r="D32"/>
  <c r="F32" s="1"/>
  <c r="G26"/>
  <c r="D26"/>
  <c r="F26" s="1"/>
  <c r="G23"/>
  <c r="D23"/>
  <c r="F23" s="1"/>
  <c r="G16"/>
  <c r="D16"/>
  <c r="F16" s="1"/>
  <c r="K36"/>
  <c r="E35"/>
  <c r="B35"/>
  <c r="C35"/>
  <c r="G12"/>
  <c r="D12"/>
  <c r="F12" s="1"/>
  <c r="G9"/>
  <c r="D9"/>
  <c r="F9" s="1"/>
  <c r="G35" i="6"/>
  <c r="G20" i="11"/>
  <c r="D20"/>
  <c r="F20" s="1"/>
  <c r="G19"/>
  <c r="D19"/>
  <c r="F19" s="1"/>
  <c r="G18"/>
  <c r="D18"/>
  <c r="F18" s="1"/>
  <c r="G17"/>
  <c r="D17"/>
  <c r="F17" s="1"/>
  <c r="G15"/>
  <c r="D15"/>
  <c r="F15" s="1"/>
  <c r="G14"/>
  <c r="D14"/>
  <c r="F14" s="1"/>
  <c r="G13"/>
  <c r="D13"/>
  <c r="F13" s="1"/>
  <c r="G12"/>
  <c r="D12"/>
  <c r="F12" s="1"/>
  <c r="G11"/>
  <c r="K39"/>
  <c r="E38"/>
  <c r="B38"/>
  <c r="C38"/>
  <c r="G10"/>
  <c r="D10"/>
  <c r="F10" s="1"/>
  <c r="G8"/>
  <c r="F8"/>
  <c r="G7"/>
  <c r="D7"/>
  <c r="F7" s="1"/>
  <c r="G6"/>
  <c r="F6"/>
  <c r="L31" i="15" l="1"/>
  <c r="L36" s="1"/>
  <c r="K33" i="4"/>
  <c r="K38" s="1"/>
  <c r="K119"/>
  <c r="K124" s="1"/>
  <c r="K73"/>
  <c r="K77" s="1"/>
  <c r="D120"/>
  <c r="F88"/>
  <c r="F120" s="1"/>
  <c r="K196"/>
  <c r="K201" s="1"/>
  <c r="D56" i="14"/>
  <c r="G56"/>
  <c r="F56"/>
  <c r="K54"/>
  <c r="K59" s="1"/>
  <c r="D57" i="13"/>
  <c r="F57"/>
  <c r="G57"/>
  <c r="K55"/>
  <c r="K60" s="1"/>
  <c r="C40" i="12"/>
  <c r="K38" s="1"/>
  <c r="K43" s="1"/>
  <c r="D40"/>
  <c r="G40"/>
  <c r="F40"/>
  <c r="D197" i="4"/>
  <c r="G197"/>
  <c r="F197"/>
  <c r="G120"/>
  <c r="F77"/>
  <c r="D77"/>
  <c r="G77"/>
  <c r="G35"/>
  <c r="F35"/>
  <c r="D35"/>
  <c r="F38" i="11"/>
  <c r="G38"/>
  <c r="D38"/>
  <c r="K36"/>
  <c r="K41" s="1"/>
</calcChain>
</file>

<file path=xl/sharedStrings.xml><?xml version="1.0" encoding="utf-8"?>
<sst xmlns="http://schemas.openxmlformats.org/spreadsheetml/2006/main" count="704" uniqueCount="265">
  <si>
    <t>LAPORAN BULAN AGUSTUS 2022</t>
  </si>
  <si>
    <t>TGL</t>
  </si>
  <si>
    <t>PEMASUKAN</t>
  </si>
  <si>
    <t>BRUTO</t>
  </si>
  <si>
    <t>BY. KELUAR HARIAN</t>
  </si>
  <si>
    <t>NETT</t>
  </si>
  <si>
    <t>NET TUNAI</t>
  </si>
  <si>
    <t>PENGELUARAN</t>
  </si>
  <si>
    <t>NON TUNAI</t>
  </si>
  <si>
    <t>TUNAI</t>
  </si>
  <si>
    <t>KETERANGAN</t>
  </si>
  <si>
    <t>JUMLAH</t>
  </si>
  <si>
    <t>PEMBAYARAN ACC MOBIL (FRANS SUGIHARJA)</t>
  </si>
  <si>
    <t>PEMBAYARAN ACC MOBIL (OVI/BNI)</t>
  </si>
  <si>
    <t>PEMBAYARAN SARUNG JOK (DESMANDIKA)</t>
  </si>
  <si>
    <t>BYR KUR (AN.OVI)</t>
  </si>
  <si>
    <t>VI JUSHUA</t>
  </si>
  <si>
    <t>PEMBYR LAMPU RUSH</t>
  </si>
  <si>
    <t>BAYAR UTANG KE OVI</t>
  </si>
  <si>
    <t xml:space="preserve">BAYAR SISA SRG JOK </t>
  </si>
  <si>
    <t>PEMBAYARAN ACC MOBIL (BNI/OVI)</t>
  </si>
  <si>
    <t>PEMBAYARAN TEMPAT PLAT MOBIL</t>
  </si>
  <si>
    <t xml:space="preserve">BUNGA PINJAMAN BNI </t>
  </si>
  <si>
    <t xml:space="preserve">PEMBAYARAN AKI MOBIL </t>
  </si>
  <si>
    <t>PEMBAYARAN KARPET DASAR (SURYAT)</t>
  </si>
  <si>
    <t>PEMBAYARAN KC FILM 3M (ERIK)</t>
  </si>
  <si>
    <t>PEMBAYARAN ACC MOBIL (NOFFI)</t>
  </si>
  <si>
    <t>KET:</t>
  </si>
  <si>
    <t>PENDAPATAN KOTOR</t>
  </si>
  <si>
    <t>PENGELUARAN HARIAN</t>
  </si>
  <si>
    <t>PENGELUARAN BULANAN</t>
  </si>
  <si>
    <t>TOTAL PENGELUARAN</t>
  </si>
  <si>
    <t>LAPORAN BULAN JULI 2022</t>
  </si>
  <si>
    <t>PEMBAYARAN ACC MOBIL (BNI/OVIDIANA)</t>
  </si>
  <si>
    <t>PEMBAYARAN KACA FILM WINCOS WB</t>
  </si>
  <si>
    <t>PEMBAYARAN SAPI KORBAN</t>
  </si>
  <si>
    <t>BAYAR KUR (OVI)</t>
  </si>
  <si>
    <t>BAYAR ACC MOBIL</t>
  </si>
  <si>
    <t>BAYAR VI SALES</t>
  </si>
  <si>
    <t>PEMBAYARAN KC. FILM 3 M</t>
  </si>
  <si>
    <t>VI SALES RIKI AVANZA</t>
  </si>
  <si>
    <t>GAJI ETEK</t>
  </si>
  <si>
    <t>BELI PLAT PARIAMAN</t>
  </si>
  <si>
    <t>BELI TATAKAN PLAT</t>
  </si>
  <si>
    <t>PEMBAYARAN ACC MOBIL (ROMY)</t>
  </si>
  <si>
    <t>BAYAR KUR (SUSAN)</t>
  </si>
  <si>
    <t>BUNGA BANK</t>
  </si>
  <si>
    <t>PEMBAYARAN ACC MOBIL (NOFFI/BCA)</t>
  </si>
  <si>
    <t>LAPORAN BULAN JUNI 2022</t>
  </si>
  <si>
    <t>PEMBAYARAN KC.FILM 3M (ERIK)</t>
  </si>
  <si>
    <t>PEMBAYARAN ACC MOBIL (ROMI)</t>
  </si>
  <si>
    <t>PEMBAYARAN ACC MOBIL (TANTI EKAWATI)</t>
  </si>
  <si>
    <t xml:space="preserve">BYR ARISAN KARTIKA </t>
  </si>
  <si>
    <t>BYR ARISAN RT</t>
  </si>
  <si>
    <t>PEMBAYARAN ACC MOBIL (BNI/OVI DIANA)</t>
  </si>
  <si>
    <t>PINJAMAN MAN JUP</t>
  </si>
  <si>
    <t>PEMBAYARAN KUR (OVI DIANA)</t>
  </si>
  <si>
    <t>GAJI SUSAN</t>
  </si>
  <si>
    <t xml:space="preserve">BIAYA PEMELIHARAAN MOBIL DINAS </t>
  </si>
  <si>
    <t>PEMBAYARAN SARUNG JOK</t>
  </si>
  <si>
    <t>KUR SUSAN</t>
  </si>
  <si>
    <t>VI FADEL INTERCOM</t>
  </si>
  <si>
    <t>VI SALES (RIKI)</t>
  </si>
  <si>
    <t>PEMBAYARAN ACC MOBIL (NOFFI/GREAD)</t>
  </si>
  <si>
    <t>BAYAR KONTRAK TOKO</t>
  </si>
  <si>
    <t>BCA</t>
  </si>
  <si>
    <t>BRI</t>
  </si>
  <si>
    <t>BNI</t>
  </si>
  <si>
    <t>NAGARI</t>
  </si>
  <si>
    <t>bca</t>
  </si>
  <si>
    <t>bri</t>
  </si>
  <si>
    <t>mandiri</t>
  </si>
  <si>
    <t>nagari</t>
  </si>
  <si>
    <t xml:space="preserve"> </t>
  </si>
  <si>
    <t>MANDIRI</t>
  </si>
  <si>
    <t>LAPORAN BULAN MEI 2022</t>
  </si>
  <si>
    <t xml:space="preserve">TRANSFER KC.FILM WINCOS </t>
  </si>
  <si>
    <t>TRANFER KE OVI (KUR/ARISANKARTIKA/DLL)</t>
  </si>
  <si>
    <t>PEMBAYARAN ACC. MOBIL (FRANS SUGIHARJA)</t>
  </si>
  <si>
    <t>TRANSFER KE REK OVI DIANA (BNI)</t>
  </si>
  <si>
    <t>pembayaran bahan listrik ( sahabat jaya )</t>
  </si>
  <si>
    <t>vee ardi yasri</t>
  </si>
  <si>
    <t>TRANSFER KE OVI DIANA (BNI)</t>
  </si>
  <si>
    <t>PEMBAYARAN ACC MOBIL (OVI DIANA/BNI)</t>
  </si>
  <si>
    <t>BAYAR CICILAN KUR (SUSAN)</t>
  </si>
  <si>
    <t>PEMBAYARAN KC FILM</t>
  </si>
  <si>
    <t>PEMBAYARAN KARPET DASAR (DESMANDIKA)</t>
  </si>
  <si>
    <t>BYR CICILAN ARAW (CV.ARAW/BNI)</t>
  </si>
  <si>
    <t>PEMBAYARAN TOWING BLKG (NOFFI/BCA)</t>
  </si>
  <si>
    <t>BYR CAT MOBIL (TOBING)</t>
  </si>
  <si>
    <t>BELI LEM CAIR (RIZALDHI)</t>
  </si>
  <si>
    <t>PEMBAYARAN GPS (ASMIATI)</t>
  </si>
  <si>
    <t>PEMBAYARAN KC.FILM WINCOS (KRISANT)</t>
  </si>
  <si>
    <t>LAPORAN BULAN APRIL 2022</t>
  </si>
  <si>
    <t>TRANSFER KE OVI DIANA</t>
  </si>
  <si>
    <t>BYR S. JOK ( BUK IDA )</t>
  </si>
  <si>
    <t>BYR KUR (TR. OVI DIANA)</t>
  </si>
  <si>
    <t>PEMBAYARAN ACC MOBIL (AN.YULIANTO HANDI SANTOSO )</t>
  </si>
  <si>
    <t>PEMBAYARAN KACA FILM (ERIK)</t>
  </si>
  <si>
    <t>TRANSFER KE FADHILATULAH FAJRI (SABLON/ATK)</t>
  </si>
  <si>
    <t>BAHAN BANGUNAN (MAHARENI PUTRI)</t>
  </si>
  <si>
    <t>PEMBAYARAN ACC MOBIL (OVI DIANA)</t>
  </si>
  <si>
    <t>BYR SABLON (FAJRI)</t>
  </si>
  <si>
    <t>PEM.ACC MOBIL (PT PRIMA INOVASINDO SUKSES)</t>
  </si>
  <si>
    <t>PEMBYR. KACA FILM (ERIK)</t>
  </si>
  <si>
    <t>PEMBYR. ACC MOBIL (OVI DIANA)</t>
  </si>
  <si>
    <t>PEMBYR. KREKET SPLIT (NIKO)</t>
  </si>
  <si>
    <t>PEMBAYARAN ALMUNIUM (EFFENDI TAMRIN)</t>
  </si>
  <si>
    <t>PEMBYR ACC MOBIL (OVI DIANA)</t>
  </si>
  <si>
    <t>PEMBYR KC FILM (ERIK)</t>
  </si>
  <si>
    <t>BELI MINUMAM (TEH KOTAK)</t>
  </si>
  <si>
    <t xml:space="preserve">BYR UTANG KE WET </t>
  </si>
  <si>
    <t>BYR CICILAN KOMPOR GAS</t>
  </si>
  <si>
    <t>THR KARYAWAN</t>
  </si>
  <si>
    <t>BYR MINUMAN PARSEL</t>
  </si>
  <si>
    <t>ARISAN RT</t>
  </si>
  <si>
    <t>BYR PINTU KAMAR MANDI (AZHAR)</t>
  </si>
  <si>
    <t>PENGELUARAN ( DA YAN )</t>
  </si>
  <si>
    <t>LAPORAN BULAN MARET 2022</t>
  </si>
  <si>
    <t>BAYAR ARISAN KOMPLEK</t>
  </si>
  <si>
    <t>BAYAR ARISAN KARTIKA</t>
  </si>
  <si>
    <t>BAYAR KUR MANDIRI (AN. OVI )</t>
  </si>
  <si>
    <t>TRANSFER KE KHAIRIL</t>
  </si>
  <si>
    <t>TRANSFER KE DAVID RAVELA</t>
  </si>
  <si>
    <t>BELI GARNIS YARIS</t>
  </si>
  <si>
    <t>TR. VI FEBRI FEMIL</t>
  </si>
  <si>
    <t>BYR ACC MOBIL (AN. OVI)</t>
  </si>
  <si>
    <t>BYR ACC MOBIL ( TJM)</t>
  </si>
  <si>
    <t>BYR ACC MOBIL ( GREAD)</t>
  </si>
  <si>
    <t>BYR PLANG (FRANS SUGIHARJA)</t>
  </si>
  <si>
    <t>VI KC FILM (ACHITRI OKTAVIANI)</t>
  </si>
  <si>
    <t>BELI PLANG PAJERO (ADAM)</t>
  </si>
  <si>
    <t>BYR BUNGA BANK</t>
  </si>
  <si>
    <t>BYR BESI SIKU</t>
  </si>
  <si>
    <t>PENDAPATAN BERSIH MARET 2022</t>
  </si>
  <si>
    <t>LAPORAN BULAN FEBRUARI 2022</t>
  </si>
  <si>
    <t>BYR ASESORIS MOBIL (TF. OVI DIANA)</t>
  </si>
  <si>
    <t>BYR ASESORIS MOBIL TJM (TF. NOFFI )</t>
  </si>
  <si>
    <t>BYR SARUNG JOK MOBIL BUK IDA (TF.AISYAH NASUTION)</t>
  </si>
  <si>
    <t>BYR SALON MOBIL (TF. IWAN SURYADI</t>
  </si>
  <si>
    <t>BYR kaca film mobil ( TF. SUSENO )</t>
  </si>
  <si>
    <t>BYR acecories mobil ( TF. AMSURI )</t>
  </si>
  <si>
    <t>BYR acecories mobil (TF.OVI DIANA)</t>
  </si>
  <si>
    <t>Rp              6,430,000</t>
  </si>
  <si>
    <t>Byr kaca film 3 M ( TF. SUSENO )</t>
  </si>
  <si>
    <t>Rp              1,350,000</t>
  </si>
  <si>
    <t>pembayaran acecories mobil ( TF. ROMI )</t>
  </si>
  <si>
    <t>Rp           12,015,000</t>
  </si>
  <si>
    <t>Pembayaran acecories mobil ( TF. OVI DIANA )</t>
  </si>
  <si>
    <t>Rp          18,304,000</t>
  </si>
  <si>
    <t>Bayar sablon ( TF. FADHILATUL FAJRI )</t>
  </si>
  <si>
    <t>Bunga Bank ( CV. ARAW )</t>
  </si>
  <si>
    <t>vi joshua daihatsu</t>
  </si>
  <si>
    <t>BYR acecories mobil ( TF. NOVI )</t>
  </si>
  <si>
    <t>PENDAPATAN BERSIH FEBRUARI 2022</t>
  </si>
  <si>
    <t>LAPORAN BULAN JANUARI 2022</t>
  </si>
  <si>
    <t>BYR ASESORIS MOBIL V-CENT (TF. DJONO)</t>
  </si>
  <si>
    <t>BYR ASESORIS MOBIL HENDRIK (TF. HENDRIK THEOPHILUS)</t>
  </si>
  <si>
    <t>D7-E7</t>
  </si>
  <si>
    <t xml:space="preserve">BYR PAKU CPING </t>
  </si>
  <si>
    <t>BYR ASESORIS MOBIL KO AKHON (TF.NOFFI)</t>
  </si>
  <si>
    <t>BYR SALON LAMPU &amp; SERVICE KURSI (TF. YOPHI IBNU JUANDI)</t>
  </si>
  <si>
    <t>BYR (TF. DHARMESTA SWASTI MANDIRI)</t>
  </si>
  <si>
    <t>BYR ASESORIS MOBIL (IBUK OVI DIANA)</t>
  </si>
  <si>
    <t>BYR BUNGA BANK (TF. ARAW CV)</t>
  </si>
  <si>
    <t>BYR KACA FILM 3M CRYSTALLINE (TF. DHARMESTA SWASTI MANDIRI)</t>
  </si>
  <si>
    <t>BYR SABLON (TF. FADHILATUL FAJRI)</t>
  </si>
  <si>
    <t>PENDAPATAN BERSIH JANUARI 2022</t>
  </si>
  <si>
    <t>PENDAPATAN BERSIH SEPTEMBER 2022</t>
  </si>
  <si>
    <t>LAPORAN BULAN SEPTEMBER 2022</t>
  </si>
  <si>
    <t>PENDAPATAN BERSIH JULI 2022</t>
  </si>
  <si>
    <t>PENDAPATAN BERSIH JUNI 2022</t>
  </si>
  <si>
    <t>ARISAN RT + BELANJA OVI</t>
  </si>
  <si>
    <t>LAPORAN BULAN OKTOBER  2022</t>
  </si>
  <si>
    <t>PENDAPATAN BERSIH OKTOBER  2022</t>
  </si>
  <si>
    <t>LAPORAN BULAN NOVEMBER 2022</t>
  </si>
  <si>
    <t>PENDAPATAN BERSIH NOVEMBER  2022</t>
  </si>
  <si>
    <t>LAPORAN BULAN DESEMBER  2022</t>
  </si>
  <si>
    <t>PENDAPATAN BERSIH DESEMBER 2022</t>
  </si>
  <si>
    <t>UNTUK MESJID</t>
  </si>
  <si>
    <t>BAYAR FRAME CRV</t>
  </si>
  <si>
    <t>BAYAR KUR AN. OVI</t>
  </si>
  <si>
    <t>PENDAPATAN BERSIH MEI 2022</t>
  </si>
  <si>
    <t>PENDAPATAN BERSIH APRIL 2022</t>
  </si>
  <si>
    <t>PEMBAYARAN GPS TRAKING</t>
  </si>
  <si>
    <t>PENDAPATAN BERSIH AGUSTUS 2022</t>
  </si>
  <si>
    <t>TRANSFER KE ARAW (MANDIRI)</t>
  </si>
  <si>
    <t>BUNGA BANK (BNI/ARAW)</t>
  </si>
  <si>
    <t>CICILAN MOTOR BEAT</t>
  </si>
  <si>
    <t>PEMBAYARAN ACC MOBIL (BNI/OVI) UANG HERMAN</t>
  </si>
  <si>
    <t>BAYAR KUR AN SUSAN</t>
  </si>
  <si>
    <t>BELI MINYAK HILUX (150+100)</t>
  </si>
  <si>
    <t>PEMBAYARAN KC FILM CRISTAL LIN</t>
  </si>
  <si>
    <t>BAYAR KOMPOR (DANA)</t>
  </si>
  <si>
    <t>BAYAR LISTRIK RUMAH</t>
  </si>
  <si>
    <t>PEMBAYARAN KACA FILM</t>
  </si>
  <si>
    <t>TRANSFER AN SUHERMAN</t>
  </si>
  <si>
    <t>TRANSFER KE FRANS SUGIHARJA</t>
  </si>
  <si>
    <t xml:space="preserve">TRANSFER KE CV ARAW </t>
  </si>
  <si>
    <t xml:space="preserve">SALON MOBIL </t>
  </si>
  <si>
    <t>BAYAR KUR AN OVI</t>
  </si>
  <si>
    <t>BAYAR S.JOK MBTECK</t>
  </si>
  <si>
    <t>BAYAR UANG IRWAN</t>
  </si>
  <si>
    <t>PEMBAYARAN S.JOK MBTECK</t>
  </si>
  <si>
    <t>TRANSFER KE BANK MEGA (OVI)</t>
  </si>
  <si>
    <t xml:space="preserve">VI DIRGA </t>
  </si>
  <si>
    <t xml:space="preserve">PULANGKAN UANG ATK </t>
  </si>
  <si>
    <t>BAYAR PDAM + INTERNET</t>
  </si>
  <si>
    <t>PEMBAYARAN PLANG DPN PAJERO</t>
  </si>
  <si>
    <t>PEMBAYARAN S.JOK MOBIL</t>
  </si>
  <si>
    <t>KUR AN. SUSAN</t>
  </si>
  <si>
    <t>PEMBAYARAN ACC MOBIL AN. NOFFI</t>
  </si>
  <si>
    <t>PEMBAYARAN ACC MOBIL AN. NOFFI (UANG KO MAN)</t>
  </si>
  <si>
    <t>PEMBAYARAN KC.FILM WINCOS (ERIK)</t>
  </si>
  <si>
    <t xml:space="preserve">BELANJA </t>
  </si>
  <si>
    <t>TRANSFER KE BUK IDA (S.JOK)</t>
  </si>
  <si>
    <t>PEMBAYARAN S. JOK MBTECK + KRP DSR</t>
  </si>
  <si>
    <t xml:space="preserve">ARISAN KARTIKA </t>
  </si>
  <si>
    <t>BELI AQUA (ATK)</t>
  </si>
  <si>
    <t>TRANSFER AN. SUHERMAN (ALBANI)</t>
  </si>
  <si>
    <t>TRANSFER NORA/MESJID</t>
  </si>
  <si>
    <t>PEMBAYARAN S. JOK (TOLIB)</t>
  </si>
  <si>
    <t>PEMBAYARAN KARPET DSR (TOLIB)</t>
  </si>
  <si>
    <t>VI ALI USMAN (BRIO PUTIH)</t>
  </si>
  <si>
    <t>VI ROLA (BRIO)</t>
  </si>
  <si>
    <t>KUR OVI</t>
  </si>
  <si>
    <t xml:space="preserve">SERVICE KOMPOR </t>
  </si>
  <si>
    <t>PEMBAYARAN PLANG BLKG TRITON (ALVIN WINARTA)</t>
  </si>
  <si>
    <t>BYR KULIAH ALDO</t>
  </si>
  <si>
    <t>PEMBAYARAN KC.FILM 3 M</t>
  </si>
  <si>
    <t>PINJAMAN KANTOR GUBENUR</t>
  </si>
  <si>
    <t>BELANJA IBUK</t>
  </si>
  <si>
    <t>VI SALES BRIO KUNING</t>
  </si>
  <si>
    <t>VI ARDI (TRITON MERAH)</t>
  </si>
  <si>
    <t>BYR MOTOR BEAT</t>
  </si>
  <si>
    <t>BYR ACC MOBIL (PRIMA INOVASINDO SUKSES)</t>
  </si>
  <si>
    <t xml:space="preserve">BYR ATOME </t>
  </si>
  <si>
    <t>BELI LEM 3 M</t>
  </si>
  <si>
    <t>BYR NOTA ARAW /RAJO</t>
  </si>
  <si>
    <t>BYR KARPET DSR (TOLIB)</t>
  </si>
  <si>
    <t>KUR AN SUSAN</t>
  </si>
  <si>
    <t>BELI MONITOR KOMPUTER</t>
  </si>
  <si>
    <t>BYR KC FILM 3 M (DHARMESTA)</t>
  </si>
  <si>
    <t xml:space="preserve">VI FADEL </t>
  </si>
  <si>
    <t>BYR SRG JOK (TOLIB)</t>
  </si>
  <si>
    <t>BYR S JOK (HERY CAHYADI)</t>
  </si>
  <si>
    <t>KUR AN. OVI</t>
  </si>
  <si>
    <t>BYR KC FILM (YUNI HALIM)</t>
  </si>
  <si>
    <t>BYR FOGLAMP HILUX (ANDI KUNCORO)</t>
  </si>
  <si>
    <t>BEROBAT (dr.ALEX)</t>
  </si>
  <si>
    <t>PEMBAYARAN S.JOK MBTECK (HERY CAHYADI)</t>
  </si>
  <si>
    <t>BUNGA BANK BNI</t>
  </si>
  <si>
    <t>BYR SARUNG JOK ANDI</t>
  </si>
  <si>
    <t>VEE FEBRI FEMIL</t>
  </si>
  <si>
    <t>DP SARUNG JOK (TOLIB)</t>
  </si>
  <si>
    <t>BYR KUR AN. SUSAN</t>
  </si>
  <si>
    <t>PEMBAYARAN KC FILM (CORRIE)</t>
  </si>
  <si>
    <t>VEE  VIDEL RAMUS</t>
  </si>
  <si>
    <t>BAYAR UTANG KE KO MAN ALBANI</t>
  </si>
  <si>
    <t>LAPORAN BULAN NOVEMBER  2022</t>
  </si>
  <si>
    <t>PENDAPATAN BERSIH SEPTEMBER  2022</t>
  </si>
  <si>
    <t>LAPORAN BULAN SEPTEMBER  2022</t>
  </si>
  <si>
    <t>LAPORAN BULAN JANUARI 2023</t>
  </si>
  <si>
    <t>PENDAPATAN BERSIH JANUARI 2023</t>
  </si>
  <si>
    <t>TRANSFER KE CV. ARAW</t>
  </si>
</sst>
</file>

<file path=xl/styles.xml><?xml version="1.0" encoding="utf-8"?>
<styleSheet xmlns="http://schemas.openxmlformats.org/spreadsheetml/2006/main">
  <numFmts count="4">
    <numFmt numFmtId="164" formatCode="_-&quot;£&quot;* #,##0_-;\-&quot;£&quot;* #,##0_-;_-&quot;£&quot;* &quot;-&quot;_-;_-@_-"/>
    <numFmt numFmtId="165" formatCode="_-* #,##0.00_-;\-* #,##0.00_-;_-* &quot;-&quot;??_-;_-@_-"/>
    <numFmt numFmtId="166" formatCode="_(&quot;Rp&quot;* #,##0_);_(&quot;Rp&quot;* \(#,##0\);_(&quot;Rp&quot;* &quot;-&quot;_);_(@_)"/>
    <numFmt numFmtId="167" formatCode="dd/mm"/>
  </numFmts>
  <fonts count="4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b/>
      <sz val="12"/>
      <color rgb="FFC00000"/>
      <name val="Calibri"/>
      <family val="2"/>
      <scheme val="minor"/>
    </font>
    <font>
      <u/>
      <sz val="11"/>
      <name val="Calibri"/>
      <family val="2"/>
      <charset val="1"/>
      <scheme val="minor"/>
    </font>
    <font>
      <b/>
      <u val="singleAccounting"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">
    <xf numFmtId="0" fontId="0" fillId="0" borderId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</cellStyleXfs>
  <cellXfs count="743">
    <xf numFmtId="0" fontId="0" fillId="0" borderId="0" xfId="0"/>
    <xf numFmtId="0" fontId="24" fillId="0" borderId="0" xfId="1"/>
    <xf numFmtId="166" fontId="28" fillId="0" borderId="0" xfId="2" applyNumberFormat="1" applyFont="1" applyFill="1" applyAlignment="1">
      <alignment horizontal="center" vertical="center"/>
    </xf>
    <xf numFmtId="0" fontId="29" fillId="0" borderId="0" xfId="1" applyFont="1" applyFill="1" applyAlignment="1"/>
    <xf numFmtId="166" fontId="28" fillId="0" borderId="0" xfId="1" applyNumberFormat="1" applyFont="1" applyFill="1"/>
    <xf numFmtId="166" fontId="28" fillId="0" borderId="0" xfId="2" applyNumberFormat="1" applyFont="1" applyFill="1"/>
    <xf numFmtId="166" fontId="27" fillId="2" borderId="6" xfId="2" applyNumberFormat="1" applyFont="1" applyFill="1" applyBorder="1" applyAlignment="1">
      <alignment horizontal="center" vertical="center"/>
    </xf>
    <xf numFmtId="166" fontId="27" fillId="2" borderId="4" xfId="2" applyNumberFormat="1" applyFont="1" applyFill="1" applyBorder="1" applyAlignment="1">
      <alignment horizontal="center" vertical="center"/>
    </xf>
    <xf numFmtId="167" fontId="28" fillId="0" borderId="6" xfId="1" applyNumberFormat="1" applyFont="1" applyFill="1" applyBorder="1" applyAlignment="1">
      <alignment horizontal="center"/>
    </xf>
    <xf numFmtId="166" fontId="28" fillId="0" borderId="6" xfId="1" applyNumberFormat="1" applyFont="1" applyFill="1" applyBorder="1" applyAlignment="1">
      <alignment horizontal="center"/>
    </xf>
    <xf numFmtId="166" fontId="28" fillId="0" borderId="6" xfId="2" applyNumberFormat="1" applyFont="1" applyFill="1" applyBorder="1" applyAlignment="1">
      <alignment horizontal="center"/>
    </xf>
    <xf numFmtId="16" fontId="28" fillId="0" borderId="6" xfId="1" applyNumberFormat="1" applyFont="1" applyFill="1" applyBorder="1" applyAlignment="1">
      <alignment horizontal="center" vertical="center"/>
    </xf>
    <xf numFmtId="166" fontId="28" fillId="0" borderId="6" xfId="2" applyNumberFormat="1" applyFont="1" applyFill="1" applyBorder="1" applyAlignment="1">
      <alignment horizontal="center" vertical="center"/>
    </xf>
    <xf numFmtId="166" fontId="28" fillId="3" borderId="6" xfId="2" applyNumberFormat="1" applyFont="1" applyFill="1" applyBorder="1" applyAlignment="1">
      <alignment horizontal="center" vertical="center"/>
    </xf>
    <xf numFmtId="166" fontId="28" fillId="4" borderId="6" xfId="2" applyNumberFormat="1" applyFont="1" applyFill="1" applyBorder="1" applyAlignment="1">
      <alignment horizontal="center" vertical="center"/>
    </xf>
    <xf numFmtId="166" fontId="28" fillId="5" borderId="6" xfId="2" applyNumberFormat="1" applyFont="1" applyFill="1" applyBorder="1" applyAlignment="1">
      <alignment horizontal="center" vertical="center"/>
    </xf>
    <xf numFmtId="0" fontId="28" fillId="0" borderId="6" xfId="1" applyFont="1" applyFill="1" applyBorder="1" applyAlignment="1">
      <alignment horizontal="left" vertical="center" wrapText="1"/>
    </xf>
    <xf numFmtId="16" fontId="24" fillId="0" borderId="6" xfId="1" applyNumberFormat="1" applyBorder="1" applyAlignment="1">
      <alignment horizontal="center"/>
    </xf>
    <xf numFmtId="0" fontId="24" fillId="0" borderId="6" xfId="1" applyBorder="1"/>
    <xf numFmtId="166" fontId="23" fillId="0" borderId="6" xfId="2" applyNumberFormat="1" applyFont="1" applyFill="1" applyBorder="1" applyAlignment="1">
      <alignment wrapText="1"/>
    </xf>
    <xf numFmtId="166" fontId="28" fillId="0" borderId="0" xfId="2" applyNumberFormat="1" applyFont="1" applyFill="1" applyAlignment="1">
      <alignment horizontal="right" vertical="center" wrapText="1"/>
    </xf>
    <xf numFmtId="16" fontId="28" fillId="0" borderId="6" xfId="1" applyNumberFormat="1" applyFont="1" applyFill="1" applyBorder="1" applyAlignment="1">
      <alignment horizontal="center" vertical="center" wrapText="1"/>
    </xf>
    <xf numFmtId="166" fontId="28" fillId="0" borderId="0" xfId="2" applyNumberFormat="1" applyFont="1" applyFill="1" applyAlignment="1">
      <alignment vertical="center"/>
    </xf>
    <xf numFmtId="0" fontId="28" fillId="0" borderId="6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wrapText="1"/>
    </xf>
    <xf numFmtId="16" fontId="28" fillId="0" borderId="6" xfId="1" applyNumberFormat="1" applyFont="1" applyFill="1" applyBorder="1" applyAlignment="1">
      <alignment horizontal="center"/>
    </xf>
    <xf numFmtId="0" fontId="24" fillId="0" borderId="0" xfId="1" applyAlignment="1"/>
    <xf numFmtId="0" fontId="28" fillId="0" borderId="6" xfId="1" applyFont="1" applyFill="1" applyBorder="1"/>
    <xf numFmtId="16" fontId="28" fillId="0" borderId="6" xfId="1" applyNumberFormat="1" applyFont="1" applyFill="1" applyBorder="1" applyAlignment="1">
      <alignment horizontal="center" wrapText="1"/>
    </xf>
    <xf numFmtId="0" fontId="24" fillId="0" borderId="0" xfId="1" applyAlignment="1">
      <alignment wrapText="1"/>
    </xf>
    <xf numFmtId="16" fontId="28" fillId="0" borderId="6" xfId="1" applyNumberFormat="1" applyFont="1" applyFill="1" applyBorder="1" applyAlignment="1">
      <alignment vertical="center"/>
    </xf>
    <xf numFmtId="166" fontId="30" fillId="6" borderId="6" xfId="2" applyNumberFormat="1" applyFont="1" applyFill="1" applyBorder="1" applyAlignment="1">
      <alignment vertical="center"/>
    </xf>
    <xf numFmtId="167" fontId="28" fillId="0" borderId="0" xfId="1" applyNumberFormat="1" applyFont="1" applyFill="1" applyAlignment="1"/>
    <xf numFmtId="14" fontId="28" fillId="0" borderId="0" xfId="1" applyNumberFormat="1" applyFont="1" applyFill="1"/>
    <xf numFmtId="166" fontId="27" fillId="0" borderId="0" xfId="2" applyNumberFormat="1" applyFont="1" applyFill="1"/>
    <xf numFmtId="0" fontId="28" fillId="0" borderId="0" xfId="1" applyFont="1" applyFill="1" applyAlignment="1"/>
    <xf numFmtId="0" fontId="31" fillId="0" borderId="0" xfId="1" applyFont="1" applyFill="1"/>
    <xf numFmtId="166" fontId="32" fillId="0" borderId="0" xfId="2" applyNumberFormat="1" applyFont="1" applyFill="1"/>
    <xf numFmtId="0" fontId="25" fillId="0" borderId="0" xfId="1" applyFont="1"/>
    <xf numFmtId="0" fontId="28" fillId="0" borderId="0" xfId="1" applyFont="1" applyFill="1"/>
    <xf numFmtId="166" fontId="34" fillId="0" borderId="0" xfId="2" applyNumberFormat="1" applyFont="1" applyFill="1"/>
    <xf numFmtId="166" fontId="25" fillId="0" borderId="6" xfId="2" applyNumberFormat="1" applyFont="1" applyBorder="1" applyAlignment="1">
      <alignment horizontal="center" vertical="center"/>
    </xf>
    <xf numFmtId="166" fontId="35" fillId="3" borderId="6" xfId="2" applyNumberFormat="1" applyFont="1" applyFill="1" applyBorder="1" applyAlignment="1">
      <alignment horizontal="center" vertical="center"/>
    </xf>
    <xf numFmtId="166" fontId="35" fillId="4" borderId="6" xfId="2" applyNumberFormat="1" applyFont="1" applyFill="1" applyBorder="1" applyAlignment="1">
      <alignment horizontal="center" vertical="center"/>
    </xf>
    <xf numFmtId="166" fontId="35" fillId="0" borderId="6" xfId="2" applyNumberFormat="1" applyFont="1" applyFill="1" applyBorder="1" applyAlignment="1">
      <alignment horizontal="center" vertical="center"/>
    </xf>
    <xf numFmtId="166" fontId="35" fillId="5" borderId="6" xfId="2" applyNumberFormat="1" applyFont="1" applyFill="1" applyBorder="1" applyAlignment="1">
      <alignment horizontal="center" vertical="center"/>
    </xf>
    <xf numFmtId="16" fontId="28" fillId="7" borderId="6" xfId="1" applyNumberFormat="1" applyFont="1" applyFill="1" applyBorder="1" applyAlignment="1">
      <alignment horizontal="center" vertical="center"/>
    </xf>
    <xf numFmtId="166" fontId="28" fillId="7" borderId="6" xfId="2" applyNumberFormat="1" applyFont="1" applyFill="1" applyBorder="1" applyAlignment="1">
      <alignment horizontal="center" vertical="center"/>
    </xf>
    <xf numFmtId="0" fontId="28" fillId="0" borderId="6" xfId="1" applyFont="1" applyFill="1" applyBorder="1" applyAlignment="1">
      <alignment vertical="center"/>
    </xf>
    <xf numFmtId="166" fontId="23" fillId="0" borderId="6" xfId="2" applyNumberFormat="1" applyFont="1" applyFill="1" applyBorder="1" applyAlignment="1">
      <alignment vertical="center" wrapText="1"/>
    </xf>
    <xf numFmtId="166" fontId="23" fillId="0" borderId="6" xfId="2" applyNumberFormat="1" applyFont="1" applyFill="1" applyBorder="1" applyAlignment="1">
      <alignment vertical="center"/>
    </xf>
    <xf numFmtId="166" fontId="23" fillId="0" borderId="6" xfId="2" applyNumberFormat="1" applyFont="1" applyBorder="1"/>
    <xf numFmtId="166" fontId="23" fillId="0" borderId="6" xfId="2" applyNumberFormat="1" applyFont="1" applyFill="1" applyBorder="1" applyAlignment="1">
      <alignment horizontal="right" vertical="center"/>
    </xf>
    <xf numFmtId="166" fontId="23" fillId="0" borderId="6" xfId="2" applyNumberFormat="1" applyFont="1" applyFill="1" applyBorder="1"/>
    <xf numFmtId="166" fontId="24" fillId="0" borderId="6" xfId="2" applyNumberFormat="1" applyFont="1" applyBorder="1" applyAlignment="1">
      <alignment horizontal="center" vertical="center"/>
    </xf>
    <xf numFmtId="166" fontId="23" fillId="0" borderId="6" xfId="2" applyNumberFormat="1" applyFont="1" applyFill="1" applyBorder="1" applyAlignment="1"/>
    <xf numFmtId="166" fontId="24" fillId="0" borderId="6" xfId="2" applyNumberFormat="1" applyFont="1" applyFill="1" applyBorder="1" applyAlignment="1">
      <alignment horizontal="center" vertical="center" wrapText="1"/>
    </xf>
    <xf numFmtId="166" fontId="24" fillId="0" borderId="6" xfId="2" applyNumberFormat="1" applyFont="1" applyBorder="1" applyAlignment="1">
      <alignment horizontal="center" vertical="center" wrapText="1"/>
    </xf>
    <xf numFmtId="166" fontId="28" fillId="4" borderId="6" xfId="2" applyNumberFormat="1" applyFont="1" applyFill="1" applyBorder="1" applyAlignment="1">
      <alignment horizontal="center" vertical="center" wrapText="1"/>
    </xf>
    <xf numFmtId="16" fontId="24" fillId="0" borderId="0" xfId="1" applyNumberFormat="1" applyAlignment="1">
      <alignment horizontal="center"/>
    </xf>
    <xf numFmtId="166" fontId="24" fillId="0" borderId="7" xfId="2" applyNumberFormat="1" applyFont="1" applyFill="1" applyBorder="1" applyAlignment="1">
      <alignment horizontal="center" vertical="center"/>
    </xf>
    <xf numFmtId="166" fontId="28" fillId="3" borderId="7" xfId="2" applyNumberFormat="1" applyFont="1" applyFill="1" applyBorder="1" applyAlignment="1">
      <alignment horizontal="center" vertical="center"/>
    </xf>
    <xf numFmtId="166" fontId="28" fillId="4" borderId="7" xfId="2" applyNumberFormat="1" applyFont="1" applyFill="1" applyBorder="1" applyAlignment="1">
      <alignment horizontal="center" vertical="center"/>
    </xf>
    <xf numFmtId="166" fontId="28" fillId="0" borderId="7" xfId="2" applyNumberFormat="1" applyFont="1" applyFill="1" applyBorder="1" applyAlignment="1">
      <alignment horizontal="center" vertical="center"/>
    </xf>
    <xf numFmtId="166" fontId="28" fillId="5" borderId="7" xfId="2" applyNumberFormat="1" applyFont="1" applyFill="1" applyBorder="1" applyAlignment="1">
      <alignment horizontal="center" vertical="center"/>
    </xf>
    <xf numFmtId="16" fontId="24" fillId="0" borderId="6" xfId="1" applyNumberFormat="1" applyFont="1" applyBorder="1"/>
    <xf numFmtId="16" fontId="28" fillId="8" borderId="6" xfId="1" applyNumberFormat="1" applyFont="1" applyFill="1" applyBorder="1" applyAlignment="1">
      <alignment horizontal="center" vertical="center"/>
    </xf>
    <xf numFmtId="166" fontId="28" fillId="8" borderId="6" xfId="2" applyNumberFormat="1" applyFont="1" applyFill="1" applyBorder="1" applyAlignment="1">
      <alignment horizontal="center" vertical="center"/>
    </xf>
    <xf numFmtId="166" fontId="24" fillId="7" borderId="6" xfId="2" applyNumberFormat="1" applyFont="1" applyFill="1" applyBorder="1" applyAlignment="1">
      <alignment horizontal="center" vertical="center"/>
    </xf>
    <xf numFmtId="0" fontId="24" fillId="0" borderId="0" xfId="3"/>
    <xf numFmtId="166" fontId="28" fillId="0" borderId="0" xfId="4" applyNumberFormat="1" applyFont="1" applyFill="1" applyAlignment="1">
      <alignment horizontal="center" vertical="center"/>
    </xf>
    <xf numFmtId="0" fontId="29" fillId="0" borderId="0" xfId="3" applyFont="1" applyFill="1" applyAlignment="1"/>
    <xf numFmtId="166" fontId="28" fillId="0" borderId="0" xfId="3" applyNumberFormat="1" applyFont="1" applyFill="1"/>
    <xf numFmtId="166" fontId="28" fillId="0" borderId="0" xfId="4" applyNumberFormat="1" applyFont="1" applyFill="1"/>
    <xf numFmtId="166" fontId="27" fillId="2" borderId="4" xfId="4" applyNumberFormat="1" applyFont="1" applyFill="1" applyBorder="1" applyAlignment="1">
      <alignment horizontal="center" vertical="center"/>
    </xf>
    <xf numFmtId="166" fontId="27" fillId="2" borderId="2" xfId="4" applyNumberFormat="1" applyFont="1" applyFill="1" applyBorder="1" applyAlignment="1">
      <alignment horizontal="center" vertical="center" wrapText="1"/>
    </xf>
    <xf numFmtId="0" fontId="26" fillId="0" borderId="0" xfId="3" applyFont="1" applyAlignment="1">
      <alignment horizontal="left" vertical="center"/>
    </xf>
    <xf numFmtId="0" fontId="24" fillId="0" borderId="0" xfId="3" applyAlignment="1">
      <alignment horizontal="left" vertical="center"/>
    </xf>
    <xf numFmtId="0" fontId="27" fillId="2" borderId="2" xfId="3" applyFont="1" applyFill="1" applyBorder="1" applyAlignment="1">
      <alignment horizontal="center" vertical="center"/>
    </xf>
    <xf numFmtId="166" fontId="27" fillId="2" borderId="3" xfId="4" applyNumberFormat="1" applyFont="1" applyFill="1" applyBorder="1" applyAlignment="1">
      <alignment horizontal="center" vertical="center"/>
    </xf>
    <xf numFmtId="166" fontId="27" fillId="2" borderId="2" xfId="4" applyNumberFormat="1" applyFont="1" applyFill="1" applyBorder="1" applyAlignment="1">
      <alignment horizontal="center" vertical="center"/>
    </xf>
    <xf numFmtId="0" fontId="24" fillId="0" borderId="0" xfId="5"/>
    <xf numFmtId="166" fontId="28" fillId="0" borderId="0" xfId="6" applyNumberFormat="1" applyFont="1" applyFill="1" applyAlignment="1">
      <alignment horizontal="center" vertical="center"/>
    </xf>
    <xf numFmtId="0" fontId="29" fillId="0" borderId="0" xfId="5" applyFont="1" applyFill="1" applyAlignment="1"/>
    <xf numFmtId="166" fontId="28" fillId="0" borderId="0" xfId="5" applyNumberFormat="1" applyFont="1" applyFill="1"/>
    <xf numFmtId="166" fontId="28" fillId="0" borderId="0" xfId="6" applyNumberFormat="1" applyFont="1" applyFill="1"/>
    <xf numFmtId="166" fontId="27" fillId="2" borderId="6" xfId="6" applyNumberFormat="1" applyFont="1" applyFill="1" applyBorder="1" applyAlignment="1">
      <alignment horizontal="center" vertical="center"/>
    </xf>
    <xf numFmtId="166" fontId="27" fillId="2" borderId="4" xfId="6" applyNumberFormat="1" applyFont="1" applyFill="1" applyBorder="1" applyAlignment="1">
      <alignment horizontal="center" vertical="center"/>
    </xf>
    <xf numFmtId="167" fontId="28" fillId="0" borderId="6" xfId="5" applyNumberFormat="1" applyFont="1" applyFill="1" applyBorder="1" applyAlignment="1">
      <alignment horizontal="center"/>
    </xf>
    <xf numFmtId="166" fontId="28" fillId="0" borderId="6" xfId="5" applyNumberFormat="1" applyFont="1" applyFill="1" applyBorder="1" applyAlignment="1">
      <alignment horizontal="center"/>
    </xf>
    <xf numFmtId="166" fontId="28" fillId="0" borderId="6" xfId="6" applyNumberFormat="1" applyFont="1" applyFill="1" applyBorder="1" applyAlignment="1">
      <alignment horizontal="center"/>
    </xf>
    <xf numFmtId="16" fontId="28" fillId="0" borderId="6" xfId="5" applyNumberFormat="1" applyFont="1" applyFill="1" applyBorder="1" applyAlignment="1">
      <alignment horizontal="center" vertical="center"/>
    </xf>
    <xf numFmtId="166" fontId="28" fillId="0" borderId="6" xfId="6" applyNumberFormat="1" applyFont="1" applyFill="1" applyBorder="1" applyAlignment="1">
      <alignment horizontal="center" vertical="center"/>
    </xf>
    <xf numFmtId="166" fontId="28" fillId="3" borderId="6" xfId="6" applyNumberFormat="1" applyFont="1" applyFill="1" applyBorder="1" applyAlignment="1">
      <alignment horizontal="center" vertical="center"/>
    </xf>
    <xf numFmtId="166" fontId="28" fillId="4" borderId="6" xfId="6" applyNumberFormat="1" applyFont="1" applyFill="1" applyBorder="1" applyAlignment="1">
      <alignment horizontal="center" vertical="center"/>
    </xf>
    <xf numFmtId="166" fontId="28" fillId="5" borderId="6" xfId="6" applyNumberFormat="1" applyFont="1" applyFill="1" applyBorder="1" applyAlignment="1">
      <alignment horizontal="center" vertical="center"/>
    </xf>
    <xf numFmtId="0" fontId="28" fillId="0" borderId="6" xfId="5" applyFont="1" applyFill="1" applyBorder="1" applyAlignment="1">
      <alignment horizontal="left" vertical="center" wrapText="1"/>
    </xf>
    <xf numFmtId="16" fontId="24" fillId="0" borderId="6" xfId="5" applyNumberFormat="1" applyBorder="1" applyAlignment="1">
      <alignment horizontal="center"/>
    </xf>
    <xf numFmtId="0" fontId="24" fillId="0" borderId="6" xfId="5" applyBorder="1"/>
    <xf numFmtId="166" fontId="23" fillId="0" borderId="6" xfId="6" applyNumberFormat="1" applyFont="1" applyFill="1" applyBorder="1" applyAlignment="1">
      <alignment wrapText="1"/>
    </xf>
    <xf numFmtId="166" fontId="28" fillId="0" borderId="0" xfId="6" applyNumberFormat="1" applyFont="1" applyFill="1" applyAlignment="1">
      <alignment horizontal="right" vertical="center" wrapText="1"/>
    </xf>
    <xf numFmtId="16" fontId="28" fillId="0" borderId="6" xfId="5" applyNumberFormat="1" applyFont="1" applyFill="1" applyBorder="1" applyAlignment="1">
      <alignment horizontal="center" vertical="center" wrapText="1"/>
    </xf>
    <xf numFmtId="166" fontId="28" fillId="0" borderId="0" xfId="6" applyNumberFormat="1" applyFont="1" applyFill="1" applyAlignment="1">
      <alignment vertical="center"/>
    </xf>
    <xf numFmtId="0" fontId="28" fillId="0" borderId="6" xfId="5" applyFont="1" applyFill="1" applyBorder="1" applyAlignment="1">
      <alignment vertical="center" wrapText="1"/>
    </xf>
    <xf numFmtId="0" fontId="28" fillId="0" borderId="6" xfId="5" applyFont="1" applyFill="1" applyBorder="1" applyAlignment="1">
      <alignment wrapText="1"/>
    </xf>
    <xf numFmtId="16" fontId="28" fillId="0" borderId="6" xfId="5" applyNumberFormat="1" applyFont="1" applyFill="1" applyBorder="1" applyAlignment="1">
      <alignment horizontal="center"/>
    </xf>
    <xf numFmtId="0" fontId="24" fillId="0" borderId="0" xfId="5" applyAlignment="1"/>
    <xf numFmtId="0" fontId="28" fillId="0" borderId="6" xfId="5" applyFont="1" applyFill="1" applyBorder="1"/>
    <xf numFmtId="16" fontId="28" fillId="0" borderId="6" xfId="5" applyNumberFormat="1" applyFont="1" applyFill="1" applyBorder="1" applyAlignment="1">
      <alignment horizontal="center" wrapText="1"/>
    </xf>
    <xf numFmtId="0" fontId="24" fillId="0" borderId="0" xfId="5" applyAlignment="1">
      <alignment wrapText="1"/>
    </xf>
    <xf numFmtId="16" fontId="28" fillId="0" borderId="6" xfId="5" applyNumberFormat="1" applyFont="1" applyFill="1" applyBorder="1" applyAlignment="1">
      <alignment vertical="center"/>
    </xf>
    <xf numFmtId="166" fontId="30" fillId="6" borderId="6" xfId="6" applyNumberFormat="1" applyFont="1" applyFill="1" applyBorder="1" applyAlignment="1">
      <alignment vertical="center"/>
    </xf>
    <xf numFmtId="167" fontId="28" fillId="0" borderId="0" xfId="5" applyNumberFormat="1" applyFont="1" applyFill="1" applyAlignment="1"/>
    <xf numFmtId="14" fontId="28" fillId="0" borderId="0" xfId="5" applyNumberFormat="1" applyFont="1" applyFill="1"/>
    <xf numFmtId="166" fontId="27" fillId="0" borderId="0" xfId="6" applyNumberFormat="1" applyFont="1" applyFill="1"/>
    <xf numFmtId="0" fontId="28" fillId="0" borderId="0" xfId="5" applyFont="1" applyFill="1" applyAlignment="1"/>
    <xf numFmtId="0" fontId="31" fillId="0" borderId="0" xfId="5" applyFont="1" applyFill="1"/>
    <xf numFmtId="166" fontId="32" fillId="0" borderId="0" xfId="6" applyNumberFormat="1" applyFont="1" applyFill="1"/>
    <xf numFmtId="0" fontId="25" fillId="0" borderId="0" xfId="5" applyFont="1"/>
    <xf numFmtId="0" fontId="28" fillId="0" borderId="0" xfId="5" applyFont="1" applyFill="1"/>
    <xf numFmtId="166" fontId="34" fillId="0" borderId="0" xfId="6" applyNumberFormat="1" applyFont="1" applyFill="1"/>
    <xf numFmtId="166" fontId="25" fillId="0" borderId="6" xfId="6" applyNumberFormat="1" applyFont="1" applyBorder="1" applyAlignment="1">
      <alignment horizontal="center" vertical="center"/>
    </xf>
    <xf numFmtId="166" fontId="35" fillId="3" borderId="6" xfId="6" applyNumberFormat="1" applyFont="1" applyFill="1" applyBorder="1" applyAlignment="1">
      <alignment horizontal="center" vertical="center"/>
    </xf>
    <xf numFmtId="166" fontId="35" fillId="4" borderId="6" xfId="6" applyNumberFormat="1" applyFont="1" applyFill="1" applyBorder="1" applyAlignment="1">
      <alignment horizontal="center" vertical="center"/>
    </xf>
    <xf numFmtId="166" fontId="35" fillId="0" borderId="6" xfId="6" applyNumberFormat="1" applyFont="1" applyFill="1" applyBorder="1" applyAlignment="1">
      <alignment horizontal="center" vertical="center"/>
    </xf>
    <xf numFmtId="166" fontId="35" fillId="5" borderId="6" xfId="6" applyNumberFormat="1" applyFont="1" applyFill="1" applyBorder="1" applyAlignment="1">
      <alignment horizontal="center" vertical="center"/>
    </xf>
    <xf numFmtId="16" fontId="28" fillId="7" borderId="6" xfId="5" applyNumberFormat="1" applyFont="1" applyFill="1" applyBorder="1" applyAlignment="1">
      <alignment horizontal="center" vertical="center"/>
    </xf>
    <xf numFmtId="166" fontId="28" fillId="7" borderId="6" xfId="6" applyNumberFormat="1" applyFont="1" applyFill="1" applyBorder="1" applyAlignment="1">
      <alignment horizontal="center" vertical="center"/>
    </xf>
    <xf numFmtId="0" fontId="28" fillId="0" borderId="6" xfId="5" applyFont="1" applyFill="1" applyBorder="1" applyAlignment="1">
      <alignment vertical="center"/>
    </xf>
    <xf numFmtId="166" fontId="23" fillId="0" borderId="6" xfId="6" applyNumberFormat="1" applyFont="1" applyFill="1" applyBorder="1" applyAlignment="1">
      <alignment vertical="center" wrapText="1"/>
    </xf>
    <xf numFmtId="166" fontId="23" fillId="0" borderId="6" xfId="6" applyNumberFormat="1" applyFont="1" applyFill="1" applyBorder="1" applyAlignment="1">
      <alignment vertical="center"/>
    </xf>
    <xf numFmtId="166" fontId="23" fillId="0" borderId="6" xfId="6" applyNumberFormat="1" applyFont="1" applyBorder="1"/>
    <xf numFmtId="166" fontId="23" fillId="0" borderId="6" xfId="6" applyNumberFormat="1" applyFont="1" applyFill="1" applyBorder="1" applyAlignment="1">
      <alignment horizontal="right" vertical="center"/>
    </xf>
    <xf numFmtId="166" fontId="23" fillId="0" borderId="6" xfId="6" applyNumberFormat="1" applyFont="1" applyFill="1" applyBorder="1"/>
    <xf numFmtId="166" fontId="24" fillId="0" borderId="6" xfId="6" applyNumberFormat="1" applyFont="1" applyBorder="1" applyAlignment="1">
      <alignment horizontal="center" vertical="center"/>
    </xf>
    <xf numFmtId="166" fontId="23" fillId="0" borderId="6" xfId="6" applyNumberFormat="1" applyFont="1" applyFill="1" applyBorder="1" applyAlignment="1"/>
    <xf numFmtId="166" fontId="24" fillId="0" borderId="6" xfId="6" applyNumberFormat="1" applyFont="1" applyFill="1" applyBorder="1" applyAlignment="1">
      <alignment horizontal="center" vertical="center" wrapText="1"/>
    </xf>
    <xf numFmtId="166" fontId="24" fillId="0" borderId="6" xfId="6" applyNumberFormat="1" applyFont="1" applyBorder="1" applyAlignment="1">
      <alignment horizontal="center" vertical="center" wrapText="1"/>
    </xf>
    <xf numFmtId="166" fontId="28" fillId="4" borderId="6" xfId="6" applyNumberFormat="1" applyFont="1" applyFill="1" applyBorder="1" applyAlignment="1">
      <alignment horizontal="center" vertical="center" wrapText="1"/>
    </xf>
    <xf numFmtId="16" fontId="24" fillId="0" borderId="0" xfId="5" applyNumberFormat="1" applyAlignment="1">
      <alignment horizontal="center"/>
    </xf>
    <xf numFmtId="166" fontId="24" fillId="0" borderId="7" xfId="6" applyNumberFormat="1" applyFont="1" applyFill="1" applyBorder="1" applyAlignment="1">
      <alignment horizontal="center" vertical="center"/>
    </xf>
    <xf numFmtId="166" fontId="28" fillId="3" borderId="7" xfId="6" applyNumberFormat="1" applyFont="1" applyFill="1" applyBorder="1" applyAlignment="1">
      <alignment horizontal="center" vertical="center"/>
    </xf>
    <xf numFmtId="166" fontId="28" fillId="4" borderId="7" xfId="6" applyNumberFormat="1" applyFont="1" applyFill="1" applyBorder="1" applyAlignment="1">
      <alignment horizontal="center" vertical="center"/>
    </xf>
    <xf numFmtId="166" fontId="28" fillId="0" borderId="7" xfId="6" applyNumberFormat="1" applyFont="1" applyFill="1" applyBorder="1" applyAlignment="1">
      <alignment horizontal="center" vertical="center"/>
    </xf>
    <xf numFmtId="166" fontId="28" fillId="5" borderId="7" xfId="6" applyNumberFormat="1" applyFont="1" applyFill="1" applyBorder="1" applyAlignment="1">
      <alignment horizontal="center" vertical="center"/>
    </xf>
    <xf numFmtId="16" fontId="24" fillId="0" borderId="6" xfId="5" applyNumberFormat="1" applyFont="1" applyBorder="1"/>
    <xf numFmtId="16" fontId="28" fillId="8" borderId="6" xfId="5" applyNumberFormat="1" applyFont="1" applyFill="1" applyBorder="1" applyAlignment="1">
      <alignment horizontal="center" vertical="center"/>
    </xf>
    <xf numFmtId="166" fontId="28" fillId="8" borderId="6" xfId="6" applyNumberFormat="1" applyFont="1" applyFill="1" applyBorder="1" applyAlignment="1">
      <alignment horizontal="center" vertical="center"/>
    </xf>
    <xf numFmtId="166" fontId="24" fillId="7" borderId="6" xfId="6" applyNumberFormat="1" applyFont="1" applyFill="1" applyBorder="1" applyAlignment="1">
      <alignment horizontal="center" vertical="center"/>
    </xf>
    <xf numFmtId="16" fontId="28" fillId="7" borderId="6" xfId="5" applyNumberFormat="1" applyFont="1" applyFill="1" applyBorder="1" applyAlignment="1">
      <alignment horizontal="center" vertical="center" wrapText="1"/>
    </xf>
    <xf numFmtId="166" fontId="24" fillId="7" borderId="6" xfId="6" applyNumberFormat="1" applyFont="1" applyFill="1" applyBorder="1" applyAlignment="1">
      <alignment horizontal="center" vertical="center" wrapText="1"/>
    </xf>
    <xf numFmtId="166" fontId="28" fillId="7" borderId="6" xfId="6" applyNumberFormat="1" applyFont="1" applyFill="1" applyBorder="1" applyAlignment="1">
      <alignment horizontal="center" vertical="center" wrapText="1"/>
    </xf>
    <xf numFmtId="0" fontId="24" fillId="0" borderId="0" xfId="7"/>
    <xf numFmtId="166" fontId="28" fillId="0" borderId="0" xfId="8" applyNumberFormat="1" applyFont="1" applyFill="1" applyAlignment="1">
      <alignment horizontal="center" vertical="center"/>
    </xf>
    <xf numFmtId="0" fontId="29" fillId="0" borderId="0" xfId="7" applyFont="1" applyFill="1" applyAlignment="1"/>
    <xf numFmtId="166" fontId="28" fillId="0" borderId="0" xfId="7" applyNumberFormat="1" applyFont="1" applyFill="1"/>
    <xf numFmtId="166" fontId="28" fillId="0" borderId="0" xfId="8" applyNumberFormat="1" applyFont="1" applyFill="1"/>
    <xf numFmtId="166" fontId="27" fillId="2" borderId="6" xfId="8" applyNumberFormat="1" applyFont="1" applyFill="1" applyBorder="1" applyAlignment="1">
      <alignment horizontal="center" vertical="center"/>
    </xf>
    <xf numFmtId="166" fontId="27" fillId="2" borderId="4" xfId="8" applyNumberFormat="1" applyFont="1" applyFill="1" applyBorder="1" applyAlignment="1">
      <alignment horizontal="center" vertical="center"/>
    </xf>
    <xf numFmtId="167" fontId="28" fillId="0" borderId="6" xfId="7" applyNumberFormat="1" applyFont="1" applyFill="1" applyBorder="1" applyAlignment="1">
      <alignment horizontal="center"/>
    </xf>
    <xf numFmtId="166" fontId="28" fillId="0" borderId="6" xfId="7" applyNumberFormat="1" applyFont="1" applyFill="1" applyBorder="1" applyAlignment="1">
      <alignment horizontal="center"/>
    </xf>
    <xf numFmtId="166" fontId="28" fillId="0" borderId="6" xfId="8" applyNumberFormat="1" applyFont="1" applyFill="1" applyBorder="1" applyAlignment="1">
      <alignment horizontal="center"/>
    </xf>
    <xf numFmtId="16" fontId="28" fillId="0" borderId="6" xfId="7" applyNumberFormat="1" applyFont="1" applyFill="1" applyBorder="1" applyAlignment="1">
      <alignment horizontal="center" vertical="center"/>
    </xf>
    <xf numFmtId="166" fontId="28" fillId="0" borderId="6" xfId="8" applyNumberFormat="1" applyFont="1" applyFill="1" applyBorder="1" applyAlignment="1">
      <alignment horizontal="center" vertical="center"/>
    </xf>
    <xf numFmtId="166" fontId="28" fillId="3" borderId="6" xfId="8" applyNumberFormat="1" applyFont="1" applyFill="1" applyBorder="1" applyAlignment="1">
      <alignment horizontal="center" vertical="center"/>
    </xf>
    <xf numFmtId="166" fontId="28" fillId="4" borderId="6" xfId="8" applyNumberFormat="1" applyFont="1" applyFill="1" applyBorder="1" applyAlignment="1">
      <alignment horizontal="center" vertical="center"/>
    </xf>
    <xf numFmtId="166" fontId="28" fillId="5" borderId="6" xfId="8" applyNumberFormat="1" applyFont="1" applyFill="1" applyBorder="1" applyAlignment="1">
      <alignment horizontal="center" vertical="center"/>
    </xf>
    <xf numFmtId="0" fontId="28" fillId="0" borderId="6" xfId="7" applyFont="1" applyFill="1" applyBorder="1" applyAlignment="1">
      <alignment horizontal="left" vertical="center" wrapText="1"/>
    </xf>
    <xf numFmtId="16" fontId="24" fillId="0" borderId="6" xfId="7" applyNumberFormat="1" applyBorder="1" applyAlignment="1">
      <alignment horizontal="center"/>
    </xf>
    <xf numFmtId="0" fontId="24" fillId="0" borderId="6" xfId="7" applyBorder="1"/>
    <xf numFmtId="166" fontId="23" fillId="0" borderId="6" xfId="8" applyNumberFormat="1" applyFont="1" applyFill="1" applyBorder="1" applyAlignment="1">
      <alignment wrapText="1"/>
    </xf>
    <xf numFmtId="166" fontId="28" fillId="0" borderId="0" xfId="8" applyNumberFormat="1" applyFont="1" applyFill="1" applyAlignment="1">
      <alignment horizontal="right" vertical="center" wrapText="1"/>
    </xf>
    <xf numFmtId="16" fontId="28" fillId="0" borderId="6" xfId="7" applyNumberFormat="1" applyFont="1" applyFill="1" applyBorder="1" applyAlignment="1">
      <alignment horizontal="center" vertical="center" wrapText="1"/>
    </xf>
    <xf numFmtId="166" fontId="28" fillId="0" borderId="0" xfId="8" applyNumberFormat="1" applyFont="1" applyFill="1" applyAlignment="1">
      <alignment vertical="center"/>
    </xf>
    <xf numFmtId="0" fontId="28" fillId="0" borderId="6" xfId="7" applyFont="1" applyFill="1" applyBorder="1" applyAlignment="1">
      <alignment vertical="center" wrapText="1"/>
    </xf>
    <xf numFmtId="0" fontId="28" fillId="0" borderId="6" xfId="7" applyFont="1" applyFill="1" applyBorder="1" applyAlignment="1">
      <alignment wrapText="1"/>
    </xf>
    <xf numFmtId="16" fontId="28" fillId="0" borderId="6" xfId="7" applyNumberFormat="1" applyFont="1" applyFill="1" applyBorder="1" applyAlignment="1">
      <alignment horizontal="center"/>
    </xf>
    <xf numFmtId="0" fontId="24" fillId="0" borderId="0" xfId="7" applyAlignment="1"/>
    <xf numFmtId="0" fontId="28" fillId="0" borderId="6" xfId="7" applyFont="1" applyFill="1" applyBorder="1"/>
    <xf numFmtId="16" fontId="28" fillId="0" borderId="6" xfId="7" applyNumberFormat="1" applyFont="1" applyFill="1" applyBorder="1" applyAlignment="1">
      <alignment horizontal="center" wrapText="1"/>
    </xf>
    <xf numFmtId="0" fontId="24" fillId="0" borderId="0" xfId="7" applyAlignment="1">
      <alignment wrapText="1"/>
    </xf>
    <xf numFmtId="16" fontId="28" fillId="0" borderId="6" xfId="7" applyNumberFormat="1" applyFont="1" applyFill="1" applyBorder="1" applyAlignment="1">
      <alignment vertical="center"/>
    </xf>
    <xf numFmtId="166" fontId="30" fillId="6" borderId="6" xfId="8" applyNumberFormat="1" applyFont="1" applyFill="1" applyBorder="1" applyAlignment="1">
      <alignment vertical="center"/>
    </xf>
    <xf numFmtId="167" fontId="28" fillId="0" borderId="0" xfId="7" applyNumberFormat="1" applyFont="1" applyFill="1" applyAlignment="1"/>
    <xf numFmtId="14" fontId="28" fillId="0" borderId="0" xfId="7" applyNumberFormat="1" applyFont="1" applyFill="1"/>
    <xf numFmtId="166" fontId="27" fillId="0" borderId="0" xfId="8" applyNumberFormat="1" applyFont="1" applyFill="1"/>
    <xf numFmtId="0" fontId="28" fillId="0" borderId="0" xfId="7" applyFont="1" applyFill="1" applyAlignment="1"/>
    <xf numFmtId="0" fontId="31" fillId="0" borderId="0" xfId="7" applyFont="1" applyFill="1"/>
    <xf numFmtId="166" fontId="32" fillId="0" borderId="0" xfId="8" applyNumberFormat="1" applyFont="1" applyFill="1"/>
    <xf numFmtId="0" fontId="25" fillId="0" borderId="0" xfId="7" applyFont="1"/>
    <xf numFmtId="0" fontId="28" fillId="0" borderId="0" xfId="7" applyFont="1" applyFill="1"/>
    <xf numFmtId="166" fontId="34" fillId="0" borderId="0" xfId="8" applyNumberFormat="1" applyFont="1" applyFill="1"/>
    <xf numFmtId="166" fontId="25" fillId="0" borderId="6" xfId="8" applyNumberFormat="1" applyFont="1" applyBorder="1" applyAlignment="1">
      <alignment horizontal="center" vertical="center"/>
    </xf>
    <xf numFmtId="166" fontId="35" fillId="3" borderId="6" xfId="8" applyNumberFormat="1" applyFont="1" applyFill="1" applyBorder="1" applyAlignment="1">
      <alignment horizontal="center" vertical="center"/>
    </xf>
    <xf numFmtId="166" fontId="35" fillId="4" borderId="6" xfId="8" applyNumberFormat="1" applyFont="1" applyFill="1" applyBorder="1" applyAlignment="1">
      <alignment horizontal="center" vertical="center"/>
    </xf>
    <xf numFmtId="166" fontId="35" fillId="0" borderId="6" xfId="8" applyNumberFormat="1" applyFont="1" applyFill="1" applyBorder="1" applyAlignment="1">
      <alignment horizontal="center" vertical="center"/>
    </xf>
    <xf numFmtId="166" fontId="35" fillId="5" borderId="6" xfId="8" applyNumberFormat="1" applyFont="1" applyFill="1" applyBorder="1" applyAlignment="1">
      <alignment horizontal="center" vertical="center"/>
    </xf>
    <xf numFmtId="16" fontId="28" fillId="7" borderId="6" xfId="7" applyNumberFormat="1" applyFont="1" applyFill="1" applyBorder="1" applyAlignment="1">
      <alignment horizontal="center" vertical="center"/>
    </xf>
    <xf numFmtId="166" fontId="28" fillId="7" borderId="6" xfId="8" applyNumberFormat="1" applyFont="1" applyFill="1" applyBorder="1" applyAlignment="1">
      <alignment horizontal="center" vertical="center"/>
    </xf>
    <xf numFmtId="0" fontId="28" fillId="0" borderId="6" xfId="7" applyFont="1" applyFill="1" applyBorder="1" applyAlignment="1">
      <alignment vertical="center"/>
    </xf>
    <xf numFmtId="166" fontId="23" fillId="0" borderId="6" xfId="8" applyNumberFormat="1" applyFont="1" applyFill="1" applyBorder="1" applyAlignment="1">
      <alignment vertical="center" wrapText="1"/>
    </xf>
    <xf numFmtId="166" fontId="23" fillId="0" borderId="6" xfId="8" applyNumberFormat="1" applyFont="1" applyFill="1" applyBorder="1" applyAlignment="1">
      <alignment vertical="center"/>
    </xf>
    <xf numFmtId="166" fontId="23" fillId="0" borderId="6" xfId="8" applyNumberFormat="1" applyFont="1" applyBorder="1"/>
    <xf numFmtId="166" fontId="23" fillId="0" borderId="6" xfId="8" applyNumberFormat="1" applyFont="1" applyFill="1" applyBorder="1" applyAlignment="1">
      <alignment horizontal="right" vertical="center"/>
    </xf>
    <xf numFmtId="166" fontId="23" fillId="0" borderId="6" xfId="8" applyNumberFormat="1" applyFont="1" applyFill="1" applyBorder="1"/>
    <xf numFmtId="166" fontId="24" fillId="0" borderId="6" xfId="8" applyNumberFormat="1" applyFont="1" applyBorder="1" applyAlignment="1">
      <alignment horizontal="center" vertical="center"/>
    </xf>
    <xf numFmtId="166" fontId="23" fillId="0" borderId="6" xfId="8" applyNumberFormat="1" applyFont="1" applyFill="1" applyBorder="1" applyAlignment="1"/>
    <xf numFmtId="166" fontId="24" fillId="0" borderId="6" xfId="8" applyNumberFormat="1" applyFont="1" applyFill="1" applyBorder="1" applyAlignment="1">
      <alignment horizontal="center" vertical="center" wrapText="1"/>
    </xf>
    <xf numFmtId="166" fontId="24" fillId="0" borderId="6" xfId="8" applyNumberFormat="1" applyFont="1" applyBorder="1" applyAlignment="1">
      <alignment horizontal="center" vertical="center" wrapText="1"/>
    </xf>
    <xf numFmtId="166" fontId="28" fillId="4" borderId="6" xfId="8" applyNumberFormat="1" applyFont="1" applyFill="1" applyBorder="1" applyAlignment="1">
      <alignment horizontal="center" vertical="center" wrapText="1"/>
    </xf>
    <xf numFmtId="16" fontId="24" fillId="0" borderId="0" xfId="7" applyNumberFormat="1" applyAlignment="1">
      <alignment horizontal="center"/>
    </xf>
    <xf numFmtId="166" fontId="24" fillId="0" borderId="7" xfId="8" applyNumberFormat="1" applyFont="1" applyFill="1" applyBorder="1" applyAlignment="1">
      <alignment horizontal="center" vertical="center"/>
    </xf>
    <xf numFmtId="166" fontId="28" fillId="3" borderId="7" xfId="8" applyNumberFormat="1" applyFont="1" applyFill="1" applyBorder="1" applyAlignment="1">
      <alignment horizontal="center" vertical="center"/>
    </xf>
    <xf numFmtId="166" fontId="28" fillId="4" borderId="7" xfId="8" applyNumberFormat="1" applyFont="1" applyFill="1" applyBorder="1" applyAlignment="1">
      <alignment horizontal="center" vertical="center"/>
    </xf>
    <xf numFmtId="166" fontId="28" fillId="0" borderId="7" xfId="8" applyNumberFormat="1" applyFont="1" applyFill="1" applyBorder="1" applyAlignment="1">
      <alignment horizontal="center" vertical="center"/>
    </xf>
    <xf numFmtId="166" fontId="28" fillId="5" borderId="7" xfId="8" applyNumberFormat="1" applyFont="1" applyFill="1" applyBorder="1" applyAlignment="1">
      <alignment horizontal="center" vertical="center"/>
    </xf>
    <xf numFmtId="16" fontId="24" fillId="0" borderId="6" xfId="7" applyNumberFormat="1" applyFont="1" applyBorder="1"/>
    <xf numFmtId="16" fontId="28" fillId="8" borderId="6" xfId="7" applyNumberFormat="1" applyFont="1" applyFill="1" applyBorder="1" applyAlignment="1">
      <alignment horizontal="center" vertical="center"/>
    </xf>
    <xf numFmtId="166" fontId="28" fillId="8" borderId="6" xfId="8" applyNumberFormat="1" applyFont="1" applyFill="1" applyBorder="1" applyAlignment="1">
      <alignment horizontal="center" vertical="center"/>
    </xf>
    <xf numFmtId="166" fontId="24" fillId="7" borderId="6" xfId="8" applyNumberFormat="1" applyFont="1" applyFill="1" applyBorder="1" applyAlignment="1">
      <alignment horizontal="center" vertical="center"/>
    </xf>
    <xf numFmtId="16" fontId="28" fillId="0" borderId="0" xfId="7" applyNumberFormat="1" applyFont="1" applyFill="1" applyBorder="1" applyAlignment="1">
      <alignment horizontal="center" vertical="center"/>
    </xf>
    <xf numFmtId="0" fontId="24" fillId="0" borderId="0" xfId="9"/>
    <xf numFmtId="16" fontId="24" fillId="0" borderId="0" xfId="9" applyNumberFormat="1"/>
    <xf numFmtId="0" fontId="24" fillId="0" borderId="0" xfId="10"/>
    <xf numFmtId="16" fontId="24" fillId="0" borderId="0" xfId="10" applyNumberFormat="1"/>
    <xf numFmtId="0" fontId="24" fillId="0" borderId="0" xfId="11"/>
    <xf numFmtId="166" fontId="28" fillId="0" borderId="0" xfId="12" applyNumberFormat="1" applyFont="1" applyFill="1" applyAlignment="1">
      <alignment horizontal="center" vertical="center"/>
    </xf>
    <xf numFmtId="0" fontId="29" fillId="0" borderId="0" xfId="11" applyFont="1" applyFill="1" applyAlignment="1"/>
    <xf numFmtId="166" fontId="28" fillId="0" borderId="0" xfId="11" applyNumberFormat="1" applyFont="1" applyFill="1"/>
    <xf numFmtId="166" fontId="28" fillId="0" borderId="0" xfId="12" applyNumberFormat="1" applyFont="1" applyFill="1"/>
    <xf numFmtId="166" fontId="27" fillId="2" borderId="6" xfId="12" applyNumberFormat="1" applyFont="1" applyFill="1" applyBorder="1" applyAlignment="1">
      <alignment horizontal="center" vertical="center"/>
    </xf>
    <xf numFmtId="166" fontId="27" fillId="2" borderId="4" xfId="12" applyNumberFormat="1" applyFont="1" applyFill="1" applyBorder="1" applyAlignment="1">
      <alignment horizontal="center" vertical="center"/>
    </xf>
    <xf numFmtId="167" fontId="28" fillId="0" borderId="6" xfId="11" applyNumberFormat="1" applyFont="1" applyFill="1" applyBorder="1" applyAlignment="1">
      <alignment horizontal="center"/>
    </xf>
    <xf numFmtId="166" fontId="28" fillId="0" borderId="6" xfId="11" applyNumberFormat="1" applyFont="1" applyFill="1" applyBorder="1" applyAlignment="1">
      <alignment horizontal="center"/>
    </xf>
    <xf numFmtId="166" fontId="28" fillId="0" borderId="6" xfId="12" applyNumberFormat="1" applyFont="1" applyFill="1" applyBorder="1" applyAlignment="1">
      <alignment horizontal="center"/>
    </xf>
    <xf numFmtId="16" fontId="28" fillId="0" borderId="6" xfId="11" applyNumberFormat="1" applyFont="1" applyFill="1" applyBorder="1" applyAlignment="1">
      <alignment horizontal="center" vertical="center"/>
    </xf>
    <xf numFmtId="166" fontId="28" fillId="0" borderId="6" xfId="12" applyNumberFormat="1" applyFont="1" applyFill="1" applyBorder="1" applyAlignment="1">
      <alignment horizontal="center" vertical="center"/>
    </xf>
    <xf numFmtId="166" fontId="28" fillId="3" borderId="6" xfId="12" applyNumberFormat="1" applyFont="1" applyFill="1" applyBorder="1" applyAlignment="1">
      <alignment horizontal="center" vertical="center"/>
    </xf>
    <xf numFmtId="166" fontId="28" fillId="4" borderId="6" xfId="12" applyNumberFormat="1" applyFont="1" applyFill="1" applyBorder="1" applyAlignment="1">
      <alignment horizontal="center" vertical="center"/>
    </xf>
    <xf numFmtId="166" fontId="28" fillId="5" borderId="6" xfId="12" applyNumberFormat="1" applyFont="1" applyFill="1" applyBorder="1" applyAlignment="1">
      <alignment horizontal="center" vertical="center"/>
    </xf>
    <xf numFmtId="0" fontId="28" fillId="0" borderId="6" xfId="11" applyFont="1" applyFill="1" applyBorder="1" applyAlignment="1">
      <alignment horizontal="left" vertical="center" wrapText="1"/>
    </xf>
    <xf numFmtId="16" fontId="24" fillId="0" borderId="6" xfId="11" applyNumberFormat="1" applyBorder="1" applyAlignment="1">
      <alignment horizontal="center"/>
    </xf>
    <xf numFmtId="0" fontId="24" fillId="0" borderId="6" xfId="11" applyBorder="1"/>
    <xf numFmtId="166" fontId="23" fillId="0" borderId="6" xfId="12" applyNumberFormat="1" applyFont="1" applyFill="1" applyBorder="1" applyAlignment="1">
      <alignment wrapText="1"/>
    </xf>
    <xf numFmtId="166" fontId="28" fillId="0" borderId="0" xfId="12" applyNumberFormat="1" applyFont="1" applyFill="1" applyAlignment="1">
      <alignment horizontal="right" vertical="center" wrapText="1"/>
    </xf>
    <xf numFmtId="16" fontId="28" fillId="0" borderId="6" xfId="11" applyNumberFormat="1" applyFont="1" applyFill="1" applyBorder="1" applyAlignment="1">
      <alignment horizontal="center" vertical="center" wrapText="1"/>
    </xf>
    <xf numFmtId="166" fontId="28" fillId="0" borderId="0" xfId="12" applyNumberFormat="1" applyFont="1" applyFill="1" applyAlignment="1">
      <alignment vertical="center"/>
    </xf>
    <xf numFmtId="0" fontId="28" fillId="0" borderId="6" xfId="11" applyFont="1" applyFill="1" applyBorder="1" applyAlignment="1">
      <alignment vertical="center" wrapText="1"/>
    </xf>
    <xf numFmtId="0" fontId="28" fillId="0" borderId="6" xfId="11" applyFont="1" applyFill="1" applyBorder="1" applyAlignment="1">
      <alignment wrapText="1"/>
    </xf>
    <xf numFmtId="16" fontId="28" fillId="0" borderId="6" xfId="11" applyNumberFormat="1" applyFont="1" applyFill="1" applyBorder="1" applyAlignment="1">
      <alignment horizontal="center"/>
    </xf>
    <xf numFmtId="0" fontId="24" fillId="0" borderId="0" xfId="11" applyAlignment="1"/>
    <xf numFmtId="0" fontId="28" fillId="0" borderId="6" xfId="11" applyFont="1" applyFill="1" applyBorder="1"/>
    <xf numFmtId="16" fontId="28" fillId="0" borderId="6" xfId="11" applyNumberFormat="1" applyFont="1" applyFill="1" applyBorder="1" applyAlignment="1">
      <alignment horizontal="center" wrapText="1"/>
    </xf>
    <xf numFmtId="0" fontId="24" fillId="0" borderId="0" xfId="11" applyAlignment="1">
      <alignment wrapText="1"/>
    </xf>
    <xf numFmtId="16" fontId="28" fillId="0" borderId="6" xfId="11" applyNumberFormat="1" applyFont="1" applyFill="1" applyBorder="1" applyAlignment="1">
      <alignment vertical="center"/>
    </xf>
    <xf numFmtId="166" fontId="30" fillId="6" borderId="6" xfId="12" applyNumberFormat="1" applyFont="1" applyFill="1" applyBorder="1" applyAlignment="1">
      <alignment vertical="center"/>
    </xf>
    <xf numFmtId="167" fontId="28" fillId="0" borderId="0" xfId="11" applyNumberFormat="1" applyFont="1" applyFill="1" applyAlignment="1"/>
    <xf numFmtId="14" fontId="28" fillId="0" borderId="0" xfId="11" applyNumberFormat="1" applyFont="1" applyFill="1"/>
    <xf numFmtId="166" fontId="27" fillId="0" borderId="0" xfId="12" applyNumberFormat="1" applyFont="1" applyFill="1"/>
    <xf numFmtId="0" fontId="28" fillId="0" borderId="0" xfId="11" applyFont="1" applyFill="1" applyAlignment="1"/>
    <xf numFmtId="0" fontId="31" fillId="0" borderId="0" xfId="11" applyFont="1" applyFill="1"/>
    <xf numFmtId="166" fontId="32" fillId="0" borderId="0" xfId="12" applyNumberFormat="1" applyFont="1" applyFill="1"/>
    <xf numFmtId="0" fontId="25" fillId="0" borderId="0" xfId="11" applyFont="1"/>
    <xf numFmtId="0" fontId="28" fillId="0" borderId="0" xfId="11" applyFont="1" applyFill="1"/>
    <xf numFmtId="166" fontId="34" fillId="0" borderId="0" xfId="12" applyNumberFormat="1" applyFont="1" applyFill="1"/>
    <xf numFmtId="166" fontId="25" fillId="0" borderId="6" xfId="12" applyNumberFormat="1" applyFont="1" applyBorder="1" applyAlignment="1">
      <alignment horizontal="center" vertical="center"/>
    </xf>
    <xf numFmtId="166" fontId="35" fillId="3" borderId="6" xfId="12" applyNumberFormat="1" applyFont="1" applyFill="1" applyBorder="1" applyAlignment="1">
      <alignment horizontal="center" vertical="center"/>
    </xf>
    <xf numFmtId="166" fontId="35" fillId="4" borderId="6" xfId="12" applyNumberFormat="1" applyFont="1" applyFill="1" applyBorder="1" applyAlignment="1">
      <alignment horizontal="center" vertical="center"/>
    </xf>
    <xf numFmtId="166" fontId="35" fillId="0" borderId="6" xfId="12" applyNumberFormat="1" applyFont="1" applyFill="1" applyBorder="1" applyAlignment="1">
      <alignment horizontal="center" vertical="center"/>
    </xf>
    <xf numFmtId="166" fontId="35" fillId="5" borderId="6" xfId="12" applyNumberFormat="1" applyFont="1" applyFill="1" applyBorder="1" applyAlignment="1">
      <alignment horizontal="center" vertical="center"/>
    </xf>
    <xf numFmtId="16" fontId="28" fillId="7" borderId="6" xfId="11" applyNumberFormat="1" applyFont="1" applyFill="1" applyBorder="1" applyAlignment="1">
      <alignment horizontal="center" vertical="center"/>
    </xf>
    <xf numFmtId="166" fontId="28" fillId="7" borderId="6" xfId="12" applyNumberFormat="1" applyFont="1" applyFill="1" applyBorder="1" applyAlignment="1">
      <alignment horizontal="center" vertical="center"/>
    </xf>
    <xf numFmtId="0" fontId="28" fillId="0" borderId="6" xfId="11" applyFont="1" applyFill="1" applyBorder="1" applyAlignment="1">
      <alignment vertical="center"/>
    </xf>
    <xf numFmtId="166" fontId="23" fillId="0" borderId="6" xfId="12" applyNumberFormat="1" applyFont="1" applyFill="1" applyBorder="1" applyAlignment="1">
      <alignment vertical="center" wrapText="1"/>
    </xf>
    <xf numFmtId="166" fontId="23" fillId="0" borderId="6" xfId="12" applyNumberFormat="1" applyFont="1" applyFill="1" applyBorder="1" applyAlignment="1">
      <alignment vertical="center"/>
    </xf>
    <xf numFmtId="166" fontId="23" fillId="0" borderId="6" xfId="12" applyNumberFormat="1" applyFont="1" applyBorder="1"/>
    <xf numFmtId="166" fontId="23" fillId="0" borderId="6" xfId="12" applyNumberFormat="1" applyFont="1" applyFill="1" applyBorder="1" applyAlignment="1">
      <alignment horizontal="right" vertical="center"/>
    </xf>
    <xf numFmtId="166" fontId="23" fillId="0" borderId="6" xfId="12" applyNumberFormat="1" applyFont="1" applyFill="1" applyBorder="1"/>
    <xf numFmtId="166" fontId="24" fillId="0" borderId="6" xfId="12" applyNumberFormat="1" applyFont="1" applyBorder="1" applyAlignment="1">
      <alignment horizontal="center" vertical="center"/>
    </xf>
    <xf numFmtId="166" fontId="23" fillId="0" borderId="6" xfId="12" applyNumberFormat="1" applyFont="1" applyFill="1" applyBorder="1" applyAlignment="1"/>
    <xf numFmtId="166" fontId="24" fillId="0" borderId="6" xfId="12" applyNumberFormat="1" applyFont="1" applyFill="1" applyBorder="1" applyAlignment="1">
      <alignment horizontal="center" vertical="center" wrapText="1"/>
    </xf>
    <xf numFmtId="166" fontId="24" fillId="0" borderId="6" xfId="12" applyNumberFormat="1" applyFont="1" applyBorder="1" applyAlignment="1">
      <alignment horizontal="center" vertical="center" wrapText="1"/>
    </xf>
    <xf numFmtId="166" fontId="28" fillId="4" borderId="6" xfId="12" applyNumberFormat="1" applyFont="1" applyFill="1" applyBorder="1" applyAlignment="1">
      <alignment horizontal="center" vertical="center" wrapText="1"/>
    </xf>
    <xf numFmtId="16" fontId="24" fillId="0" borderId="0" xfId="11" applyNumberFormat="1" applyAlignment="1">
      <alignment horizontal="center"/>
    </xf>
    <xf numFmtId="166" fontId="24" fillId="0" borderId="7" xfId="12" applyNumberFormat="1" applyFont="1" applyFill="1" applyBorder="1" applyAlignment="1">
      <alignment horizontal="center" vertical="center"/>
    </xf>
    <xf numFmtId="166" fontId="28" fillId="3" borderId="7" xfId="12" applyNumberFormat="1" applyFont="1" applyFill="1" applyBorder="1" applyAlignment="1">
      <alignment horizontal="center" vertical="center"/>
    </xf>
    <xf numFmtId="166" fontId="28" fillId="4" borderId="7" xfId="12" applyNumberFormat="1" applyFont="1" applyFill="1" applyBorder="1" applyAlignment="1">
      <alignment horizontal="center" vertical="center"/>
    </xf>
    <xf numFmtId="166" fontId="28" fillId="0" borderId="7" xfId="12" applyNumberFormat="1" applyFont="1" applyFill="1" applyBorder="1" applyAlignment="1">
      <alignment horizontal="center" vertical="center"/>
    </xf>
    <xf numFmtId="166" fontId="28" fillId="5" borderId="7" xfId="12" applyNumberFormat="1" applyFont="1" applyFill="1" applyBorder="1" applyAlignment="1">
      <alignment horizontal="center" vertical="center"/>
    </xf>
    <xf numFmtId="16" fontId="24" fillId="0" borderId="6" xfId="11" applyNumberFormat="1" applyFont="1" applyBorder="1"/>
    <xf numFmtId="16" fontId="28" fillId="8" borderId="6" xfId="11" applyNumberFormat="1" applyFont="1" applyFill="1" applyBorder="1" applyAlignment="1">
      <alignment horizontal="center" vertical="center"/>
    </xf>
    <xf numFmtId="166" fontId="28" fillId="8" borderId="6" xfId="12" applyNumberFormat="1" applyFont="1" applyFill="1" applyBorder="1" applyAlignment="1">
      <alignment horizontal="center" vertical="center"/>
    </xf>
    <xf numFmtId="166" fontId="24" fillId="7" borderId="6" xfId="12" applyNumberFormat="1" applyFont="1" applyFill="1" applyBorder="1" applyAlignment="1">
      <alignment horizontal="center" vertical="center"/>
    </xf>
    <xf numFmtId="0" fontId="24" fillId="0" borderId="0" xfId="13"/>
    <xf numFmtId="166" fontId="28" fillId="0" borderId="0" xfId="14" applyNumberFormat="1" applyFont="1" applyFill="1" applyAlignment="1">
      <alignment horizontal="center" vertical="center"/>
    </xf>
    <xf numFmtId="0" fontId="29" fillId="0" borderId="0" xfId="13" applyFont="1" applyFill="1" applyAlignment="1"/>
    <xf numFmtId="166" fontId="28" fillId="0" borderId="0" xfId="13" applyNumberFormat="1" applyFont="1" applyFill="1"/>
    <xf numFmtId="166" fontId="28" fillId="0" borderId="0" xfId="14" applyNumberFormat="1" applyFont="1" applyFill="1"/>
    <xf numFmtId="166" fontId="27" fillId="2" borderId="6" xfId="14" applyNumberFormat="1" applyFont="1" applyFill="1" applyBorder="1" applyAlignment="1">
      <alignment horizontal="center" vertical="center"/>
    </xf>
    <xf numFmtId="166" fontId="27" fillId="2" borderId="4" xfId="14" applyNumberFormat="1" applyFont="1" applyFill="1" applyBorder="1" applyAlignment="1">
      <alignment horizontal="center" vertical="center"/>
    </xf>
    <xf numFmtId="167" fontId="28" fillId="0" borderId="6" xfId="13" applyNumberFormat="1" applyFont="1" applyFill="1" applyBorder="1" applyAlignment="1">
      <alignment horizontal="center"/>
    </xf>
    <xf numFmtId="166" fontId="28" fillId="0" borderId="6" xfId="13" applyNumberFormat="1" applyFont="1" applyFill="1" applyBorder="1" applyAlignment="1">
      <alignment horizontal="center"/>
    </xf>
    <xf numFmtId="166" fontId="28" fillId="0" borderId="6" xfId="14" applyNumberFormat="1" applyFont="1" applyFill="1" applyBorder="1" applyAlignment="1">
      <alignment horizontal="center"/>
    </xf>
    <xf numFmtId="16" fontId="28" fillId="0" borderId="6" xfId="13" applyNumberFormat="1" applyFont="1" applyFill="1" applyBorder="1" applyAlignment="1">
      <alignment horizontal="center" vertical="center"/>
    </xf>
    <xf numFmtId="166" fontId="28" fillId="0" borderId="6" xfId="14" applyNumberFormat="1" applyFont="1" applyFill="1" applyBorder="1" applyAlignment="1">
      <alignment horizontal="center" vertical="center"/>
    </xf>
    <xf numFmtId="166" fontId="28" fillId="3" borderId="6" xfId="14" applyNumberFormat="1" applyFont="1" applyFill="1" applyBorder="1" applyAlignment="1">
      <alignment horizontal="center" vertical="center"/>
    </xf>
    <xf numFmtId="166" fontId="28" fillId="4" borderId="6" xfId="14" applyNumberFormat="1" applyFont="1" applyFill="1" applyBorder="1" applyAlignment="1">
      <alignment horizontal="center" vertical="center"/>
    </xf>
    <xf numFmtId="166" fontId="28" fillId="5" borderId="6" xfId="14" applyNumberFormat="1" applyFont="1" applyFill="1" applyBorder="1" applyAlignment="1">
      <alignment horizontal="center" vertical="center"/>
    </xf>
    <xf numFmtId="0" fontId="28" fillId="0" borderId="6" xfId="13" applyFont="1" applyFill="1" applyBorder="1" applyAlignment="1">
      <alignment horizontal="left" vertical="center" wrapText="1"/>
    </xf>
    <xf numFmtId="16" fontId="24" fillId="0" borderId="6" xfId="13" applyNumberFormat="1" applyBorder="1" applyAlignment="1">
      <alignment horizontal="center"/>
    </xf>
    <xf numFmtId="0" fontId="24" fillId="0" borderId="6" xfId="13" applyBorder="1"/>
    <xf numFmtId="166" fontId="23" fillId="0" borderId="6" xfId="14" applyNumberFormat="1" applyFont="1" applyFill="1" applyBorder="1" applyAlignment="1">
      <alignment wrapText="1"/>
    </xf>
    <xf numFmtId="166" fontId="28" fillId="0" borderId="0" xfId="14" applyNumberFormat="1" applyFont="1" applyFill="1" applyAlignment="1">
      <alignment horizontal="right" vertical="center" wrapText="1"/>
    </xf>
    <xf numFmtId="16" fontId="28" fillId="0" borderId="6" xfId="13" applyNumberFormat="1" applyFont="1" applyFill="1" applyBorder="1" applyAlignment="1">
      <alignment horizontal="center" vertical="center" wrapText="1"/>
    </xf>
    <xf numFmtId="166" fontId="28" fillId="0" borderId="0" xfId="14" applyNumberFormat="1" applyFont="1" applyFill="1" applyAlignment="1">
      <alignment vertical="center"/>
    </xf>
    <xf numFmtId="0" fontId="28" fillId="0" borderId="6" xfId="13" applyFont="1" applyFill="1" applyBorder="1" applyAlignment="1">
      <alignment vertical="center" wrapText="1"/>
    </xf>
    <xf numFmtId="0" fontId="28" fillId="0" borderId="6" xfId="13" applyFont="1" applyFill="1" applyBorder="1" applyAlignment="1">
      <alignment wrapText="1"/>
    </xf>
    <xf numFmtId="16" fontId="28" fillId="0" borderId="6" xfId="13" applyNumberFormat="1" applyFont="1" applyFill="1" applyBorder="1" applyAlignment="1">
      <alignment horizontal="center"/>
    </xf>
    <xf numFmtId="0" fontId="24" fillId="0" borderId="0" xfId="13" applyAlignment="1"/>
    <xf numFmtId="0" fontId="28" fillId="0" borderId="6" xfId="13" applyFont="1" applyFill="1" applyBorder="1"/>
    <xf numFmtId="16" fontId="28" fillId="0" borderId="6" xfId="13" applyNumberFormat="1" applyFont="1" applyFill="1" applyBorder="1" applyAlignment="1">
      <alignment horizontal="center" wrapText="1"/>
    </xf>
    <xf numFmtId="0" fontId="24" fillId="0" borderId="0" xfId="13" applyAlignment="1">
      <alignment wrapText="1"/>
    </xf>
    <xf numFmtId="16" fontId="28" fillId="0" borderId="6" xfId="13" applyNumberFormat="1" applyFont="1" applyFill="1" applyBorder="1" applyAlignment="1">
      <alignment vertical="center"/>
    </xf>
    <xf numFmtId="166" fontId="30" fillId="6" borderId="6" xfId="14" applyNumberFormat="1" applyFont="1" applyFill="1" applyBorder="1" applyAlignment="1">
      <alignment vertical="center"/>
    </xf>
    <xf numFmtId="167" fontId="28" fillId="0" borderId="0" xfId="13" applyNumberFormat="1" applyFont="1" applyFill="1" applyAlignment="1"/>
    <xf numFmtId="14" fontId="28" fillId="0" borderId="0" xfId="13" applyNumberFormat="1" applyFont="1" applyFill="1"/>
    <xf numFmtId="166" fontId="27" fillId="0" borderId="0" xfId="14" applyNumberFormat="1" applyFont="1" applyFill="1"/>
    <xf numFmtId="0" fontId="28" fillId="0" borderId="0" xfId="13" applyFont="1" applyFill="1" applyAlignment="1"/>
    <xf numFmtId="0" fontId="31" fillId="0" borderId="0" xfId="13" applyFont="1" applyFill="1"/>
    <xf numFmtId="166" fontId="32" fillId="0" borderId="0" xfId="14" applyNumberFormat="1" applyFont="1" applyFill="1"/>
    <xf numFmtId="0" fontId="25" fillId="0" borderId="0" xfId="13" applyFont="1"/>
    <xf numFmtId="0" fontId="28" fillId="0" borderId="0" xfId="13" applyFont="1" applyFill="1"/>
    <xf numFmtId="166" fontId="34" fillId="0" borderId="0" xfId="14" applyNumberFormat="1" applyFont="1" applyFill="1"/>
    <xf numFmtId="166" fontId="25" fillId="0" borderId="6" xfId="14" applyNumberFormat="1" applyFont="1" applyBorder="1" applyAlignment="1">
      <alignment horizontal="center" vertical="center"/>
    </xf>
    <xf numFmtId="166" fontId="35" fillId="3" borderId="6" xfId="14" applyNumberFormat="1" applyFont="1" applyFill="1" applyBorder="1" applyAlignment="1">
      <alignment horizontal="center" vertical="center"/>
    </xf>
    <xf numFmtId="166" fontId="35" fillId="4" borderId="6" xfId="14" applyNumberFormat="1" applyFont="1" applyFill="1" applyBorder="1" applyAlignment="1">
      <alignment horizontal="center" vertical="center"/>
    </xf>
    <xf numFmtId="166" fontId="35" fillId="0" borderId="6" xfId="14" applyNumberFormat="1" applyFont="1" applyFill="1" applyBorder="1" applyAlignment="1">
      <alignment horizontal="center" vertical="center"/>
    </xf>
    <xf numFmtId="166" fontId="35" fillId="5" borderId="6" xfId="14" applyNumberFormat="1" applyFont="1" applyFill="1" applyBorder="1" applyAlignment="1">
      <alignment horizontal="center" vertical="center"/>
    </xf>
    <xf numFmtId="16" fontId="28" fillId="7" borderId="6" xfId="13" applyNumberFormat="1" applyFont="1" applyFill="1" applyBorder="1" applyAlignment="1">
      <alignment horizontal="center" vertical="center"/>
    </xf>
    <xf numFmtId="166" fontId="28" fillId="7" borderId="6" xfId="14" applyNumberFormat="1" applyFont="1" applyFill="1" applyBorder="1" applyAlignment="1">
      <alignment horizontal="center" vertical="center"/>
    </xf>
    <xf numFmtId="0" fontId="28" fillId="0" borderId="6" xfId="13" applyFont="1" applyFill="1" applyBorder="1" applyAlignment="1">
      <alignment vertical="center"/>
    </xf>
    <xf numFmtId="166" fontId="23" fillId="0" borderId="6" xfId="14" applyNumberFormat="1" applyFont="1" applyFill="1" applyBorder="1" applyAlignment="1">
      <alignment vertical="center" wrapText="1"/>
    </xf>
    <xf numFmtId="166" fontId="23" fillId="0" borderId="6" xfId="14" applyNumberFormat="1" applyFont="1" applyFill="1" applyBorder="1" applyAlignment="1">
      <alignment vertical="center"/>
    </xf>
    <xf numFmtId="166" fontId="23" fillId="0" borderId="6" xfId="14" applyNumberFormat="1" applyFont="1" applyBorder="1"/>
    <xf numFmtId="166" fontId="23" fillId="0" borderId="6" xfId="14" applyNumberFormat="1" applyFont="1" applyFill="1" applyBorder="1" applyAlignment="1">
      <alignment horizontal="right" vertical="center"/>
    </xf>
    <xf numFmtId="166" fontId="23" fillId="0" borderId="6" xfId="14" applyNumberFormat="1" applyFont="1" applyFill="1" applyBorder="1"/>
    <xf numFmtId="166" fontId="24" fillId="0" borderId="6" xfId="14" applyNumberFormat="1" applyFont="1" applyBorder="1" applyAlignment="1">
      <alignment horizontal="center" vertical="center"/>
    </xf>
    <xf numFmtId="166" fontId="23" fillId="0" borderId="6" xfId="14" applyNumberFormat="1" applyFont="1" applyFill="1" applyBorder="1" applyAlignment="1"/>
    <xf numFmtId="166" fontId="24" fillId="0" borderId="6" xfId="14" applyNumberFormat="1" applyFont="1" applyFill="1" applyBorder="1" applyAlignment="1">
      <alignment horizontal="center" vertical="center" wrapText="1"/>
    </xf>
    <xf numFmtId="166" fontId="24" fillId="0" borderId="6" xfId="14" applyNumberFormat="1" applyFont="1" applyBorder="1" applyAlignment="1">
      <alignment horizontal="center" vertical="center" wrapText="1"/>
    </xf>
    <xf numFmtId="166" fontId="28" fillId="4" borderId="6" xfId="14" applyNumberFormat="1" applyFont="1" applyFill="1" applyBorder="1" applyAlignment="1">
      <alignment horizontal="center" vertical="center" wrapText="1"/>
    </xf>
    <xf numFmtId="16" fontId="24" fillId="0" borderId="0" xfId="13" applyNumberFormat="1" applyAlignment="1">
      <alignment horizontal="center"/>
    </xf>
    <xf numFmtId="166" fontId="24" fillId="0" borderId="7" xfId="14" applyNumberFormat="1" applyFont="1" applyFill="1" applyBorder="1" applyAlignment="1">
      <alignment horizontal="center" vertical="center"/>
    </xf>
    <xf numFmtId="166" fontId="28" fillId="3" borderId="7" xfId="14" applyNumberFormat="1" applyFont="1" applyFill="1" applyBorder="1" applyAlignment="1">
      <alignment horizontal="center" vertical="center"/>
    </xf>
    <xf numFmtId="166" fontId="28" fillId="4" borderId="7" xfId="14" applyNumberFormat="1" applyFont="1" applyFill="1" applyBorder="1" applyAlignment="1">
      <alignment horizontal="center" vertical="center"/>
    </xf>
    <xf numFmtId="166" fontId="28" fillId="0" borderId="7" xfId="14" applyNumberFormat="1" applyFont="1" applyFill="1" applyBorder="1" applyAlignment="1">
      <alignment horizontal="center" vertical="center"/>
    </xf>
    <xf numFmtId="166" fontId="28" fillId="5" borderId="7" xfId="14" applyNumberFormat="1" applyFont="1" applyFill="1" applyBorder="1" applyAlignment="1">
      <alignment horizontal="center" vertical="center"/>
    </xf>
    <xf numFmtId="16" fontId="24" fillId="0" borderId="6" xfId="13" applyNumberFormat="1" applyFont="1" applyBorder="1"/>
    <xf numFmtId="166" fontId="24" fillId="7" borderId="6" xfId="14" applyNumberFormat="1" applyFont="1" applyFill="1" applyBorder="1" applyAlignment="1">
      <alignment horizontal="center" vertical="center"/>
    </xf>
    <xf numFmtId="0" fontId="24" fillId="0" borderId="0" xfId="15"/>
    <xf numFmtId="166" fontId="27" fillId="0" borderId="0" xfId="16" applyNumberFormat="1" applyFont="1" applyFill="1" applyBorder="1" applyAlignment="1">
      <alignment horizontal="center" vertical="center" wrapText="1"/>
    </xf>
    <xf numFmtId="166" fontId="28" fillId="0" borderId="0" xfId="16" applyNumberFormat="1" applyFont="1" applyFill="1" applyAlignment="1">
      <alignment horizontal="center" vertical="center"/>
    </xf>
    <xf numFmtId="0" fontId="29" fillId="0" borderId="0" xfId="15" applyFont="1" applyFill="1" applyAlignment="1"/>
    <xf numFmtId="166" fontId="28" fillId="0" borderId="0" xfId="15" applyNumberFormat="1" applyFont="1" applyFill="1"/>
    <xf numFmtId="166" fontId="28" fillId="0" borderId="0" xfId="16" applyNumberFormat="1" applyFont="1" applyFill="1"/>
    <xf numFmtId="166" fontId="27" fillId="2" borderId="6" xfId="16" applyNumberFormat="1" applyFont="1" applyFill="1" applyBorder="1" applyAlignment="1">
      <alignment horizontal="center" vertical="center"/>
    </xf>
    <xf numFmtId="166" fontId="27" fillId="2" borderId="4" xfId="16" applyNumberFormat="1" applyFont="1" applyFill="1" applyBorder="1" applyAlignment="1">
      <alignment horizontal="center" vertical="center"/>
    </xf>
    <xf numFmtId="167" fontId="28" fillId="0" borderId="6" xfId="15" applyNumberFormat="1" applyFont="1" applyFill="1" applyBorder="1" applyAlignment="1">
      <alignment horizontal="center"/>
    </xf>
    <xf numFmtId="166" fontId="28" fillId="0" borderId="6" xfId="15" applyNumberFormat="1" applyFont="1" applyFill="1" applyBorder="1" applyAlignment="1">
      <alignment horizontal="center"/>
    </xf>
    <xf numFmtId="166" fontId="28" fillId="0" borderId="6" xfId="16" applyNumberFormat="1" applyFont="1" applyFill="1" applyBorder="1" applyAlignment="1">
      <alignment horizontal="center"/>
    </xf>
    <xf numFmtId="16" fontId="28" fillId="0" borderId="6" xfId="15" applyNumberFormat="1" applyFont="1" applyFill="1" applyBorder="1" applyAlignment="1">
      <alignment horizontal="center" vertical="center"/>
    </xf>
    <xf numFmtId="166" fontId="28" fillId="3" borderId="6" xfId="16" applyNumberFormat="1" applyFont="1" applyFill="1" applyBorder="1" applyAlignment="1">
      <alignment horizontal="center" vertical="center"/>
    </xf>
    <xf numFmtId="166" fontId="28" fillId="4" borderId="6" xfId="16" applyNumberFormat="1" applyFont="1" applyFill="1" applyBorder="1" applyAlignment="1">
      <alignment horizontal="center" vertical="center"/>
    </xf>
    <xf numFmtId="166" fontId="28" fillId="5" borderId="6" xfId="16" applyNumberFormat="1" applyFont="1" applyFill="1" applyBorder="1" applyAlignment="1">
      <alignment horizontal="center" vertical="center"/>
    </xf>
    <xf numFmtId="166" fontId="28" fillId="0" borderId="0" xfId="16" applyNumberFormat="1" applyFont="1" applyFill="1" applyBorder="1" applyAlignment="1">
      <alignment horizontal="center" vertical="center"/>
    </xf>
    <xf numFmtId="0" fontId="28" fillId="0" borderId="6" xfId="15" applyFont="1" applyFill="1" applyBorder="1" applyAlignment="1">
      <alignment horizontal="left" vertical="center" wrapText="1"/>
    </xf>
    <xf numFmtId="166" fontId="23" fillId="0" borderId="6" xfId="16" applyNumberFormat="1" applyFont="1" applyFill="1" applyBorder="1" applyAlignment="1">
      <alignment horizontal="center" vertical="center" wrapText="1"/>
    </xf>
    <xf numFmtId="16" fontId="24" fillId="0" borderId="6" xfId="15" applyNumberFormat="1" applyBorder="1" applyAlignment="1">
      <alignment horizontal="center"/>
    </xf>
    <xf numFmtId="0" fontId="24" fillId="0" borderId="6" xfId="15" applyBorder="1"/>
    <xf numFmtId="166" fontId="23" fillId="0" borderId="6" xfId="16" applyNumberFormat="1" applyFont="1" applyFill="1" applyBorder="1" applyAlignment="1">
      <alignment wrapText="1"/>
    </xf>
    <xf numFmtId="166" fontId="28" fillId="0" borderId="0" xfId="16" applyNumberFormat="1" applyFont="1" applyFill="1" applyAlignment="1">
      <alignment horizontal="right" vertical="center" wrapText="1"/>
    </xf>
    <xf numFmtId="16" fontId="28" fillId="0" borderId="6" xfId="15" applyNumberFormat="1" applyFont="1" applyFill="1" applyBorder="1" applyAlignment="1">
      <alignment horizontal="center" vertical="center" wrapText="1"/>
    </xf>
    <xf numFmtId="0" fontId="28" fillId="0" borderId="6" xfId="15" applyFont="1" applyFill="1" applyBorder="1" applyAlignment="1">
      <alignment horizontal="left" vertical="center"/>
    </xf>
    <xf numFmtId="166" fontId="28" fillId="0" borderId="0" xfId="16" applyNumberFormat="1" applyFont="1" applyFill="1" applyAlignment="1">
      <alignment vertical="center"/>
    </xf>
    <xf numFmtId="0" fontId="28" fillId="0" borderId="6" xfId="15" applyFont="1" applyFill="1" applyBorder="1" applyAlignment="1">
      <alignment vertical="center" wrapText="1"/>
    </xf>
    <xf numFmtId="166" fontId="28" fillId="0" borderId="0" xfId="16" applyNumberFormat="1" applyFont="1" applyFill="1" applyBorder="1" applyAlignment="1">
      <alignment horizontal="left" vertical="center"/>
    </xf>
    <xf numFmtId="0" fontId="28" fillId="0" borderId="6" xfId="15" applyFont="1" applyFill="1" applyBorder="1" applyAlignment="1">
      <alignment wrapText="1"/>
    </xf>
    <xf numFmtId="0" fontId="24" fillId="0" borderId="0" xfId="15" applyFill="1" applyAlignment="1"/>
    <xf numFmtId="16" fontId="28" fillId="0" borderId="6" xfId="15" applyNumberFormat="1" applyFont="1" applyFill="1" applyBorder="1" applyAlignment="1">
      <alignment horizontal="center"/>
    </xf>
    <xf numFmtId="0" fontId="24" fillId="0" borderId="0" xfId="15" applyAlignment="1"/>
    <xf numFmtId="0" fontId="24" fillId="0" borderId="6" xfId="15" applyBorder="1" applyAlignment="1">
      <alignment wrapText="1"/>
    </xf>
    <xf numFmtId="0" fontId="24" fillId="0" borderId="0" xfId="15" applyFill="1"/>
    <xf numFmtId="0" fontId="28" fillId="0" borderId="6" xfId="15" applyFont="1" applyFill="1" applyBorder="1"/>
    <xf numFmtId="0" fontId="24" fillId="0" borderId="0" xfId="15" applyFill="1" applyAlignment="1">
      <alignment wrapText="1"/>
    </xf>
    <xf numFmtId="16" fontId="28" fillId="0" borderId="6" xfId="15" applyNumberFormat="1" applyFont="1" applyFill="1" applyBorder="1" applyAlignment="1">
      <alignment horizontal="center" wrapText="1"/>
    </xf>
    <xf numFmtId="166" fontId="23" fillId="0" borderId="0" xfId="16" applyNumberFormat="1" applyFont="1" applyFill="1" applyBorder="1" applyAlignment="1">
      <alignment horizontal="center" vertical="center"/>
    </xf>
    <xf numFmtId="16" fontId="28" fillId="0" borderId="6" xfId="15" applyNumberFormat="1" applyFont="1" applyFill="1" applyBorder="1" applyAlignment="1">
      <alignment vertical="center"/>
    </xf>
    <xf numFmtId="166" fontId="30" fillId="6" borderId="6" xfId="16" applyNumberFormat="1" applyFont="1" applyFill="1" applyBorder="1" applyAlignment="1">
      <alignment vertical="center"/>
    </xf>
    <xf numFmtId="167" fontId="28" fillId="0" borderId="0" xfId="15" applyNumberFormat="1" applyFont="1" applyFill="1" applyAlignment="1"/>
    <xf numFmtId="14" fontId="28" fillId="0" borderId="0" xfId="15" applyNumberFormat="1" applyFont="1" applyFill="1"/>
    <xf numFmtId="166" fontId="27" fillId="0" borderId="0" xfId="16" applyNumberFormat="1" applyFont="1" applyFill="1"/>
    <xf numFmtId="0" fontId="25" fillId="0" borderId="0" xfId="15" applyFont="1" applyFill="1"/>
    <xf numFmtId="0" fontId="28" fillId="0" borderId="0" xfId="15" applyFont="1" applyFill="1" applyAlignment="1"/>
    <xf numFmtId="0" fontId="31" fillId="0" borderId="0" xfId="15" applyFont="1" applyFill="1"/>
    <xf numFmtId="166" fontId="32" fillId="0" borderId="0" xfId="16" applyNumberFormat="1" applyFont="1" applyFill="1"/>
    <xf numFmtId="0" fontId="28" fillId="0" borderId="0" xfId="15" applyFont="1" applyFill="1"/>
    <xf numFmtId="166" fontId="34" fillId="0" borderId="0" xfId="16" applyNumberFormat="1" applyFont="1" applyFill="1"/>
    <xf numFmtId="166" fontId="35" fillId="3" borderId="6" xfId="16" applyNumberFormat="1" applyFont="1" applyFill="1" applyBorder="1" applyAlignment="1">
      <alignment horizontal="center" vertical="center"/>
    </xf>
    <xf numFmtId="166" fontId="35" fillId="4" borderId="6" xfId="16" applyNumberFormat="1" applyFont="1" applyFill="1" applyBorder="1" applyAlignment="1">
      <alignment horizontal="center" vertical="center"/>
    </xf>
    <xf numFmtId="166" fontId="24" fillId="0" borderId="0" xfId="15" applyNumberFormat="1"/>
    <xf numFmtId="16" fontId="28" fillId="7" borderId="6" xfId="15" applyNumberFormat="1" applyFont="1" applyFill="1" applyBorder="1" applyAlignment="1">
      <alignment horizontal="center" vertical="center"/>
    </xf>
    <xf numFmtId="166" fontId="28" fillId="7" borderId="6" xfId="16" applyNumberFormat="1" applyFont="1" applyFill="1" applyBorder="1" applyAlignment="1">
      <alignment horizontal="center" vertical="center"/>
    </xf>
    <xf numFmtId="0" fontId="24" fillId="7" borderId="0" xfId="15" applyFill="1"/>
    <xf numFmtId="166" fontId="28" fillId="7" borderId="6" xfId="16" applyNumberFormat="1" applyFont="1" applyFill="1" applyBorder="1" applyAlignment="1">
      <alignment horizontal="left" vertical="center"/>
    </xf>
    <xf numFmtId="0" fontId="24" fillId="0" borderId="0" xfId="15" applyAlignment="1">
      <alignment horizontal="left"/>
    </xf>
    <xf numFmtId="166" fontId="24" fillId="5" borderId="6" xfId="16" applyNumberFormat="1" applyFont="1" applyFill="1" applyBorder="1" applyAlignment="1">
      <alignment horizontal="center" vertical="center"/>
    </xf>
    <xf numFmtId="166" fontId="28" fillId="0" borderId="0" xfId="16" applyNumberFormat="1" applyFont="1" applyFill="1" applyBorder="1" applyAlignment="1">
      <alignment vertical="center"/>
    </xf>
    <xf numFmtId="166" fontId="28" fillId="8" borderId="0" xfId="16" applyNumberFormat="1" applyFont="1" applyFill="1" applyBorder="1" applyAlignment="1">
      <alignment horizontal="center" vertical="center"/>
    </xf>
    <xf numFmtId="166" fontId="23" fillId="8" borderId="6" xfId="16" applyNumberFormat="1" applyFont="1" applyFill="1" applyBorder="1" applyAlignment="1">
      <alignment wrapText="1"/>
    </xf>
    <xf numFmtId="166" fontId="24" fillId="3" borderId="6" xfId="15" applyNumberFormat="1" applyFill="1" applyBorder="1"/>
    <xf numFmtId="166" fontId="24" fillId="4" borderId="6" xfId="15" applyNumberFormat="1" applyFill="1" applyBorder="1"/>
    <xf numFmtId="166" fontId="24" fillId="5" borderId="6" xfId="15" applyNumberFormat="1" applyFill="1" applyBorder="1"/>
    <xf numFmtId="0" fontId="24" fillId="9" borderId="6" xfId="15" applyFill="1" applyBorder="1"/>
    <xf numFmtId="166" fontId="28" fillId="10" borderId="6" xfId="16" applyNumberFormat="1" applyFont="1" applyFill="1" applyBorder="1" applyAlignment="1">
      <alignment horizontal="left" vertical="center"/>
    </xf>
    <xf numFmtId="166" fontId="35" fillId="10" borderId="6" xfId="16" applyNumberFormat="1" applyFont="1" applyFill="1" applyBorder="1" applyAlignment="1">
      <alignment horizontal="left" vertical="center"/>
    </xf>
    <xf numFmtId="166" fontId="24" fillId="10" borderId="6" xfId="15" applyNumberFormat="1" applyFill="1" applyBorder="1"/>
    <xf numFmtId="166" fontId="28" fillId="11" borderId="6" xfId="16" applyNumberFormat="1" applyFont="1" applyFill="1" applyBorder="1" applyAlignment="1">
      <alignment horizontal="left" vertical="center"/>
    </xf>
    <xf numFmtId="166" fontId="28" fillId="11" borderId="6" xfId="16" applyNumberFormat="1" applyFont="1" applyFill="1" applyBorder="1" applyAlignment="1">
      <alignment horizontal="center" vertical="center"/>
    </xf>
    <xf numFmtId="166" fontId="25" fillId="11" borderId="6" xfId="16" applyNumberFormat="1" applyFont="1" applyFill="1" applyBorder="1" applyAlignment="1">
      <alignment horizontal="center" vertical="center"/>
    </xf>
    <xf numFmtId="166" fontId="24" fillId="11" borderId="6" xfId="15" applyNumberFormat="1" applyFill="1" applyBorder="1"/>
    <xf numFmtId="166" fontId="28" fillId="12" borderId="6" xfId="16" applyNumberFormat="1" applyFont="1" applyFill="1" applyBorder="1" applyAlignment="1">
      <alignment horizontal="center" vertical="center"/>
    </xf>
    <xf numFmtId="166" fontId="25" fillId="12" borderId="6" xfId="16" applyNumberFormat="1" applyFont="1" applyFill="1" applyBorder="1" applyAlignment="1">
      <alignment horizontal="center" vertical="center"/>
    </xf>
    <xf numFmtId="166" fontId="24" fillId="12" borderId="6" xfId="15" applyNumberFormat="1" applyFill="1" applyBorder="1"/>
    <xf numFmtId="16" fontId="28" fillId="9" borderId="6" xfId="15" applyNumberFormat="1" applyFont="1" applyFill="1" applyBorder="1" applyAlignment="1">
      <alignment horizontal="center" vertical="center"/>
    </xf>
    <xf numFmtId="16" fontId="24" fillId="9" borderId="6" xfId="15" applyNumberFormat="1" applyFill="1" applyBorder="1" applyAlignment="1">
      <alignment horizontal="center" vertical="center"/>
    </xf>
    <xf numFmtId="165" fontId="24" fillId="11" borderId="6" xfId="17" applyFont="1" applyFill="1" applyBorder="1"/>
    <xf numFmtId="165" fontId="24" fillId="12" borderId="6" xfId="17" applyFont="1" applyFill="1" applyBorder="1"/>
    <xf numFmtId="165" fontId="24" fillId="3" borderId="6" xfId="17" applyFont="1" applyFill="1" applyBorder="1"/>
    <xf numFmtId="165" fontId="24" fillId="4" borderId="6" xfId="17" applyFont="1" applyFill="1" applyBorder="1"/>
    <xf numFmtId="165" fontId="24" fillId="10" borderId="6" xfId="17" applyFont="1" applyFill="1" applyBorder="1"/>
    <xf numFmtId="165" fontId="24" fillId="5" borderId="6" xfId="17" applyFont="1" applyFill="1" applyBorder="1"/>
    <xf numFmtId="165" fontId="24" fillId="10" borderId="6" xfId="17" applyFont="1" applyFill="1" applyBorder="1" applyAlignment="1">
      <alignment horizontal="left"/>
    </xf>
    <xf numFmtId="16" fontId="24" fillId="9" borderId="6" xfId="15" applyNumberFormat="1" applyFill="1" applyBorder="1" applyAlignment="1">
      <alignment horizontal="center"/>
    </xf>
    <xf numFmtId="0" fontId="24" fillId="0" borderId="0" xfId="18"/>
    <xf numFmtId="166" fontId="27" fillId="0" borderId="0" xfId="19" applyNumberFormat="1" applyFont="1" applyFill="1" applyBorder="1" applyAlignment="1">
      <alignment horizontal="center" vertical="center" wrapText="1"/>
    </xf>
    <xf numFmtId="166" fontId="28" fillId="0" borderId="0" xfId="19" applyNumberFormat="1" applyFont="1" applyFill="1" applyAlignment="1">
      <alignment horizontal="center" vertical="center"/>
    </xf>
    <xf numFmtId="0" fontId="29" fillId="0" borderId="0" xfId="18" applyFont="1" applyFill="1" applyAlignment="1"/>
    <xf numFmtId="166" fontId="28" fillId="0" borderId="0" xfId="18" applyNumberFormat="1" applyFont="1" applyFill="1"/>
    <xf numFmtId="166" fontId="28" fillId="0" borderId="0" xfId="19" applyNumberFormat="1" applyFont="1" applyFill="1"/>
    <xf numFmtId="166" fontId="27" fillId="2" borderId="6" xfId="19" applyNumberFormat="1" applyFont="1" applyFill="1" applyBorder="1" applyAlignment="1">
      <alignment horizontal="center" vertical="center"/>
    </xf>
    <xf numFmtId="166" fontId="27" fillId="2" borderId="4" xfId="19" applyNumberFormat="1" applyFont="1" applyFill="1" applyBorder="1" applyAlignment="1">
      <alignment horizontal="center" vertical="center"/>
    </xf>
    <xf numFmtId="167" fontId="28" fillId="0" borderId="6" xfId="18" applyNumberFormat="1" applyFont="1" applyFill="1" applyBorder="1" applyAlignment="1">
      <alignment horizontal="center"/>
    </xf>
    <xf numFmtId="166" fontId="28" fillId="0" borderId="6" xfId="18" applyNumberFormat="1" applyFont="1" applyFill="1" applyBorder="1" applyAlignment="1">
      <alignment horizontal="center"/>
    </xf>
    <xf numFmtId="166" fontId="28" fillId="0" borderId="6" xfId="19" applyNumberFormat="1" applyFont="1" applyFill="1" applyBorder="1" applyAlignment="1">
      <alignment horizontal="center"/>
    </xf>
    <xf numFmtId="16" fontId="28" fillId="0" borderId="6" xfId="18" applyNumberFormat="1" applyFont="1" applyFill="1" applyBorder="1" applyAlignment="1">
      <alignment horizontal="center" vertical="center"/>
    </xf>
    <xf numFmtId="166" fontId="28" fillId="0" borderId="6" xfId="19" applyNumberFormat="1" applyFont="1" applyFill="1" applyBorder="1" applyAlignment="1">
      <alignment horizontal="center" vertical="center"/>
    </xf>
    <xf numFmtId="166" fontId="28" fillId="3" borderId="6" xfId="19" applyNumberFormat="1" applyFont="1" applyFill="1" applyBorder="1" applyAlignment="1">
      <alignment horizontal="center" vertical="center"/>
    </xf>
    <xf numFmtId="166" fontId="28" fillId="4" borderId="6" xfId="19" applyNumberFormat="1" applyFont="1" applyFill="1" applyBorder="1" applyAlignment="1">
      <alignment horizontal="center" vertical="center"/>
    </xf>
    <xf numFmtId="166" fontId="28" fillId="5" borderId="6" xfId="19" applyNumberFormat="1" applyFont="1" applyFill="1" applyBorder="1" applyAlignment="1">
      <alignment horizontal="center" vertical="center"/>
    </xf>
    <xf numFmtId="166" fontId="28" fillId="0" borderId="0" xfId="19" applyNumberFormat="1" applyFont="1" applyFill="1" applyBorder="1" applyAlignment="1">
      <alignment horizontal="center" vertical="center"/>
    </xf>
    <xf numFmtId="0" fontId="28" fillId="0" borderId="6" xfId="18" applyFont="1" applyFill="1" applyBorder="1" applyAlignment="1">
      <alignment horizontal="left" vertical="center" wrapText="1"/>
    </xf>
    <xf numFmtId="166" fontId="23" fillId="0" borderId="6" xfId="19" applyNumberFormat="1" applyFont="1" applyFill="1" applyBorder="1" applyAlignment="1">
      <alignment horizontal="center" vertical="center" wrapText="1"/>
    </xf>
    <xf numFmtId="16" fontId="24" fillId="0" borderId="6" xfId="18" applyNumberFormat="1" applyBorder="1" applyAlignment="1">
      <alignment horizontal="center"/>
    </xf>
    <xf numFmtId="0" fontId="24" fillId="0" borderId="6" xfId="18" applyBorder="1"/>
    <xf numFmtId="166" fontId="23" fillId="0" borderId="6" xfId="19" applyNumberFormat="1" applyFont="1" applyFill="1" applyBorder="1" applyAlignment="1">
      <alignment wrapText="1"/>
    </xf>
    <xf numFmtId="166" fontId="28" fillId="0" borderId="0" xfId="19" applyNumberFormat="1" applyFont="1" applyFill="1" applyAlignment="1">
      <alignment horizontal="right" vertical="center" wrapText="1"/>
    </xf>
    <xf numFmtId="16" fontId="28" fillId="0" borderId="6" xfId="18" applyNumberFormat="1" applyFont="1" applyFill="1" applyBorder="1" applyAlignment="1">
      <alignment horizontal="center" vertical="center" wrapText="1"/>
    </xf>
    <xf numFmtId="0" fontId="28" fillId="0" borderId="6" xfId="18" applyFont="1" applyFill="1" applyBorder="1" applyAlignment="1">
      <alignment horizontal="left" vertical="center"/>
    </xf>
    <xf numFmtId="166" fontId="28" fillId="0" borderId="0" xfId="19" applyNumberFormat="1" applyFont="1" applyFill="1" applyAlignment="1">
      <alignment vertical="center"/>
    </xf>
    <xf numFmtId="0" fontId="28" fillId="0" borderId="6" xfId="18" applyFont="1" applyFill="1" applyBorder="1" applyAlignment="1">
      <alignment vertical="center" wrapText="1"/>
    </xf>
    <xf numFmtId="166" fontId="28" fillId="0" borderId="0" xfId="19" applyNumberFormat="1" applyFont="1" applyFill="1" applyBorder="1" applyAlignment="1">
      <alignment horizontal="left" vertical="center"/>
    </xf>
    <xf numFmtId="0" fontId="28" fillId="0" borderId="6" xfId="18" applyFont="1" applyFill="1" applyBorder="1" applyAlignment="1">
      <alignment wrapText="1"/>
    </xf>
    <xf numFmtId="0" fontId="24" fillId="0" borderId="0" xfId="18" applyFill="1" applyAlignment="1"/>
    <xf numFmtId="16" fontId="28" fillId="0" borderId="6" xfId="18" applyNumberFormat="1" applyFont="1" applyFill="1" applyBorder="1" applyAlignment="1">
      <alignment horizontal="center"/>
    </xf>
    <xf numFmtId="0" fontId="24" fillId="0" borderId="0" xfId="18" applyAlignment="1"/>
    <xf numFmtId="0" fontId="24" fillId="0" borderId="6" xfId="18" applyBorder="1" applyAlignment="1">
      <alignment wrapText="1"/>
    </xf>
    <xf numFmtId="0" fontId="24" fillId="0" borderId="0" xfId="18" applyFill="1"/>
    <xf numFmtId="0" fontId="28" fillId="0" borderId="6" xfId="18" applyFont="1" applyFill="1" applyBorder="1"/>
    <xf numFmtId="0" fontId="24" fillId="0" borderId="0" xfId="18" applyFill="1" applyAlignment="1">
      <alignment wrapText="1"/>
    </xf>
    <xf numFmtId="16" fontId="28" fillId="0" borderId="6" xfId="18" applyNumberFormat="1" applyFont="1" applyFill="1" applyBorder="1" applyAlignment="1">
      <alignment horizontal="center" wrapText="1"/>
    </xf>
    <xf numFmtId="0" fontId="24" fillId="0" borderId="0" xfId="18" applyAlignment="1">
      <alignment wrapText="1"/>
    </xf>
    <xf numFmtId="166" fontId="23" fillId="0" borderId="0" xfId="19" applyNumberFormat="1" applyFont="1" applyFill="1" applyBorder="1" applyAlignment="1">
      <alignment horizontal="center" vertical="center"/>
    </xf>
    <xf numFmtId="16" fontId="28" fillId="0" borderId="6" xfId="18" applyNumberFormat="1" applyFont="1" applyFill="1" applyBorder="1" applyAlignment="1">
      <alignment vertical="center"/>
    </xf>
    <xf numFmtId="166" fontId="30" fillId="6" borderId="6" xfId="19" applyNumberFormat="1" applyFont="1" applyFill="1" applyBorder="1" applyAlignment="1">
      <alignment vertical="center"/>
    </xf>
    <xf numFmtId="167" fontId="28" fillId="0" borderId="0" xfId="18" applyNumberFormat="1" applyFont="1" applyFill="1" applyAlignment="1"/>
    <xf numFmtId="14" fontId="28" fillId="0" borderId="0" xfId="18" applyNumberFormat="1" applyFont="1" applyFill="1"/>
    <xf numFmtId="166" fontId="27" fillId="0" borderId="0" xfId="19" applyNumberFormat="1" applyFont="1" applyFill="1"/>
    <xf numFmtId="0" fontId="25" fillId="0" borderId="0" xfId="18" applyFont="1" applyFill="1"/>
    <xf numFmtId="0" fontId="28" fillId="0" borderId="0" xfId="18" applyFont="1" applyFill="1" applyAlignment="1"/>
    <xf numFmtId="0" fontId="31" fillId="0" borderId="0" xfId="18" applyFont="1" applyFill="1"/>
    <xf numFmtId="166" fontId="32" fillId="0" borderId="0" xfId="19" applyNumberFormat="1" applyFont="1" applyFill="1"/>
    <xf numFmtId="0" fontId="25" fillId="0" borderId="0" xfId="18" applyFont="1"/>
    <xf numFmtId="0" fontId="28" fillId="0" borderId="0" xfId="18" applyFont="1" applyFill="1"/>
    <xf numFmtId="166" fontId="34" fillId="0" borderId="0" xfId="19" applyNumberFormat="1" applyFont="1" applyFill="1"/>
    <xf numFmtId="166" fontId="25" fillId="0" borderId="6" xfId="19" applyNumberFormat="1" applyFont="1" applyBorder="1" applyAlignment="1">
      <alignment horizontal="center" vertical="center"/>
    </xf>
    <xf numFmtId="166" fontId="35" fillId="3" borderId="6" xfId="19" applyNumberFormat="1" applyFont="1" applyFill="1" applyBorder="1" applyAlignment="1">
      <alignment horizontal="center" vertical="center"/>
    </xf>
    <xf numFmtId="166" fontId="35" fillId="4" borderId="6" xfId="19" applyNumberFormat="1" applyFont="1" applyFill="1" applyBorder="1" applyAlignment="1">
      <alignment horizontal="center" vertical="center"/>
    </xf>
    <xf numFmtId="166" fontId="24" fillId="0" borderId="0" xfId="18" applyNumberFormat="1"/>
    <xf numFmtId="16" fontId="28" fillId="7" borderId="6" xfId="18" applyNumberFormat="1" applyFont="1" applyFill="1" applyBorder="1" applyAlignment="1">
      <alignment horizontal="center" vertical="center"/>
    </xf>
    <xf numFmtId="166" fontId="28" fillId="7" borderId="6" xfId="19" applyNumberFormat="1" applyFont="1" applyFill="1" applyBorder="1" applyAlignment="1">
      <alignment horizontal="center" vertical="center"/>
    </xf>
    <xf numFmtId="166" fontId="28" fillId="0" borderId="6" xfId="19" applyNumberFormat="1" applyFont="1" applyFill="1" applyBorder="1" applyAlignment="1">
      <alignment horizontal="left" vertical="center"/>
    </xf>
    <xf numFmtId="166" fontId="28" fillId="7" borderId="6" xfId="19" applyNumberFormat="1" applyFont="1" applyFill="1" applyBorder="1" applyAlignment="1">
      <alignment horizontal="left" vertical="center"/>
    </xf>
    <xf numFmtId="166" fontId="35" fillId="0" borderId="6" xfId="19" applyNumberFormat="1" applyFont="1" applyFill="1" applyBorder="1" applyAlignment="1">
      <alignment horizontal="left" vertical="center"/>
    </xf>
    <xf numFmtId="166" fontId="24" fillId="5" borderId="6" xfId="19" applyNumberFormat="1" applyFont="1" applyFill="1" applyBorder="1" applyAlignment="1">
      <alignment horizontal="center" vertical="center"/>
    </xf>
    <xf numFmtId="166" fontId="28" fillId="0" borderId="0" xfId="19" applyNumberFormat="1" applyFont="1" applyFill="1" applyBorder="1" applyAlignment="1">
      <alignment vertical="center"/>
    </xf>
    <xf numFmtId="166" fontId="28" fillId="8" borderId="0" xfId="19" applyNumberFormat="1" applyFont="1" applyFill="1" applyBorder="1" applyAlignment="1">
      <alignment horizontal="center" vertical="center"/>
    </xf>
    <xf numFmtId="166" fontId="28" fillId="7" borderId="3" xfId="19" applyNumberFormat="1" applyFont="1" applyFill="1" applyBorder="1" applyAlignment="1">
      <alignment horizontal="center" vertical="center"/>
    </xf>
    <xf numFmtId="166" fontId="23" fillId="7" borderId="6" xfId="19" applyNumberFormat="1" applyFont="1" applyFill="1" applyBorder="1" applyAlignment="1">
      <alignment wrapText="1"/>
    </xf>
    <xf numFmtId="166" fontId="27" fillId="2" borderId="2" xfId="19" applyNumberFormat="1" applyFont="1" applyFill="1" applyBorder="1" applyAlignment="1">
      <alignment horizontal="center" vertical="center" wrapText="1"/>
    </xf>
    <xf numFmtId="166" fontId="27" fillId="2" borderId="5" xfId="19" applyNumberFormat="1" applyFont="1" applyFill="1" applyBorder="1" applyAlignment="1">
      <alignment horizontal="center" vertical="center" wrapText="1"/>
    </xf>
    <xf numFmtId="0" fontId="26" fillId="0" borderId="0" xfId="18" applyFont="1" applyAlignment="1">
      <alignment horizontal="left" vertical="center"/>
    </xf>
    <xf numFmtId="0" fontId="24" fillId="0" borderId="0" xfId="18" applyAlignment="1">
      <alignment horizontal="left" vertical="center"/>
    </xf>
    <xf numFmtId="0" fontId="24" fillId="0" borderId="1" xfId="18" applyBorder="1" applyAlignment="1">
      <alignment horizontal="left" vertical="center"/>
    </xf>
    <xf numFmtId="0" fontId="27" fillId="2" borderId="2" xfId="18" applyFont="1" applyFill="1" applyBorder="1" applyAlignment="1">
      <alignment horizontal="center" vertical="center"/>
    </xf>
    <xf numFmtId="0" fontId="27" fillId="2" borderId="5" xfId="18" applyFont="1" applyFill="1" applyBorder="1" applyAlignment="1">
      <alignment horizontal="center" vertical="center"/>
    </xf>
    <xf numFmtId="166" fontId="27" fillId="2" borderId="3" xfId="19" applyNumberFormat="1" applyFont="1" applyFill="1" applyBorder="1" applyAlignment="1">
      <alignment horizontal="center" vertical="center"/>
    </xf>
    <xf numFmtId="166" fontId="27" fillId="2" borderId="2" xfId="19" applyNumberFormat="1" applyFont="1" applyFill="1" applyBorder="1" applyAlignment="1">
      <alignment horizontal="center" vertical="center"/>
    </xf>
    <xf numFmtId="166" fontId="27" fillId="2" borderId="5" xfId="19" applyNumberFormat="1" applyFont="1" applyFill="1" applyBorder="1" applyAlignment="1">
      <alignment horizontal="center" vertical="center"/>
    </xf>
    <xf numFmtId="166" fontId="27" fillId="2" borderId="2" xfId="19" applyNumberFormat="1" applyFont="1" applyFill="1" applyBorder="1" applyAlignment="1">
      <alignment horizontal="left" vertical="center"/>
    </xf>
    <xf numFmtId="166" fontId="27" fillId="2" borderId="5" xfId="19" applyNumberFormat="1" applyFont="1" applyFill="1" applyBorder="1" applyAlignment="1">
      <alignment horizontal="left" vertical="center"/>
    </xf>
    <xf numFmtId="0" fontId="24" fillId="0" borderId="0" xfId="20"/>
    <xf numFmtId="166" fontId="27" fillId="0" borderId="0" xfId="21" applyNumberFormat="1" applyFont="1" applyFill="1" applyBorder="1" applyAlignment="1">
      <alignment horizontal="center" vertical="center" wrapText="1"/>
    </xf>
    <xf numFmtId="166" fontId="28" fillId="0" borderId="0" xfId="21" applyNumberFormat="1" applyFont="1" applyFill="1" applyAlignment="1">
      <alignment horizontal="center" vertical="center"/>
    </xf>
    <xf numFmtId="0" fontId="29" fillId="0" borderId="0" xfId="20" applyFont="1" applyFill="1" applyAlignment="1"/>
    <xf numFmtId="166" fontId="28" fillId="0" borderId="0" xfId="20" applyNumberFormat="1" applyFont="1" applyFill="1"/>
    <xf numFmtId="166" fontId="28" fillId="0" borderId="0" xfId="21" applyNumberFormat="1" applyFont="1" applyFill="1"/>
    <xf numFmtId="166" fontId="27" fillId="2" borderId="6" xfId="21" applyNumberFormat="1" applyFont="1" applyFill="1" applyBorder="1" applyAlignment="1">
      <alignment horizontal="center" vertical="center"/>
    </xf>
    <xf numFmtId="166" fontId="27" fillId="2" borderId="4" xfId="21" applyNumberFormat="1" applyFont="1" applyFill="1" applyBorder="1" applyAlignment="1">
      <alignment horizontal="center" vertical="center"/>
    </xf>
    <xf numFmtId="167" fontId="28" fillId="0" borderId="6" xfId="20" applyNumberFormat="1" applyFont="1" applyFill="1" applyBorder="1" applyAlignment="1">
      <alignment horizontal="center"/>
    </xf>
    <xf numFmtId="166" fontId="28" fillId="0" borderId="6" xfId="20" applyNumberFormat="1" applyFont="1" applyFill="1" applyBorder="1" applyAlignment="1">
      <alignment horizontal="center"/>
    </xf>
    <xf numFmtId="166" fontId="28" fillId="0" borderId="6" xfId="21" applyNumberFormat="1" applyFont="1" applyFill="1" applyBorder="1" applyAlignment="1">
      <alignment horizontal="center"/>
    </xf>
    <xf numFmtId="16" fontId="28" fillId="0" borderId="6" xfId="20" applyNumberFormat="1" applyFont="1" applyFill="1" applyBorder="1" applyAlignment="1">
      <alignment horizontal="center" vertical="center"/>
    </xf>
    <xf numFmtId="166" fontId="28" fillId="0" borderId="6" xfId="21" applyNumberFormat="1" applyFont="1" applyFill="1" applyBorder="1" applyAlignment="1">
      <alignment horizontal="center" vertical="center"/>
    </xf>
    <xf numFmtId="166" fontId="28" fillId="3" borderId="6" xfId="21" applyNumberFormat="1" applyFont="1" applyFill="1" applyBorder="1" applyAlignment="1">
      <alignment horizontal="center" vertical="center"/>
    </xf>
    <xf numFmtId="166" fontId="28" fillId="4" borderId="6" xfId="21" applyNumberFormat="1" applyFont="1" applyFill="1" applyBorder="1" applyAlignment="1">
      <alignment horizontal="center" vertical="center"/>
    </xf>
    <xf numFmtId="166" fontId="28" fillId="5" borderId="6" xfId="21" applyNumberFormat="1" applyFont="1" applyFill="1" applyBorder="1" applyAlignment="1">
      <alignment horizontal="center" vertical="center"/>
    </xf>
    <xf numFmtId="166" fontId="28" fillId="0" borderId="0" xfId="21" applyNumberFormat="1" applyFont="1" applyFill="1" applyBorder="1" applyAlignment="1">
      <alignment horizontal="center" vertical="center"/>
    </xf>
    <xf numFmtId="0" fontId="28" fillId="0" borderId="6" xfId="20" applyFont="1" applyFill="1" applyBorder="1" applyAlignment="1">
      <alignment horizontal="left" vertical="center" wrapText="1"/>
    </xf>
    <xf numFmtId="166" fontId="23" fillId="0" borderId="6" xfId="21" applyNumberFormat="1" applyFont="1" applyFill="1" applyBorder="1" applyAlignment="1">
      <alignment horizontal="center" vertical="center" wrapText="1"/>
    </xf>
    <xf numFmtId="16" fontId="24" fillId="0" borderId="6" xfId="20" applyNumberFormat="1" applyBorder="1" applyAlignment="1">
      <alignment horizontal="center"/>
    </xf>
    <xf numFmtId="0" fontId="24" fillId="0" borderId="6" xfId="20" applyBorder="1"/>
    <xf numFmtId="166" fontId="23" fillId="0" borderId="6" xfId="21" applyNumberFormat="1" applyFont="1" applyFill="1" applyBorder="1" applyAlignment="1">
      <alignment wrapText="1"/>
    </xf>
    <xf numFmtId="166" fontId="28" fillId="0" borderId="0" xfId="21" applyNumberFormat="1" applyFont="1" applyFill="1" applyAlignment="1">
      <alignment horizontal="right" vertical="center" wrapText="1"/>
    </xf>
    <xf numFmtId="16" fontId="28" fillId="0" borderId="6" xfId="20" applyNumberFormat="1" applyFont="1" applyFill="1" applyBorder="1" applyAlignment="1">
      <alignment horizontal="center" vertical="center" wrapText="1"/>
    </xf>
    <xf numFmtId="0" fontId="28" fillId="0" borderId="6" xfId="20" applyFont="1" applyFill="1" applyBorder="1" applyAlignment="1">
      <alignment horizontal="left" vertical="center"/>
    </xf>
    <xf numFmtId="166" fontId="28" fillId="0" borderId="0" xfId="21" applyNumberFormat="1" applyFont="1" applyFill="1" applyAlignment="1">
      <alignment vertical="center"/>
    </xf>
    <xf numFmtId="0" fontId="28" fillId="0" borderId="6" xfId="20" applyFont="1" applyFill="1" applyBorder="1" applyAlignment="1">
      <alignment vertical="center" wrapText="1"/>
    </xf>
    <xf numFmtId="166" fontId="28" fillId="0" borderId="0" xfId="21" applyNumberFormat="1" applyFont="1" applyFill="1" applyBorder="1" applyAlignment="1">
      <alignment horizontal="left" vertical="center"/>
    </xf>
    <xf numFmtId="0" fontId="28" fillId="0" borderId="6" xfId="20" applyFont="1" applyFill="1" applyBorder="1" applyAlignment="1">
      <alignment wrapText="1"/>
    </xf>
    <xf numFmtId="0" fontId="24" fillId="0" borderId="0" xfId="20" applyFill="1" applyAlignment="1"/>
    <xf numFmtId="16" fontId="28" fillId="0" borderId="6" xfId="20" applyNumberFormat="1" applyFont="1" applyFill="1" applyBorder="1" applyAlignment="1">
      <alignment horizontal="center"/>
    </xf>
    <xf numFmtId="0" fontId="24" fillId="0" borderId="0" xfId="20" applyAlignment="1"/>
    <xf numFmtId="0" fontId="24" fillId="0" borderId="0" xfId="20" applyFill="1"/>
    <xf numFmtId="0" fontId="28" fillId="0" borderId="6" xfId="20" applyFont="1" applyFill="1" applyBorder="1"/>
    <xf numFmtId="0" fontId="24" fillId="0" borderId="0" xfId="20" applyFill="1" applyAlignment="1">
      <alignment wrapText="1"/>
    </xf>
    <xf numFmtId="16" fontId="28" fillId="0" borderId="6" xfId="20" applyNumberFormat="1" applyFont="1" applyFill="1" applyBorder="1" applyAlignment="1">
      <alignment horizontal="center" wrapText="1"/>
    </xf>
    <xf numFmtId="0" fontId="24" fillId="0" borderId="0" xfId="20" applyAlignment="1">
      <alignment wrapText="1"/>
    </xf>
    <xf numFmtId="166" fontId="23" fillId="0" borderId="0" xfId="21" applyNumberFormat="1" applyFont="1" applyFill="1" applyBorder="1" applyAlignment="1">
      <alignment horizontal="center" vertical="center"/>
    </xf>
    <xf numFmtId="16" fontId="28" fillId="0" borderId="6" xfId="20" applyNumberFormat="1" applyFont="1" applyFill="1" applyBorder="1" applyAlignment="1">
      <alignment vertical="center"/>
    </xf>
    <xf numFmtId="166" fontId="30" fillId="6" borderId="6" xfId="21" applyNumberFormat="1" applyFont="1" applyFill="1" applyBorder="1" applyAlignment="1">
      <alignment vertical="center"/>
    </xf>
    <xf numFmtId="167" fontId="28" fillId="0" borderId="0" xfId="20" applyNumberFormat="1" applyFont="1" applyFill="1" applyAlignment="1"/>
    <xf numFmtId="14" fontId="28" fillId="0" borderId="0" xfId="20" applyNumberFormat="1" applyFont="1" applyFill="1"/>
    <xf numFmtId="166" fontId="27" fillId="0" borderId="0" xfId="21" applyNumberFormat="1" applyFont="1" applyFill="1"/>
    <xf numFmtId="0" fontId="25" fillId="0" borderId="0" xfId="20" applyFont="1" applyFill="1"/>
    <xf numFmtId="0" fontId="28" fillId="0" borderId="0" xfId="20" applyFont="1" applyFill="1" applyAlignment="1"/>
    <xf numFmtId="0" fontId="31" fillId="0" borderId="0" xfId="20" applyFont="1" applyFill="1"/>
    <xf numFmtId="166" fontId="32" fillId="0" borderId="0" xfId="21" applyNumberFormat="1" applyFont="1" applyFill="1"/>
    <xf numFmtId="0" fontId="25" fillId="0" borderId="0" xfId="20" applyFont="1"/>
    <xf numFmtId="0" fontId="28" fillId="0" borderId="0" xfId="20" applyFont="1" applyFill="1"/>
    <xf numFmtId="166" fontId="34" fillId="0" borderId="0" xfId="21" applyNumberFormat="1" applyFont="1" applyFill="1"/>
    <xf numFmtId="166" fontId="25" fillId="0" borderId="6" xfId="21" applyNumberFormat="1" applyFont="1" applyBorder="1" applyAlignment="1">
      <alignment horizontal="center" vertical="center"/>
    </xf>
    <xf numFmtId="166" fontId="35" fillId="3" borderId="6" xfId="21" applyNumberFormat="1" applyFont="1" applyFill="1" applyBorder="1" applyAlignment="1">
      <alignment horizontal="center" vertical="center"/>
    </xf>
    <xf numFmtId="166" fontId="35" fillId="4" borderId="6" xfId="21" applyNumberFormat="1" applyFont="1" applyFill="1" applyBorder="1" applyAlignment="1">
      <alignment horizontal="center" vertical="center"/>
    </xf>
    <xf numFmtId="166" fontId="35" fillId="0" borderId="6" xfId="21" applyNumberFormat="1" applyFont="1" applyFill="1" applyBorder="1" applyAlignment="1">
      <alignment horizontal="center" vertical="center"/>
    </xf>
    <xf numFmtId="166" fontId="35" fillId="5" borderId="6" xfId="21" applyNumberFormat="1" applyFont="1" applyFill="1" applyBorder="1" applyAlignment="1">
      <alignment horizontal="center" vertical="center"/>
    </xf>
    <xf numFmtId="166" fontId="24" fillId="0" borderId="0" xfId="20" applyNumberFormat="1"/>
    <xf numFmtId="16" fontId="28" fillId="7" borderId="6" xfId="20" applyNumberFormat="1" applyFont="1" applyFill="1" applyBorder="1" applyAlignment="1">
      <alignment horizontal="center" vertical="center"/>
    </xf>
    <xf numFmtId="166" fontId="28" fillId="7" borderId="0" xfId="21" applyNumberFormat="1" applyFont="1" applyFill="1" applyBorder="1" applyAlignment="1">
      <alignment horizontal="center" vertical="center"/>
    </xf>
    <xf numFmtId="166" fontId="28" fillId="7" borderId="6" xfId="21" applyNumberFormat="1" applyFont="1" applyFill="1" applyBorder="1" applyAlignment="1">
      <alignment horizontal="center" vertical="center"/>
    </xf>
    <xf numFmtId="0" fontId="24" fillId="7" borderId="6" xfId="20" applyFill="1" applyBorder="1"/>
    <xf numFmtId="166" fontId="28" fillId="7" borderId="0" xfId="21" applyNumberFormat="1" applyFont="1" applyFill="1" applyBorder="1" applyAlignment="1">
      <alignment horizontal="left" vertical="center"/>
    </xf>
    <xf numFmtId="0" fontId="28" fillId="0" borderId="6" xfId="20" applyFont="1" applyFill="1" applyBorder="1" applyAlignment="1">
      <alignment vertical="center"/>
    </xf>
    <xf numFmtId="0" fontId="28" fillId="0" borderId="6" xfId="20" applyFont="1" applyFill="1" applyBorder="1" applyAlignment="1">
      <alignment horizontal="left" wrapText="1"/>
    </xf>
    <xf numFmtId="166" fontId="23" fillId="0" borderId="6" xfId="21" applyNumberFormat="1" applyFont="1" applyFill="1" applyBorder="1" applyAlignment="1">
      <alignment vertical="center" wrapText="1"/>
    </xf>
    <xf numFmtId="166" fontId="27" fillId="2" borderId="4" xfId="2" applyNumberFormat="1" applyFont="1" applyFill="1" applyBorder="1" applyAlignment="1">
      <alignment horizontal="center" vertical="center"/>
    </xf>
    <xf numFmtId="0" fontId="36" fillId="0" borderId="0" xfId="0" applyFont="1"/>
    <xf numFmtId="0" fontId="37" fillId="0" borderId="0" xfId="0" applyFont="1"/>
    <xf numFmtId="166" fontId="28" fillId="13" borderId="6" xfId="2" applyNumberFormat="1" applyFont="1" applyFill="1" applyBorder="1" applyAlignment="1">
      <alignment horizontal="center" vertical="center"/>
    </xf>
    <xf numFmtId="166" fontId="28" fillId="0" borderId="6" xfId="1" applyNumberFormat="1" applyFont="1" applyFill="1" applyBorder="1" applyAlignment="1">
      <alignment vertical="center"/>
    </xf>
    <xf numFmtId="0" fontId="22" fillId="0" borderId="6" xfId="1" applyFont="1" applyBorder="1"/>
    <xf numFmtId="166" fontId="24" fillId="8" borderId="6" xfId="2" applyNumberFormat="1" applyFont="1" applyFill="1" applyBorder="1" applyAlignment="1">
      <alignment horizontal="center" vertical="center"/>
    </xf>
    <xf numFmtId="0" fontId="21" fillId="0" borderId="6" xfId="1" applyFont="1" applyBorder="1"/>
    <xf numFmtId="166" fontId="27" fillId="3" borderId="0" xfId="2" applyNumberFormat="1" applyFont="1" applyFill="1"/>
    <xf numFmtId="0" fontId="20" fillId="0" borderId="6" xfId="1" applyFont="1" applyBorder="1"/>
    <xf numFmtId="166" fontId="27" fillId="2" borderId="4" xfId="12" applyNumberFormat="1" applyFont="1" applyFill="1" applyBorder="1" applyAlignment="1">
      <alignment horizontal="center" vertical="center"/>
    </xf>
    <xf numFmtId="166" fontId="27" fillId="2" borderId="4" xfId="2" applyNumberFormat="1" applyFont="1" applyFill="1" applyBorder="1" applyAlignment="1">
      <alignment horizontal="center" vertical="center"/>
    </xf>
    <xf numFmtId="166" fontId="27" fillId="2" borderId="4" xfId="6" applyNumberFormat="1" applyFont="1" applyFill="1" applyBorder="1" applyAlignment="1">
      <alignment horizontal="center" vertical="center"/>
    </xf>
    <xf numFmtId="166" fontId="27" fillId="2" borderId="4" xfId="8" applyNumberFormat="1" applyFont="1" applyFill="1" applyBorder="1" applyAlignment="1">
      <alignment horizontal="center" vertical="center"/>
    </xf>
    <xf numFmtId="0" fontId="24" fillId="8" borderId="0" xfId="9" applyFill="1"/>
    <xf numFmtId="166" fontId="24" fillId="0" borderId="0" xfId="11" applyNumberFormat="1"/>
    <xf numFmtId="16" fontId="28" fillId="7" borderId="6" xfId="1" applyNumberFormat="1" applyFont="1" applyFill="1" applyBorder="1" applyAlignment="1">
      <alignment horizontal="center" vertical="center" wrapText="1"/>
    </xf>
    <xf numFmtId="166" fontId="24" fillId="7" borderId="6" xfId="2" applyNumberFormat="1" applyFont="1" applyFill="1" applyBorder="1" applyAlignment="1">
      <alignment horizontal="center" vertical="center" wrapText="1"/>
    </xf>
    <xf numFmtId="166" fontId="28" fillId="7" borderId="6" xfId="2" applyNumberFormat="1" applyFont="1" applyFill="1" applyBorder="1" applyAlignment="1">
      <alignment horizontal="center" vertical="center" wrapText="1"/>
    </xf>
    <xf numFmtId="166" fontId="30" fillId="8" borderId="6" xfId="2" applyNumberFormat="1" applyFont="1" applyFill="1" applyBorder="1" applyAlignment="1">
      <alignment vertical="center"/>
    </xf>
    <xf numFmtId="166" fontId="32" fillId="4" borderId="0" xfId="2" applyNumberFormat="1" applyFont="1" applyFill="1"/>
    <xf numFmtId="0" fontId="25" fillId="0" borderId="0" xfId="0" applyFont="1"/>
    <xf numFmtId="0" fontId="38" fillId="0" borderId="0" xfId="0" applyFont="1"/>
    <xf numFmtId="14" fontId="35" fillId="0" borderId="0" xfId="1" applyNumberFormat="1" applyFont="1" applyFill="1"/>
    <xf numFmtId="0" fontId="30" fillId="0" borderId="0" xfId="1" applyFont="1" applyFill="1"/>
    <xf numFmtId="166" fontId="38" fillId="4" borderId="6" xfId="2" applyNumberFormat="1" applyFont="1" applyFill="1" applyBorder="1" applyAlignment="1">
      <alignment wrapText="1"/>
    </xf>
    <xf numFmtId="167" fontId="35" fillId="0" borderId="6" xfId="1" applyNumberFormat="1" applyFont="1" applyFill="1" applyBorder="1" applyAlignment="1">
      <alignment horizontal="center"/>
    </xf>
    <xf numFmtId="166" fontId="35" fillId="0" borderId="6" xfId="1" applyNumberFormat="1" applyFont="1" applyFill="1" applyBorder="1" applyAlignment="1">
      <alignment horizontal="center"/>
    </xf>
    <xf numFmtId="166" fontId="35" fillId="0" borderId="6" xfId="2" applyNumberFormat="1" applyFont="1" applyFill="1" applyBorder="1" applyAlignment="1">
      <alignment horizontal="center"/>
    </xf>
    <xf numFmtId="167" fontId="35" fillId="0" borderId="6" xfId="5" applyNumberFormat="1" applyFont="1" applyFill="1" applyBorder="1" applyAlignment="1">
      <alignment horizontal="center"/>
    </xf>
    <xf numFmtId="166" fontId="35" fillId="0" borderId="6" xfId="5" applyNumberFormat="1" applyFont="1" applyFill="1" applyBorder="1" applyAlignment="1">
      <alignment horizontal="center"/>
    </xf>
    <xf numFmtId="166" fontId="35" fillId="0" borderId="6" xfId="6" applyNumberFormat="1" applyFont="1" applyFill="1" applyBorder="1" applyAlignment="1">
      <alignment horizontal="center"/>
    </xf>
    <xf numFmtId="14" fontId="35" fillId="0" borderId="0" xfId="5" applyNumberFormat="1" applyFont="1" applyFill="1"/>
    <xf numFmtId="0" fontId="30" fillId="0" borderId="0" xfId="5" applyFont="1" applyFill="1"/>
    <xf numFmtId="166" fontId="32" fillId="14" borderId="0" xfId="2" applyNumberFormat="1" applyFont="1" applyFill="1"/>
    <xf numFmtId="166" fontId="30" fillId="14" borderId="6" xfId="2" applyNumberFormat="1" applyFont="1" applyFill="1" applyBorder="1" applyAlignment="1">
      <alignment vertical="center"/>
    </xf>
    <xf numFmtId="0" fontId="19" fillId="0" borderId="6" xfId="1" applyFont="1" applyBorder="1"/>
    <xf numFmtId="0" fontId="18" fillId="0" borderId="6" xfId="1" applyFont="1" applyBorder="1"/>
    <xf numFmtId="0" fontId="17" fillId="0" borderId="6" xfId="1" applyFont="1" applyBorder="1"/>
    <xf numFmtId="0" fontId="16" fillId="0" borderId="6" xfId="1" applyFont="1" applyBorder="1"/>
    <xf numFmtId="0" fontId="15" fillId="0" borderId="6" xfId="1" applyFont="1" applyBorder="1"/>
    <xf numFmtId="166" fontId="30" fillId="4" borderId="6" xfId="2" applyNumberFormat="1" applyFont="1" applyFill="1" applyBorder="1" applyAlignment="1">
      <alignment vertical="center"/>
    </xf>
    <xf numFmtId="0" fontId="14" fillId="0" borderId="6" xfId="1" applyFont="1" applyBorder="1"/>
    <xf numFmtId="16" fontId="14" fillId="0" borderId="6" xfId="1" applyNumberFormat="1" applyFont="1" applyBorder="1" applyAlignment="1">
      <alignment horizontal="center"/>
    </xf>
    <xf numFmtId="0" fontId="13" fillId="0" borderId="6" xfId="1" applyFont="1" applyBorder="1"/>
    <xf numFmtId="0" fontId="12" fillId="0" borderId="6" xfId="1" applyFont="1" applyBorder="1"/>
    <xf numFmtId="0" fontId="11" fillId="0" borderId="6" xfId="1" applyFont="1" applyBorder="1"/>
    <xf numFmtId="0" fontId="10" fillId="0" borderId="6" xfId="1" applyFont="1" applyBorder="1"/>
    <xf numFmtId="0" fontId="9" fillId="0" borderId="6" xfId="1" applyFont="1" applyBorder="1"/>
    <xf numFmtId="0" fontId="8" fillId="0" borderId="6" xfId="1" applyFont="1" applyBorder="1"/>
    <xf numFmtId="0" fontId="7" fillId="0" borderId="6" xfId="1" applyFont="1" applyBorder="1"/>
    <xf numFmtId="0" fontId="6" fillId="0" borderId="6" xfId="1" applyFont="1" applyBorder="1"/>
    <xf numFmtId="0" fontId="5" fillId="0" borderId="6" xfId="1" applyFont="1" applyBorder="1"/>
    <xf numFmtId="0" fontId="4" fillId="0" borderId="6" xfId="1" applyFont="1" applyBorder="1"/>
    <xf numFmtId="0" fontId="3" fillId="0" borderId="6" xfId="1" applyFont="1" applyBorder="1"/>
    <xf numFmtId="0" fontId="2" fillId="0" borderId="6" xfId="1" applyFont="1" applyBorder="1"/>
    <xf numFmtId="166" fontId="27" fillId="2" borderId="4" xfId="21" applyNumberFormat="1" applyFont="1" applyFill="1" applyBorder="1" applyAlignment="1">
      <alignment horizontal="center" vertical="center"/>
    </xf>
    <xf numFmtId="16" fontId="28" fillId="8" borderId="6" xfId="20" applyNumberFormat="1" applyFont="1" applyFill="1" applyBorder="1" applyAlignment="1">
      <alignment horizontal="center" vertical="center"/>
    </xf>
    <xf numFmtId="166" fontId="28" fillId="8" borderId="6" xfId="21" applyNumberFormat="1" applyFont="1" applyFill="1" applyBorder="1" applyAlignment="1">
      <alignment horizontal="center" vertical="center"/>
    </xf>
    <xf numFmtId="166" fontId="28" fillId="8" borderId="0" xfId="21" applyNumberFormat="1" applyFont="1" applyFill="1" applyBorder="1" applyAlignment="1">
      <alignment horizontal="center" vertical="center"/>
    </xf>
    <xf numFmtId="166" fontId="28" fillId="8" borderId="0" xfId="21" applyNumberFormat="1" applyFont="1" applyFill="1" applyBorder="1" applyAlignment="1">
      <alignment horizontal="left" vertical="center"/>
    </xf>
    <xf numFmtId="166" fontId="35" fillId="8" borderId="6" xfId="21" applyNumberFormat="1" applyFont="1" applyFill="1" applyBorder="1" applyAlignment="1">
      <alignment horizontal="center" vertical="center"/>
    </xf>
    <xf numFmtId="166" fontId="28" fillId="15" borderId="6" xfId="21" applyNumberFormat="1" applyFont="1" applyFill="1" applyBorder="1" applyAlignment="1">
      <alignment horizontal="center" vertical="center"/>
    </xf>
    <xf numFmtId="166" fontId="35" fillId="15" borderId="6" xfId="21" applyNumberFormat="1" applyFont="1" applyFill="1" applyBorder="1" applyAlignment="1">
      <alignment horizontal="center" vertical="center"/>
    </xf>
    <xf numFmtId="166" fontId="28" fillId="14" borderId="6" xfId="21" applyNumberFormat="1" applyFont="1" applyFill="1" applyBorder="1" applyAlignment="1">
      <alignment horizontal="center" vertical="center"/>
    </xf>
    <xf numFmtId="166" fontId="35" fillId="14" borderId="6" xfId="21" applyNumberFormat="1" applyFont="1" applyFill="1" applyBorder="1" applyAlignment="1">
      <alignment horizontal="center" vertical="center"/>
    </xf>
    <xf numFmtId="166" fontId="28" fillId="9" borderId="6" xfId="21" applyNumberFormat="1" applyFont="1" applyFill="1" applyBorder="1" applyAlignment="1">
      <alignment horizontal="center" vertical="center"/>
    </xf>
    <xf numFmtId="166" fontId="35" fillId="9" borderId="6" xfId="21" applyNumberFormat="1" applyFont="1" applyFill="1" applyBorder="1" applyAlignment="1">
      <alignment horizontal="center" vertical="center"/>
    </xf>
    <xf numFmtId="166" fontId="27" fillId="15" borderId="0" xfId="21" applyNumberFormat="1" applyFont="1" applyFill="1"/>
    <xf numFmtId="166" fontId="32" fillId="14" borderId="0" xfId="21" applyNumberFormat="1" applyFont="1" applyFill="1"/>
    <xf numFmtId="166" fontId="30" fillId="14" borderId="6" xfId="21" applyNumberFormat="1" applyFont="1" applyFill="1" applyBorder="1" applyAlignment="1">
      <alignment vertical="center"/>
    </xf>
    <xf numFmtId="0" fontId="1" fillId="0" borderId="6" xfId="20" applyFont="1" applyBorder="1"/>
    <xf numFmtId="166" fontId="27" fillId="2" borderId="2" xfId="2" applyNumberFormat="1" applyFont="1" applyFill="1" applyBorder="1" applyAlignment="1">
      <alignment horizontal="center" vertical="center" wrapText="1"/>
    </xf>
    <xf numFmtId="166" fontId="27" fillId="2" borderId="5" xfId="2" applyNumberFormat="1" applyFont="1" applyFill="1" applyBorder="1" applyAlignment="1">
      <alignment horizontal="center" vertical="center" wrapText="1"/>
    </xf>
    <xf numFmtId="0" fontId="39" fillId="0" borderId="0" xfId="1" applyFont="1" applyFill="1" applyAlignment="1">
      <alignment horizontal="center"/>
    </xf>
    <xf numFmtId="0" fontId="26" fillId="0" borderId="0" xfId="1" applyFont="1" applyAlignment="1">
      <alignment horizontal="left" vertical="center"/>
    </xf>
    <xf numFmtId="0" fontId="24" fillId="0" borderId="0" xfId="1" applyAlignment="1">
      <alignment horizontal="left" vertical="center"/>
    </xf>
    <xf numFmtId="0" fontId="24" fillId="0" borderId="1" xfId="1" applyBorder="1" applyAlignment="1">
      <alignment horizontal="left" vertical="center"/>
    </xf>
    <xf numFmtId="0" fontId="27" fillId="2" borderId="2" xfId="1" applyFont="1" applyFill="1" applyBorder="1" applyAlignment="1">
      <alignment horizontal="center" vertical="center"/>
    </xf>
    <xf numFmtId="0" fontId="27" fillId="2" borderId="5" xfId="1" applyFont="1" applyFill="1" applyBorder="1" applyAlignment="1">
      <alignment horizontal="center" vertical="center"/>
    </xf>
    <xf numFmtId="166" fontId="27" fillId="2" borderId="3" xfId="2" applyNumberFormat="1" applyFont="1" applyFill="1" applyBorder="1" applyAlignment="1">
      <alignment horizontal="center" vertical="center"/>
    </xf>
    <xf numFmtId="166" fontId="27" fillId="2" borderId="4" xfId="2" applyNumberFormat="1" applyFont="1" applyFill="1" applyBorder="1" applyAlignment="1">
      <alignment horizontal="center" vertical="center"/>
    </xf>
    <xf numFmtId="166" fontId="27" fillId="2" borderId="2" xfId="2" applyNumberFormat="1" applyFont="1" applyFill="1" applyBorder="1" applyAlignment="1">
      <alignment horizontal="center" vertical="center"/>
    </xf>
    <xf numFmtId="166" fontId="27" fillId="2" borderId="5" xfId="2" applyNumberFormat="1" applyFont="1" applyFill="1" applyBorder="1" applyAlignment="1">
      <alignment horizontal="center" vertical="center"/>
    </xf>
    <xf numFmtId="0" fontId="39" fillId="0" borderId="0" xfId="5" applyFont="1" applyFill="1" applyAlignment="1">
      <alignment horizontal="center"/>
    </xf>
    <xf numFmtId="0" fontId="26" fillId="0" borderId="0" xfId="5" applyFont="1" applyAlignment="1">
      <alignment horizontal="left" vertical="center"/>
    </xf>
    <xf numFmtId="0" fontId="24" fillId="0" borderId="0" xfId="5" applyAlignment="1">
      <alignment horizontal="left" vertical="center"/>
    </xf>
    <xf numFmtId="0" fontId="24" fillId="0" borderId="1" xfId="5" applyBorder="1" applyAlignment="1">
      <alignment horizontal="left" vertical="center"/>
    </xf>
    <xf numFmtId="0" fontId="27" fillId="2" borderId="2" xfId="5" applyFont="1" applyFill="1" applyBorder="1" applyAlignment="1">
      <alignment horizontal="center" vertical="center"/>
    </xf>
    <xf numFmtId="0" fontId="27" fillId="2" borderId="5" xfId="5" applyFont="1" applyFill="1" applyBorder="1" applyAlignment="1">
      <alignment horizontal="center" vertical="center"/>
    </xf>
    <xf numFmtId="166" fontId="27" fillId="2" borderId="3" xfId="6" applyNumberFormat="1" applyFont="1" applyFill="1" applyBorder="1" applyAlignment="1">
      <alignment horizontal="center" vertical="center"/>
    </xf>
    <xf numFmtId="166" fontId="27" fillId="2" borderId="4" xfId="6" applyNumberFormat="1" applyFont="1" applyFill="1" applyBorder="1" applyAlignment="1">
      <alignment horizontal="center" vertical="center"/>
    </xf>
    <xf numFmtId="166" fontId="27" fillId="2" borderId="2" xfId="6" applyNumberFormat="1" applyFont="1" applyFill="1" applyBorder="1" applyAlignment="1">
      <alignment horizontal="center" vertical="center"/>
    </xf>
    <xf numFmtId="166" fontId="27" fillId="2" borderId="5" xfId="6" applyNumberFormat="1" applyFont="1" applyFill="1" applyBorder="1" applyAlignment="1">
      <alignment horizontal="center" vertical="center"/>
    </xf>
    <xf numFmtId="166" fontId="27" fillId="2" borderId="2" xfId="6" applyNumberFormat="1" applyFont="1" applyFill="1" applyBorder="1" applyAlignment="1">
      <alignment horizontal="center" vertical="center" wrapText="1"/>
    </xf>
    <xf numFmtId="166" fontId="27" fillId="2" borderId="5" xfId="6" applyNumberFormat="1" applyFont="1" applyFill="1" applyBorder="1" applyAlignment="1">
      <alignment horizontal="center" vertical="center" wrapText="1"/>
    </xf>
    <xf numFmtId="166" fontId="27" fillId="2" borderId="2" xfId="8" applyNumberFormat="1" applyFont="1" applyFill="1" applyBorder="1" applyAlignment="1">
      <alignment horizontal="center" vertical="center" wrapText="1"/>
    </xf>
    <xf numFmtId="166" fontId="27" fillId="2" borderId="5" xfId="8" applyNumberFormat="1" applyFont="1" applyFill="1" applyBorder="1" applyAlignment="1">
      <alignment horizontal="center" vertical="center" wrapText="1"/>
    </xf>
    <xf numFmtId="0" fontId="33" fillId="0" borderId="0" xfId="7" applyFont="1" applyFill="1" applyAlignment="1">
      <alignment horizontal="center"/>
    </xf>
    <xf numFmtId="0" fontId="26" fillId="0" borderId="0" xfId="7" applyFont="1" applyAlignment="1">
      <alignment horizontal="left" vertical="center"/>
    </xf>
    <xf numFmtId="0" fontId="24" fillId="0" borderId="0" xfId="7" applyAlignment="1">
      <alignment horizontal="left" vertical="center"/>
    </xf>
    <xf numFmtId="0" fontId="24" fillId="0" borderId="1" xfId="7" applyBorder="1" applyAlignment="1">
      <alignment horizontal="left" vertical="center"/>
    </xf>
    <xf numFmtId="0" fontId="27" fillId="2" borderId="2" xfId="7" applyFont="1" applyFill="1" applyBorder="1" applyAlignment="1">
      <alignment horizontal="center" vertical="center"/>
    </xf>
    <xf numFmtId="0" fontId="27" fillId="2" borderId="5" xfId="7" applyFont="1" applyFill="1" applyBorder="1" applyAlignment="1">
      <alignment horizontal="center" vertical="center"/>
    </xf>
    <xf numFmtId="166" fontId="27" fillId="2" borderId="3" xfId="8" applyNumberFormat="1" applyFont="1" applyFill="1" applyBorder="1" applyAlignment="1">
      <alignment horizontal="center" vertical="center"/>
    </xf>
    <xf numFmtId="166" fontId="27" fillId="2" borderId="4" xfId="8" applyNumberFormat="1" applyFont="1" applyFill="1" applyBorder="1" applyAlignment="1">
      <alignment horizontal="center" vertical="center"/>
    </xf>
    <xf numFmtId="166" fontId="27" fillId="2" borderId="2" xfId="8" applyNumberFormat="1" applyFont="1" applyFill="1" applyBorder="1" applyAlignment="1">
      <alignment horizontal="center" vertical="center"/>
    </xf>
    <xf numFmtId="166" fontId="27" fillId="2" borderId="5" xfId="8" applyNumberFormat="1" applyFont="1" applyFill="1" applyBorder="1" applyAlignment="1">
      <alignment horizontal="center" vertical="center"/>
    </xf>
    <xf numFmtId="0" fontId="33" fillId="0" borderId="0" xfId="1" applyFont="1" applyFill="1" applyAlignment="1">
      <alignment horizontal="center"/>
    </xf>
    <xf numFmtId="0" fontId="33" fillId="0" borderId="0" xfId="5" applyFont="1" applyFill="1" applyAlignment="1">
      <alignment horizontal="center"/>
    </xf>
    <xf numFmtId="166" fontId="27" fillId="2" borderId="2" xfId="12" applyNumberFormat="1" applyFont="1" applyFill="1" applyBorder="1" applyAlignment="1">
      <alignment horizontal="center" vertical="center" wrapText="1"/>
    </xf>
    <xf numFmtId="166" fontId="27" fillId="2" borderId="5" xfId="12" applyNumberFormat="1" applyFont="1" applyFill="1" applyBorder="1" applyAlignment="1">
      <alignment horizontal="center" vertical="center" wrapText="1"/>
    </xf>
    <xf numFmtId="0" fontId="33" fillId="0" borderId="0" xfId="11" applyFont="1" applyFill="1" applyAlignment="1">
      <alignment horizontal="center"/>
    </xf>
    <xf numFmtId="166" fontId="27" fillId="2" borderId="2" xfId="12" applyNumberFormat="1" applyFont="1" applyFill="1" applyBorder="1" applyAlignment="1">
      <alignment horizontal="center" vertical="center"/>
    </xf>
    <xf numFmtId="166" fontId="27" fillId="2" borderId="5" xfId="12" applyNumberFormat="1" applyFont="1" applyFill="1" applyBorder="1" applyAlignment="1">
      <alignment horizontal="center" vertical="center"/>
    </xf>
    <xf numFmtId="0" fontId="26" fillId="0" borderId="0" xfId="11" applyFont="1" applyAlignment="1">
      <alignment horizontal="left" vertical="center"/>
    </xf>
    <xf numFmtId="0" fontId="24" fillId="0" borderId="0" xfId="11" applyAlignment="1">
      <alignment horizontal="left" vertical="center"/>
    </xf>
    <xf numFmtId="0" fontId="24" fillId="0" borderId="1" xfId="11" applyBorder="1" applyAlignment="1">
      <alignment horizontal="left" vertical="center"/>
    </xf>
    <xf numFmtId="0" fontId="27" fillId="2" borderId="2" xfId="11" applyFont="1" applyFill="1" applyBorder="1" applyAlignment="1">
      <alignment horizontal="center" vertical="center"/>
    </xf>
    <xf numFmtId="0" fontId="27" fillId="2" borderId="5" xfId="11" applyFont="1" applyFill="1" applyBorder="1" applyAlignment="1">
      <alignment horizontal="center" vertical="center"/>
    </xf>
    <xf numFmtId="166" fontId="27" fillId="2" borderId="3" xfId="12" applyNumberFormat="1" applyFont="1" applyFill="1" applyBorder="1" applyAlignment="1">
      <alignment horizontal="center" vertical="center"/>
    </xf>
    <xf numFmtId="166" fontId="27" fillId="2" borderId="4" xfId="12" applyNumberFormat="1" applyFont="1" applyFill="1" applyBorder="1" applyAlignment="1">
      <alignment horizontal="center" vertical="center"/>
    </xf>
    <xf numFmtId="166" fontId="27" fillId="2" borderId="2" xfId="14" applyNumberFormat="1" applyFont="1" applyFill="1" applyBorder="1" applyAlignment="1">
      <alignment horizontal="center" vertical="center" wrapText="1"/>
    </xf>
    <xf numFmtId="166" fontId="27" fillId="2" borderId="5" xfId="14" applyNumberFormat="1" applyFont="1" applyFill="1" applyBorder="1" applyAlignment="1">
      <alignment horizontal="center" vertical="center" wrapText="1"/>
    </xf>
    <xf numFmtId="0" fontId="33" fillId="0" borderId="0" xfId="13" applyFont="1" applyFill="1" applyAlignment="1">
      <alignment horizontal="center"/>
    </xf>
    <xf numFmtId="0" fontId="26" fillId="0" borderId="0" xfId="13" applyFont="1" applyAlignment="1">
      <alignment horizontal="left" vertical="center"/>
    </xf>
    <xf numFmtId="0" fontId="24" fillId="0" borderId="0" xfId="13" applyAlignment="1">
      <alignment horizontal="left" vertical="center"/>
    </xf>
    <xf numFmtId="0" fontId="24" fillId="0" borderId="1" xfId="13" applyBorder="1" applyAlignment="1">
      <alignment horizontal="left" vertical="center"/>
    </xf>
    <xf numFmtId="0" fontId="27" fillId="2" borderId="2" xfId="13" applyFont="1" applyFill="1" applyBorder="1" applyAlignment="1">
      <alignment horizontal="center" vertical="center"/>
    </xf>
    <xf numFmtId="0" fontId="27" fillId="2" borderId="5" xfId="13" applyFont="1" applyFill="1" applyBorder="1" applyAlignment="1">
      <alignment horizontal="center" vertical="center"/>
    </xf>
    <xf numFmtId="166" fontId="27" fillId="2" borderId="3" xfId="14" applyNumberFormat="1" applyFont="1" applyFill="1" applyBorder="1" applyAlignment="1">
      <alignment horizontal="center" vertical="center"/>
    </xf>
    <xf numFmtId="166" fontId="27" fillId="2" borderId="4" xfId="14" applyNumberFormat="1" applyFont="1" applyFill="1" applyBorder="1" applyAlignment="1">
      <alignment horizontal="center" vertical="center"/>
    </xf>
    <xf numFmtId="166" fontId="27" fillId="2" borderId="2" xfId="14" applyNumberFormat="1" applyFont="1" applyFill="1" applyBorder="1" applyAlignment="1">
      <alignment horizontal="center" vertical="center"/>
    </xf>
    <xf numFmtId="166" fontId="27" fillId="2" borderId="5" xfId="14" applyNumberFormat="1" applyFont="1" applyFill="1" applyBorder="1" applyAlignment="1">
      <alignment horizontal="center" vertical="center"/>
    </xf>
    <xf numFmtId="166" fontId="27" fillId="2" borderId="2" xfId="16" applyNumberFormat="1" applyFont="1" applyFill="1" applyBorder="1" applyAlignment="1">
      <alignment horizontal="center" vertical="center" wrapText="1"/>
    </xf>
    <xf numFmtId="166" fontId="27" fillId="2" borderId="5" xfId="16" applyNumberFormat="1" applyFont="1" applyFill="1" applyBorder="1" applyAlignment="1">
      <alignment horizontal="center" vertical="center" wrapText="1"/>
    </xf>
    <xf numFmtId="0" fontId="33" fillId="0" borderId="0" xfId="15" applyFont="1" applyFill="1" applyAlignment="1">
      <alignment horizontal="center"/>
    </xf>
    <xf numFmtId="0" fontId="26" fillId="0" borderId="0" xfId="15" applyFont="1" applyAlignment="1">
      <alignment horizontal="left" vertical="center"/>
    </xf>
    <xf numFmtId="0" fontId="24" fillId="0" borderId="0" xfId="15" applyAlignment="1">
      <alignment horizontal="left" vertical="center"/>
    </xf>
    <xf numFmtId="0" fontId="24" fillId="0" borderId="1" xfId="15" applyBorder="1" applyAlignment="1">
      <alignment horizontal="left" vertical="center"/>
    </xf>
    <xf numFmtId="0" fontId="27" fillId="2" borderId="2" xfId="15" applyFont="1" applyFill="1" applyBorder="1" applyAlignment="1">
      <alignment horizontal="center" vertical="center"/>
    </xf>
    <xf numFmtId="0" fontId="27" fillId="2" borderId="5" xfId="15" applyFont="1" applyFill="1" applyBorder="1" applyAlignment="1">
      <alignment horizontal="center" vertical="center"/>
    </xf>
    <xf numFmtId="166" fontId="27" fillId="2" borderId="3" xfId="16" applyNumberFormat="1" applyFont="1" applyFill="1" applyBorder="1" applyAlignment="1">
      <alignment horizontal="center" vertical="center"/>
    </xf>
    <xf numFmtId="166" fontId="27" fillId="2" borderId="4" xfId="16" applyNumberFormat="1" applyFont="1" applyFill="1" applyBorder="1" applyAlignment="1">
      <alignment horizontal="center" vertical="center"/>
    </xf>
    <xf numFmtId="166" fontId="27" fillId="2" borderId="2" xfId="16" applyNumberFormat="1" applyFont="1" applyFill="1" applyBorder="1" applyAlignment="1">
      <alignment horizontal="center" vertical="center"/>
    </xf>
    <xf numFmtId="166" fontId="27" fillId="2" borderId="5" xfId="16" applyNumberFormat="1" applyFont="1" applyFill="1" applyBorder="1" applyAlignment="1">
      <alignment horizontal="center" vertical="center"/>
    </xf>
    <xf numFmtId="0" fontId="33" fillId="0" borderId="0" xfId="18" applyFont="1" applyFill="1" applyAlignment="1">
      <alignment horizontal="center"/>
    </xf>
    <xf numFmtId="166" fontId="27" fillId="2" borderId="2" xfId="21" applyNumberFormat="1" applyFont="1" applyFill="1" applyBorder="1" applyAlignment="1">
      <alignment horizontal="center" vertical="center" wrapText="1"/>
    </xf>
    <xf numFmtId="166" fontId="27" fillId="2" borderId="5" xfId="21" applyNumberFormat="1" applyFont="1" applyFill="1" applyBorder="1" applyAlignment="1">
      <alignment horizontal="center" vertical="center" wrapText="1"/>
    </xf>
    <xf numFmtId="0" fontId="33" fillId="0" borderId="0" xfId="20" applyFont="1" applyFill="1" applyAlignment="1">
      <alignment horizontal="center"/>
    </xf>
    <xf numFmtId="0" fontId="26" fillId="0" borderId="0" xfId="20" applyFont="1" applyAlignment="1">
      <alignment horizontal="left" vertical="center"/>
    </xf>
    <xf numFmtId="0" fontId="24" fillId="0" borderId="0" xfId="20" applyAlignment="1">
      <alignment horizontal="left" vertical="center"/>
    </xf>
    <xf numFmtId="0" fontId="24" fillId="0" borderId="1" xfId="20" applyBorder="1" applyAlignment="1">
      <alignment horizontal="left" vertical="center"/>
    </xf>
    <xf numFmtId="0" fontId="27" fillId="2" borderId="2" xfId="20" applyFont="1" applyFill="1" applyBorder="1" applyAlignment="1">
      <alignment horizontal="center" vertical="center"/>
    </xf>
    <xf numFmtId="0" fontId="27" fillId="2" borderId="5" xfId="20" applyFont="1" applyFill="1" applyBorder="1" applyAlignment="1">
      <alignment horizontal="center" vertical="center"/>
    </xf>
    <xf numFmtId="166" fontId="27" fillId="2" borderId="3" xfId="21" applyNumberFormat="1" applyFont="1" applyFill="1" applyBorder="1" applyAlignment="1">
      <alignment horizontal="center" vertical="center"/>
    </xf>
    <xf numFmtId="166" fontId="27" fillId="2" borderId="4" xfId="21" applyNumberFormat="1" applyFont="1" applyFill="1" applyBorder="1" applyAlignment="1">
      <alignment horizontal="center" vertical="center"/>
    </xf>
    <xf numFmtId="166" fontId="27" fillId="2" borderId="2" xfId="21" applyNumberFormat="1" applyFont="1" applyFill="1" applyBorder="1" applyAlignment="1">
      <alignment horizontal="center" vertical="center"/>
    </xf>
    <xf numFmtId="166" fontId="27" fillId="2" borderId="5" xfId="21" applyNumberFormat="1" applyFont="1" applyFill="1" applyBorder="1" applyAlignment="1">
      <alignment horizontal="center" vertical="center"/>
    </xf>
  </cellXfs>
  <cellStyles count="22">
    <cellStyle name="Comma 10" xfId="17"/>
    <cellStyle name="Currency [0] 10" xfId="16"/>
    <cellStyle name="Currency [0] 11" xfId="19"/>
    <cellStyle name="Currency [0] 12" xfId="21"/>
    <cellStyle name="Currency [0] 2" xfId="2"/>
    <cellStyle name="Currency [0] 3" xfId="4"/>
    <cellStyle name="Currency [0] 4" xfId="6"/>
    <cellStyle name="Currency [0] 5" xfId="8"/>
    <cellStyle name="Currency [0] 8" xfId="12"/>
    <cellStyle name="Currency [0] 9" xfId="14"/>
    <cellStyle name="Normal" xfId="0" builtinId="0"/>
    <cellStyle name="Normal 10" xfId="15"/>
    <cellStyle name="Normal 11" xfId="18"/>
    <cellStyle name="Normal 12" xfId="20"/>
    <cellStyle name="Normal 2" xfId="1"/>
    <cellStyle name="Normal 3" xfId="3"/>
    <cellStyle name="Normal 4" xfId="5"/>
    <cellStyle name="Normal 5" xfId="7"/>
    <cellStyle name="Normal 6" xfId="9"/>
    <cellStyle name="Normal 7" xfId="10"/>
    <cellStyle name="Normal 8" xfId="11"/>
    <cellStyle name="Normal 9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42"/>
  <sheetViews>
    <sheetView topLeftCell="D22" workbookViewId="0">
      <selection activeCell="N38" sqref="N38"/>
    </sheetView>
  </sheetViews>
  <sheetFormatPr defaultRowHeight="15"/>
  <cols>
    <col min="2" max="2" width="17.28515625" customWidth="1"/>
    <col min="3" max="3" width="16" customWidth="1"/>
    <col min="4" max="4" width="15.5703125" customWidth="1"/>
    <col min="5" max="5" width="15.28515625" customWidth="1"/>
    <col min="6" max="6" width="14.85546875" customWidth="1"/>
    <col min="7" max="7" width="15.5703125" customWidth="1"/>
    <col min="10" max="10" width="37.28515625" customWidth="1"/>
    <col min="11" max="11" width="22.28515625" customWidth="1"/>
  </cols>
  <sheetData>
    <row r="2" spans="1:11">
      <c r="A2" s="659" t="s">
        <v>0</v>
      </c>
      <c r="B2" s="660"/>
      <c r="C2" s="660"/>
      <c r="D2" s="660"/>
      <c r="E2" s="660"/>
      <c r="F2" s="1"/>
      <c r="G2" s="1"/>
      <c r="H2" s="1"/>
      <c r="I2" s="1"/>
      <c r="J2" s="1"/>
      <c r="K2" s="1"/>
    </row>
    <row r="3" spans="1:11">
      <c r="A3" s="661"/>
      <c r="B3" s="661"/>
      <c r="C3" s="661"/>
      <c r="D3" s="661"/>
      <c r="E3" s="661"/>
      <c r="F3" s="1"/>
      <c r="G3" s="1"/>
      <c r="H3" s="1"/>
      <c r="I3" s="1"/>
      <c r="J3" s="1"/>
      <c r="K3" s="1"/>
    </row>
    <row r="5" spans="1:11" ht="15.75">
      <c r="A5" s="662" t="s">
        <v>1</v>
      </c>
      <c r="B5" s="664" t="s">
        <v>2</v>
      </c>
      <c r="C5" s="665"/>
      <c r="D5" s="666" t="s">
        <v>3</v>
      </c>
      <c r="E5" s="656" t="s">
        <v>4</v>
      </c>
      <c r="F5" s="666" t="s">
        <v>5</v>
      </c>
      <c r="G5" s="656" t="s">
        <v>6</v>
      </c>
      <c r="H5" s="2"/>
      <c r="I5" s="3" t="s">
        <v>7</v>
      </c>
      <c r="J5" s="4"/>
      <c r="K5" s="5"/>
    </row>
    <row r="6" spans="1:11" ht="15.75">
      <c r="A6" s="663"/>
      <c r="B6" s="6" t="s">
        <v>8</v>
      </c>
      <c r="C6" s="7" t="s">
        <v>9</v>
      </c>
      <c r="D6" s="667"/>
      <c r="E6" s="657"/>
      <c r="F6" s="667"/>
      <c r="G6" s="657"/>
      <c r="H6" s="2"/>
      <c r="I6" s="610" t="s">
        <v>1</v>
      </c>
      <c r="J6" s="611" t="s">
        <v>10</v>
      </c>
      <c r="K6" s="612" t="s">
        <v>11</v>
      </c>
    </row>
    <row r="7" spans="1:11" ht="30">
      <c r="A7" s="11">
        <v>44774</v>
      </c>
      <c r="B7" s="12">
        <v>6400000</v>
      </c>
      <c r="C7" s="12">
        <v>3825000</v>
      </c>
      <c r="D7" s="13">
        <v>10225000</v>
      </c>
      <c r="E7" s="14">
        <v>4615000</v>
      </c>
      <c r="F7" s="12">
        <v>5610000</v>
      </c>
      <c r="G7" s="15">
        <v>-790000</v>
      </c>
      <c r="H7" s="5"/>
      <c r="I7" s="11">
        <v>44776</v>
      </c>
      <c r="J7" s="16" t="s">
        <v>12</v>
      </c>
      <c r="K7" s="50">
        <v>12800000</v>
      </c>
    </row>
    <row r="8" spans="1:11">
      <c r="A8" s="66">
        <v>44775</v>
      </c>
      <c r="B8" s="67">
        <v>185000</v>
      </c>
      <c r="C8" s="67">
        <v>3705000</v>
      </c>
      <c r="D8" s="13">
        <v>3890000</v>
      </c>
      <c r="E8" s="14">
        <v>2150000</v>
      </c>
      <c r="F8" s="67">
        <v>1740000</v>
      </c>
      <c r="G8" s="15">
        <v>1555000</v>
      </c>
      <c r="H8" s="5"/>
      <c r="I8" s="17">
        <v>44779</v>
      </c>
      <c r="J8" s="18" t="s">
        <v>13</v>
      </c>
      <c r="K8" s="51">
        <v>30000000</v>
      </c>
    </row>
    <row r="9" spans="1:11">
      <c r="A9" s="66">
        <v>44776</v>
      </c>
      <c r="B9" s="67">
        <v>17135000</v>
      </c>
      <c r="C9" s="67">
        <v>7675000</v>
      </c>
      <c r="D9" s="13">
        <v>24810000</v>
      </c>
      <c r="E9" s="14">
        <v>4715000</v>
      </c>
      <c r="F9" s="67">
        <v>20095000</v>
      </c>
      <c r="G9" s="15">
        <v>2960000</v>
      </c>
      <c r="H9" s="20"/>
      <c r="I9" s="17">
        <v>44782</v>
      </c>
      <c r="J9" s="18" t="s">
        <v>14</v>
      </c>
      <c r="K9" s="51">
        <v>1700000</v>
      </c>
    </row>
    <row r="10" spans="1:11">
      <c r="A10" s="11">
        <v>44777</v>
      </c>
      <c r="B10" s="12">
        <v>1800000</v>
      </c>
      <c r="C10" s="12">
        <v>2220000</v>
      </c>
      <c r="D10" s="13">
        <v>4020000</v>
      </c>
      <c r="E10" s="14">
        <v>1380000</v>
      </c>
      <c r="F10" s="12">
        <v>2640000</v>
      </c>
      <c r="G10" s="15">
        <v>840000</v>
      </c>
      <c r="H10" s="5"/>
      <c r="I10" s="21">
        <v>44784</v>
      </c>
      <c r="J10" s="16" t="s">
        <v>15</v>
      </c>
      <c r="K10" s="52">
        <v>3500000</v>
      </c>
    </row>
    <row r="11" spans="1:11">
      <c r="A11" s="11">
        <v>44778</v>
      </c>
      <c r="B11" s="12">
        <v>7250000</v>
      </c>
      <c r="C11" s="12">
        <v>750000</v>
      </c>
      <c r="D11" s="13">
        <v>8000000</v>
      </c>
      <c r="E11" s="14">
        <v>2160000</v>
      </c>
      <c r="F11" s="12">
        <v>5840000</v>
      </c>
      <c r="G11" s="15">
        <v>-1410000</v>
      </c>
      <c r="H11" s="22"/>
      <c r="I11" s="21">
        <v>44785</v>
      </c>
      <c r="J11" s="23" t="s">
        <v>16</v>
      </c>
      <c r="K11" s="49">
        <v>1025000</v>
      </c>
    </row>
    <row r="12" spans="1:11">
      <c r="A12" s="11">
        <v>44779</v>
      </c>
      <c r="B12" s="12">
        <v>6875000</v>
      </c>
      <c r="C12" s="12">
        <v>3950000</v>
      </c>
      <c r="D12" s="13">
        <v>10825000</v>
      </c>
      <c r="E12" s="14">
        <v>3505000</v>
      </c>
      <c r="F12" s="12">
        <v>7320000</v>
      </c>
      <c r="G12" s="15">
        <v>445000</v>
      </c>
      <c r="H12" s="22"/>
      <c r="I12" s="11">
        <v>44786</v>
      </c>
      <c r="J12" s="48" t="s">
        <v>17</v>
      </c>
      <c r="K12" s="50">
        <v>1000000</v>
      </c>
    </row>
    <row r="13" spans="1:11">
      <c r="A13" s="46">
        <v>44780</v>
      </c>
      <c r="B13" s="47"/>
      <c r="C13" s="47"/>
      <c r="D13" s="47"/>
      <c r="E13" s="47"/>
      <c r="F13" s="47"/>
      <c r="G13" s="47"/>
      <c r="H13" s="5"/>
      <c r="I13" s="11">
        <v>44787</v>
      </c>
      <c r="J13" s="24" t="s">
        <v>18</v>
      </c>
      <c r="K13" s="53">
        <v>3000000</v>
      </c>
    </row>
    <row r="14" spans="1:11">
      <c r="A14" s="11">
        <v>44781</v>
      </c>
      <c r="B14" s="12">
        <v>3500000</v>
      </c>
      <c r="C14" s="12">
        <v>13280000</v>
      </c>
      <c r="D14" s="13">
        <v>16780000</v>
      </c>
      <c r="E14" s="14">
        <v>2075000</v>
      </c>
      <c r="F14" s="12">
        <v>14705000</v>
      </c>
      <c r="G14" s="15">
        <v>11205000</v>
      </c>
      <c r="H14" s="5"/>
      <c r="I14" s="11">
        <v>44788</v>
      </c>
      <c r="J14" s="23" t="s">
        <v>19</v>
      </c>
      <c r="K14" s="50">
        <v>700000</v>
      </c>
    </row>
    <row r="15" spans="1:11">
      <c r="A15" s="11">
        <v>44782</v>
      </c>
      <c r="B15" s="12">
        <v>2250000</v>
      </c>
      <c r="C15" s="12">
        <v>1850000</v>
      </c>
      <c r="D15" s="13">
        <v>4100000</v>
      </c>
      <c r="E15" s="14">
        <v>2250000</v>
      </c>
      <c r="F15" s="12">
        <v>1850000</v>
      </c>
      <c r="G15" s="15">
        <v>-400000</v>
      </c>
      <c r="H15" s="5"/>
      <c r="I15" s="11">
        <v>44788</v>
      </c>
      <c r="J15" s="23" t="s">
        <v>20</v>
      </c>
      <c r="K15" s="50">
        <v>15000000</v>
      </c>
    </row>
    <row r="16" spans="1:11">
      <c r="A16" s="11">
        <v>44783</v>
      </c>
      <c r="B16" s="12">
        <v>225000</v>
      </c>
      <c r="C16" s="12">
        <v>5950000</v>
      </c>
      <c r="D16" s="13">
        <v>6175000</v>
      </c>
      <c r="E16" s="14">
        <v>1490000</v>
      </c>
      <c r="F16" s="12">
        <v>4685000</v>
      </c>
      <c r="G16" s="15">
        <v>4460000</v>
      </c>
      <c r="H16" s="22"/>
      <c r="I16" s="25">
        <v>44789</v>
      </c>
      <c r="J16" s="27" t="s">
        <v>20</v>
      </c>
      <c r="K16" s="53">
        <v>10000000</v>
      </c>
    </row>
    <row r="17" spans="1:11">
      <c r="A17" s="11">
        <v>44784</v>
      </c>
      <c r="B17" s="54">
        <v>3900000</v>
      </c>
      <c r="C17" s="54">
        <v>400000</v>
      </c>
      <c r="D17" s="13">
        <v>4300000</v>
      </c>
      <c r="E17" s="14">
        <v>1970000</v>
      </c>
      <c r="F17" s="12">
        <v>2330000</v>
      </c>
      <c r="G17" s="15">
        <v>-1570000</v>
      </c>
      <c r="H17" s="26"/>
      <c r="I17" s="25">
        <v>44789</v>
      </c>
      <c r="J17" s="18" t="s">
        <v>21</v>
      </c>
      <c r="K17" s="53">
        <v>1000000</v>
      </c>
    </row>
    <row r="18" spans="1:11">
      <c r="A18" s="11">
        <v>44785</v>
      </c>
      <c r="B18" s="54"/>
      <c r="C18" s="54">
        <v>6350000</v>
      </c>
      <c r="D18" s="13">
        <v>6350000</v>
      </c>
      <c r="E18" s="14">
        <v>1130000</v>
      </c>
      <c r="F18" s="12">
        <v>5220000</v>
      </c>
      <c r="G18" s="15">
        <v>5220000</v>
      </c>
      <c r="H18" s="26"/>
      <c r="I18" s="25">
        <v>44792</v>
      </c>
      <c r="J18" s="48" t="s">
        <v>20</v>
      </c>
      <c r="K18" s="55">
        <v>10000000</v>
      </c>
    </row>
    <row r="19" spans="1:11">
      <c r="A19" s="11">
        <v>44786</v>
      </c>
      <c r="B19" s="54">
        <v>500000</v>
      </c>
      <c r="C19" s="54">
        <v>4100000</v>
      </c>
      <c r="D19" s="13">
        <v>4600000</v>
      </c>
      <c r="E19" s="14">
        <v>2890000</v>
      </c>
      <c r="F19" s="12">
        <v>1710000</v>
      </c>
      <c r="G19" s="15">
        <v>1210000</v>
      </c>
      <c r="H19" s="1"/>
      <c r="I19" s="25">
        <v>44792</v>
      </c>
      <c r="J19" s="27" t="s">
        <v>20</v>
      </c>
      <c r="K19" s="53">
        <v>5000000</v>
      </c>
    </row>
    <row r="20" spans="1:11">
      <c r="A20" s="46">
        <v>44787</v>
      </c>
      <c r="B20" s="68"/>
      <c r="C20" s="68"/>
      <c r="D20" s="47"/>
      <c r="E20" s="47"/>
      <c r="F20" s="47"/>
      <c r="G20" s="47"/>
      <c r="H20" s="1"/>
      <c r="I20" s="28">
        <v>44796</v>
      </c>
      <c r="J20" s="23" t="s">
        <v>22</v>
      </c>
      <c r="K20" s="50">
        <v>5500000</v>
      </c>
    </row>
    <row r="21" spans="1:11">
      <c r="A21" s="11">
        <v>44788</v>
      </c>
      <c r="B21" s="56">
        <v>5200000</v>
      </c>
      <c r="C21" s="57">
        <v>5500000</v>
      </c>
      <c r="D21" s="13">
        <v>10700000</v>
      </c>
      <c r="E21" s="58">
        <v>2185000</v>
      </c>
      <c r="F21" s="12">
        <v>8515000</v>
      </c>
      <c r="G21" s="15">
        <v>3315000</v>
      </c>
      <c r="H21" s="29"/>
      <c r="I21" s="25">
        <v>44797</v>
      </c>
      <c r="J21" s="27" t="s">
        <v>20</v>
      </c>
      <c r="K21" s="19">
        <v>10000000</v>
      </c>
    </row>
    <row r="22" spans="1:11">
      <c r="A22" s="11">
        <v>44789</v>
      </c>
      <c r="B22" s="54">
        <v>12775000</v>
      </c>
      <c r="C22" s="54">
        <v>2300000</v>
      </c>
      <c r="D22" s="13">
        <v>15075000</v>
      </c>
      <c r="E22" s="14">
        <v>2490000</v>
      </c>
      <c r="F22" s="12">
        <v>12585000</v>
      </c>
      <c r="G22" s="15">
        <v>-190000</v>
      </c>
      <c r="H22" s="1"/>
      <c r="I22" s="25">
        <v>44798</v>
      </c>
      <c r="J22" s="27" t="s">
        <v>23</v>
      </c>
      <c r="K22" s="19">
        <v>1300000</v>
      </c>
    </row>
    <row r="23" spans="1:11">
      <c r="A23" s="46">
        <v>44790</v>
      </c>
      <c r="B23" s="68"/>
      <c r="C23" s="68"/>
      <c r="D23" s="47"/>
      <c r="E23" s="47"/>
      <c r="F23" s="47"/>
      <c r="G23" s="47"/>
      <c r="H23" s="1"/>
      <c r="I23" s="25">
        <v>44800</v>
      </c>
      <c r="J23" s="27" t="s">
        <v>20</v>
      </c>
      <c r="K23" s="19">
        <v>15000000</v>
      </c>
    </row>
    <row r="24" spans="1:11">
      <c r="A24" s="21">
        <v>44791</v>
      </c>
      <c r="B24" s="57">
        <v>500000</v>
      </c>
      <c r="C24" s="57">
        <v>2205000</v>
      </c>
      <c r="D24" s="13">
        <v>2705000</v>
      </c>
      <c r="E24" s="58">
        <v>1570000</v>
      </c>
      <c r="F24" s="12">
        <v>1135000</v>
      </c>
      <c r="G24" s="15">
        <v>635000</v>
      </c>
      <c r="H24" s="29"/>
      <c r="I24" s="25">
        <v>44800</v>
      </c>
      <c r="J24" s="27" t="s">
        <v>24</v>
      </c>
      <c r="K24" s="19">
        <v>650000</v>
      </c>
    </row>
    <row r="25" spans="1:11">
      <c r="A25" s="11">
        <v>44792</v>
      </c>
      <c r="B25" s="54">
        <v>4675000</v>
      </c>
      <c r="C25" s="54">
        <v>1850000</v>
      </c>
      <c r="D25" s="13">
        <v>6525000</v>
      </c>
      <c r="E25" s="14">
        <v>1785000</v>
      </c>
      <c r="F25" s="12">
        <v>4740000</v>
      </c>
      <c r="G25" s="15">
        <v>65000</v>
      </c>
      <c r="H25" s="1"/>
      <c r="I25" s="25">
        <v>44802</v>
      </c>
      <c r="J25" s="27" t="s">
        <v>20</v>
      </c>
      <c r="K25" s="19">
        <v>5000000</v>
      </c>
    </row>
    <row r="26" spans="1:11">
      <c r="A26" s="11">
        <v>44793</v>
      </c>
      <c r="B26" s="54">
        <v>1150000</v>
      </c>
      <c r="C26" s="54">
        <v>1720000</v>
      </c>
      <c r="D26" s="13">
        <v>2870000</v>
      </c>
      <c r="E26" s="14">
        <v>2245000</v>
      </c>
      <c r="F26" s="12">
        <v>625000</v>
      </c>
      <c r="G26" s="15">
        <v>-525000</v>
      </c>
      <c r="H26" s="1"/>
      <c r="I26" s="25">
        <v>44802</v>
      </c>
      <c r="J26" s="27" t="s">
        <v>20</v>
      </c>
      <c r="K26" s="19">
        <v>23500000</v>
      </c>
    </row>
    <row r="27" spans="1:11">
      <c r="A27" s="46">
        <v>44794</v>
      </c>
      <c r="B27" s="68"/>
      <c r="C27" s="68"/>
      <c r="D27" s="47"/>
      <c r="E27" s="47"/>
      <c r="F27" s="47"/>
      <c r="G27" s="47"/>
      <c r="H27" s="1"/>
      <c r="I27" s="25">
        <v>44803</v>
      </c>
      <c r="J27" s="27" t="s">
        <v>25</v>
      </c>
      <c r="K27" s="19">
        <v>1100000</v>
      </c>
    </row>
    <row r="28" spans="1:11">
      <c r="A28" s="59">
        <v>44795</v>
      </c>
      <c r="B28" s="60">
        <v>1350000</v>
      </c>
      <c r="C28" s="60">
        <v>900000</v>
      </c>
      <c r="D28" s="61">
        <v>2250000</v>
      </c>
      <c r="E28" s="62">
        <v>1710000</v>
      </c>
      <c r="F28" s="63">
        <v>540000</v>
      </c>
      <c r="G28" s="64">
        <v>-810000</v>
      </c>
      <c r="H28" s="1"/>
      <c r="I28" s="25">
        <v>44804</v>
      </c>
      <c r="J28" s="27" t="s">
        <v>26</v>
      </c>
      <c r="K28" s="19">
        <v>18950000</v>
      </c>
    </row>
    <row r="29" spans="1:11">
      <c r="A29" s="11">
        <v>44796</v>
      </c>
      <c r="B29" s="54">
        <v>9307000</v>
      </c>
      <c r="C29" s="54">
        <v>2550000</v>
      </c>
      <c r="D29" s="13">
        <v>11857000</v>
      </c>
      <c r="E29" s="14">
        <v>3485000</v>
      </c>
      <c r="F29" s="12">
        <v>8372000</v>
      </c>
      <c r="G29" s="15">
        <v>-935000</v>
      </c>
      <c r="H29" s="1"/>
      <c r="I29" s="25"/>
      <c r="J29" s="27"/>
      <c r="K29" s="19"/>
    </row>
    <row r="30" spans="1:11">
      <c r="A30" s="11">
        <v>44797</v>
      </c>
      <c r="B30" s="54">
        <v>800000</v>
      </c>
      <c r="C30" s="54">
        <v>3730000</v>
      </c>
      <c r="D30" s="13">
        <v>4530000</v>
      </c>
      <c r="E30" s="14">
        <v>2765000</v>
      </c>
      <c r="F30" s="12">
        <v>1765000</v>
      </c>
      <c r="G30" s="15">
        <v>965000</v>
      </c>
      <c r="H30" s="1"/>
      <c r="I30" s="30"/>
      <c r="J30" s="23"/>
      <c r="K30" s="31">
        <v>175725000</v>
      </c>
    </row>
    <row r="31" spans="1:11">
      <c r="A31" s="11">
        <v>44798</v>
      </c>
      <c r="B31" s="54">
        <v>5545000</v>
      </c>
      <c r="C31" s="54">
        <v>2965000</v>
      </c>
      <c r="D31" s="13">
        <v>8510000</v>
      </c>
      <c r="E31" s="14">
        <v>1400000</v>
      </c>
      <c r="F31" s="12">
        <v>7110000</v>
      </c>
      <c r="G31" s="15">
        <v>1565000</v>
      </c>
      <c r="H31" s="1"/>
      <c r="I31" s="26"/>
      <c r="J31" s="1"/>
      <c r="K31" s="1"/>
    </row>
    <row r="32" spans="1:11">
      <c r="A32" s="11">
        <v>44799</v>
      </c>
      <c r="B32" s="54">
        <v>5550000</v>
      </c>
      <c r="C32" s="54">
        <v>5825000</v>
      </c>
      <c r="D32" s="13">
        <v>11375000</v>
      </c>
      <c r="E32" s="14">
        <v>1690000</v>
      </c>
      <c r="F32" s="12">
        <v>9685000</v>
      </c>
      <c r="G32" s="15">
        <v>4135000</v>
      </c>
      <c r="H32" s="1"/>
      <c r="I32" s="26"/>
      <c r="J32" s="1"/>
      <c r="K32" s="1"/>
    </row>
    <row r="33" spans="1:11">
      <c r="A33" s="11">
        <v>44800</v>
      </c>
      <c r="B33" s="54">
        <v>3825000</v>
      </c>
      <c r="C33" s="54">
        <v>4565000</v>
      </c>
      <c r="D33" s="13">
        <v>8390000</v>
      </c>
      <c r="E33" s="14">
        <v>2490000</v>
      </c>
      <c r="F33" s="12">
        <v>5900000</v>
      </c>
      <c r="G33" s="15">
        <v>2075000</v>
      </c>
      <c r="H33" s="1"/>
      <c r="I33" s="26"/>
      <c r="J33" s="1"/>
      <c r="K33" s="1"/>
    </row>
    <row r="34" spans="1:11">
      <c r="A34" s="46">
        <v>44801</v>
      </c>
      <c r="B34" s="68"/>
      <c r="C34" s="68"/>
      <c r="D34" s="47"/>
      <c r="E34" s="47"/>
      <c r="F34" s="47"/>
      <c r="G34" s="47"/>
      <c r="H34" s="1"/>
      <c r="I34" s="26"/>
      <c r="J34" s="1"/>
      <c r="K34" s="1"/>
    </row>
    <row r="35" spans="1:11">
      <c r="A35" s="11">
        <v>44802</v>
      </c>
      <c r="B35" s="54">
        <v>600000</v>
      </c>
      <c r="C35" s="54">
        <v>700000</v>
      </c>
      <c r="D35" s="13">
        <v>1300000</v>
      </c>
      <c r="E35" s="14">
        <v>1655000</v>
      </c>
      <c r="F35" s="12">
        <v>-355000</v>
      </c>
      <c r="G35" s="15">
        <v>-955000</v>
      </c>
      <c r="H35" s="1"/>
      <c r="I35" s="26"/>
      <c r="J35" s="1"/>
      <c r="K35" s="1"/>
    </row>
    <row r="36" spans="1:11">
      <c r="A36" s="11">
        <v>44803</v>
      </c>
      <c r="B36" s="54">
        <v>8210000</v>
      </c>
      <c r="C36" s="54">
        <v>1360000</v>
      </c>
      <c r="D36" s="13">
        <v>9570000</v>
      </c>
      <c r="E36" s="14">
        <v>1805000</v>
      </c>
      <c r="F36" s="12">
        <v>7765000</v>
      </c>
      <c r="G36" s="15">
        <v>-445000</v>
      </c>
      <c r="H36" s="1"/>
      <c r="I36" s="26"/>
      <c r="J36" s="1"/>
      <c r="K36" s="1"/>
    </row>
    <row r="37" spans="1:11" ht="15.75">
      <c r="A37" s="11">
        <v>44804</v>
      </c>
      <c r="B37" s="54">
        <v>9800000</v>
      </c>
      <c r="C37" s="54">
        <v>2600000</v>
      </c>
      <c r="D37" s="13">
        <v>12400000</v>
      </c>
      <c r="E37" s="14">
        <v>3470000</v>
      </c>
      <c r="F37" s="12">
        <v>8930000</v>
      </c>
      <c r="G37" s="15">
        <v>-870000</v>
      </c>
      <c r="H37" s="1"/>
      <c r="I37" s="32" t="s">
        <v>27</v>
      </c>
      <c r="J37" s="607" t="s">
        <v>28</v>
      </c>
      <c r="K37" s="34">
        <v>212132000</v>
      </c>
    </row>
    <row r="38" spans="1:11" ht="15.75">
      <c r="A38" s="65"/>
      <c r="B38" s="54"/>
      <c r="C38" s="54"/>
      <c r="D38" s="13"/>
      <c r="E38" s="14"/>
      <c r="F38" s="12"/>
      <c r="G38" s="15"/>
      <c r="H38" s="1"/>
      <c r="I38" s="35"/>
      <c r="J38" s="608" t="s">
        <v>29</v>
      </c>
      <c r="K38" s="37">
        <v>61075000</v>
      </c>
    </row>
    <row r="39" spans="1:11" ht="15.75">
      <c r="A39" s="11"/>
      <c r="B39" s="41">
        <v>119307000</v>
      </c>
      <c r="C39" s="41">
        <v>92825000</v>
      </c>
      <c r="D39" s="42">
        <v>212132000</v>
      </c>
      <c r="E39" s="43">
        <v>61075000</v>
      </c>
      <c r="F39" s="44">
        <v>151057000</v>
      </c>
      <c r="G39" s="45">
        <v>31750000</v>
      </c>
      <c r="H39" s="38"/>
      <c r="I39" s="35"/>
      <c r="J39" s="608" t="s">
        <v>30</v>
      </c>
      <c r="K39" s="37">
        <v>175725000</v>
      </c>
    </row>
    <row r="40" spans="1:11" ht="15.75">
      <c r="A40" s="1"/>
      <c r="B40" s="1"/>
      <c r="C40" s="1"/>
      <c r="D40" s="1"/>
      <c r="E40" s="1"/>
      <c r="F40" s="1"/>
      <c r="G40" s="1"/>
      <c r="H40" s="1"/>
      <c r="I40" s="35"/>
      <c r="J40" s="608" t="s">
        <v>31</v>
      </c>
      <c r="K40" s="37">
        <v>236800000</v>
      </c>
    </row>
    <row r="41" spans="1:11" ht="15.75">
      <c r="A41" s="1"/>
      <c r="B41" s="1"/>
      <c r="C41" s="1"/>
      <c r="D41" s="1"/>
      <c r="E41" s="1"/>
      <c r="F41" s="1"/>
      <c r="G41" s="1"/>
      <c r="H41" s="1"/>
      <c r="I41" s="35"/>
      <c r="J41" s="39"/>
      <c r="K41" s="34"/>
    </row>
    <row r="42" spans="1:11" ht="18">
      <c r="A42" s="1"/>
      <c r="B42" s="1"/>
      <c r="C42" s="1"/>
      <c r="D42" s="1"/>
      <c r="E42" s="1"/>
      <c r="F42" s="1"/>
      <c r="G42" s="1"/>
      <c r="H42" s="1"/>
      <c r="I42" s="658" t="s">
        <v>185</v>
      </c>
      <c r="J42" s="658"/>
      <c r="K42" s="40">
        <v>-24668000</v>
      </c>
    </row>
  </sheetData>
  <mergeCells count="8">
    <mergeCell ref="G5:G6"/>
    <mergeCell ref="I42:J42"/>
    <mergeCell ref="A2:E3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opLeftCell="F25" workbookViewId="0">
      <selection activeCell="R44" sqref="R44"/>
    </sheetView>
  </sheetViews>
  <sheetFormatPr defaultRowHeight="15"/>
  <cols>
    <col min="2" max="2" width="15.85546875" customWidth="1"/>
    <col min="3" max="3" width="16" customWidth="1"/>
    <col min="4" max="4" width="16.85546875" customWidth="1"/>
    <col min="5" max="5" width="13.7109375" customWidth="1"/>
    <col min="6" max="6" width="14.7109375" customWidth="1"/>
    <col min="7" max="7" width="14" customWidth="1"/>
    <col min="10" max="10" width="39.5703125" customWidth="1"/>
    <col min="11" max="11" width="23.5703125" customWidth="1"/>
  </cols>
  <sheetData>
    <row r="1" spans="1:11" ht="15" customHeight="1">
      <c r="A1" s="76"/>
      <c r="B1" s="77"/>
      <c r="C1" s="77"/>
      <c r="D1" s="77"/>
      <c r="E1" s="77"/>
      <c r="F1" s="69"/>
      <c r="G1" s="69"/>
      <c r="H1" s="69"/>
      <c r="I1" s="69"/>
      <c r="J1" s="69"/>
      <c r="K1" s="69"/>
    </row>
    <row r="2" spans="1:11">
      <c r="A2" s="669" t="s">
        <v>32</v>
      </c>
      <c r="B2" s="670"/>
      <c r="C2" s="670"/>
      <c r="D2" s="670"/>
      <c r="E2" s="670"/>
      <c r="F2" s="81"/>
      <c r="G2" s="81"/>
      <c r="H2" s="81"/>
      <c r="I2" s="81"/>
      <c r="J2" s="81"/>
      <c r="K2" s="81"/>
    </row>
    <row r="3" spans="1:11">
      <c r="A3" s="671"/>
      <c r="B3" s="671"/>
      <c r="C3" s="671"/>
      <c r="D3" s="671"/>
      <c r="E3" s="671"/>
      <c r="F3" s="81"/>
      <c r="G3" s="81"/>
      <c r="H3" s="81"/>
      <c r="I3" s="81"/>
      <c r="J3" s="81"/>
      <c r="K3" s="81"/>
    </row>
    <row r="4" spans="1:11" ht="15.75" customHeight="1">
      <c r="A4" s="78"/>
      <c r="B4" s="79"/>
      <c r="C4" s="74"/>
      <c r="D4" s="80"/>
      <c r="E4" s="75"/>
      <c r="F4" s="80"/>
      <c r="G4" s="75"/>
      <c r="H4" s="70"/>
      <c r="I4" s="71"/>
      <c r="J4" s="72"/>
      <c r="K4" s="73"/>
    </row>
    <row r="5" spans="1:11" ht="15.75">
      <c r="A5" s="672" t="s">
        <v>1</v>
      </c>
      <c r="B5" s="674" t="s">
        <v>2</v>
      </c>
      <c r="C5" s="675"/>
      <c r="D5" s="676" t="s">
        <v>3</v>
      </c>
      <c r="E5" s="678" t="s">
        <v>4</v>
      </c>
      <c r="F5" s="676" t="s">
        <v>5</v>
      </c>
      <c r="G5" s="678" t="s">
        <v>6</v>
      </c>
      <c r="H5" s="82"/>
      <c r="I5" s="83" t="s">
        <v>7</v>
      </c>
      <c r="J5" s="84"/>
      <c r="K5" s="85"/>
    </row>
    <row r="6" spans="1:11" ht="17.25" customHeight="1">
      <c r="A6" s="673"/>
      <c r="B6" s="86" t="s">
        <v>8</v>
      </c>
      <c r="C6" s="87" t="s">
        <v>9</v>
      </c>
      <c r="D6" s="677"/>
      <c r="E6" s="679"/>
      <c r="F6" s="677"/>
      <c r="G6" s="679"/>
      <c r="H6" s="82"/>
      <c r="I6" s="613" t="s">
        <v>1</v>
      </c>
      <c r="J6" s="614" t="s">
        <v>10</v>
      </c>
      <c r="K6" s="615" t="s">
        <v>11</v>
      </c>
    </row>
    <row r="7" spans="1:11">
      <c r="A7" s="91">
        <v>44743</v>
      </c>
      <c r="B7" s="92">
        <v>7700000</v>
      </c>
      <c r="C7" s="92">
        <v>23755000</v>
      </c>
      <c r="D7" s="93">
        <v>31455000</v>
      </c>
      <c r="E7" s="94">
        <v>4600000</v>
      </c>
      <c r="F7" s="92">
        <v>26855000</v>
      </c>
      <c r="G7" s="95">
        <v>19155000</v>
      </c>
      <c r="H7" s="85"/>
      <c r="I7" s="91">
        <v>44747</v>
      </c>
      <c r="J7" s="96" t="s">
        <v>33</v>
      </c>
      <c r="K7" s="130">
        <v>25000000</v>
      </c>
    </row>
    <row r="8" spans="1:11">
      <c r="A8" s="146">
        <v>44744</v>
      </c>
      <c r="B8" s="147">
        <v>4825000</v>
      </c>
      <c r="C8" s="147">
        <v>575000</v>
      </c>
      <c r="D8" s="93">
        <v>4825000</v>
      </c>
      <c r="E8" s="94">
        <v>1265000</v>
      </c>
      <c r="F8" s="147">
        <v>3560000</v>
      </c>
      <c r="G8" s="95">
        <v>-690000</v>
      </c>
      <c r="H8" s="85"/>
      <c r="I8" s="97">
        <v>44748</v>
      </c>
      <c r="J8" s="98" t="s">
        <v>34</v>
      </c>
      <c r="K8" s="131">
        <v>8800000</v>
      </c>
    </row>
    <row r="9" spans="1:11" ht="15.75" customHeight="1">
      <c r="A9" s="126">
        <v>44745</v>
      </c>
      <c r="B9" s="127"/>
      <c r="C9" s="127"/>
      <c r="D9" s="127"/>
      <c r="E9" s="127"/>
      <c r="F9" s="127"/>
      <c r="G9" s="127"/>
      <c r="H9" s="100"/>
      <c r="I9" s="97">
        <v>44751</v>
      </c>
      <c r="J9" s="98" t="s">
        <v>35</v>
      </c>
      <c r="K9" s="131">
        <v>14500000</v>
      </c>
    </row>
    <row r="10" spans="1:11" ht="15.75" customHeight="1">
      <c r="A10" s="91">
        <v>44746</v>
      </c>
      <c r="B10" s="92">
        <v>5000000</v>
      </c>
      <c r="C10" s="92">
        <v>850000</v>
      </c>
      <c r="D10" s="93">
        <v>5850000</v>
      </c>
      <c r="E10" s="94">
        <v>1460000</v>
      </c>
      <c r="F10" s="92">
        <v>4390000</v>
      </c>
      <c r="G10" s="95">
        <v>-610000</v>
      </c>
      <c r="H10" s="85"/>
      <c r="I10" s="101">
        <v>44752</v>
      </c>
      <c r="J10" s="96" t="s">
        <v>36</v>
      </c>
      <c r="K10" s="132">
        <v>4500000</v>
      </c>
    </row>
    <row r="11" spans="1:11">
      <c r="A11" s="91">
        <v>44747</v>
      </c>
      <c r="B11" s="92">
        <v>7255000</v>
      </c>
      <c r="C11" s="92"/>
      <c r="D11" s="93">
        <v>7255000</v>
      </c>
      <c r="E11" s="94">
        <v>2265000</v>
      </c>
      <c r="F11" s="92">
        <v>4990000</v>
      </c>
      <c r="G11" s="95">
        <v>-2265000</v>
      </c>
      <c r="H11" s="85"/>
      <c r="I11" s="101">
        <v>44754</v>
      </c>
      <c r="J11" s="96" t="s">
        <v>37</v>
      </c>
      <c r="K11" s="132">
        <v>375000</v>
      </c>
    </row>
    <row r="12" spans="1:11" ht="17.25" customHeight="1">
      <c r="A12" s="91">
        <v>44748</v>
      </c>
      <c r="B12" s="92">
        <v>7900000</v>
      </c>
      <c r="C12" s="92">
        <v>2265000</v>
      </c>
      <c r="D12" s="93">
        <v>10165000</v>
      </c>
      <c r="E12" s="94">
        <v>2100000</v>
      </c>
      <c r="F12" s="92">
        <v>8065000</v>
      </c>
      <c r="G12" s="95">
        <v>165000</v>
      </c>
      <c r="H12" s="85"/>
      <c r="I12" s="101">
        <v>44754</v>
      </c>
      <c r="J12" s="96" t="s">
        <v>38</v>
      </c>
      <c r="K12" s="132">
        <v>500000</v>
      </c>
    </row>
    <row r="13" spans="1:11" ht="14.25" customHeight="1">
      <c r="A13" s="91">
        <v>44749</v>
      </c>
      <c r="B13" s="92">
        <v>8000000</v>
      </c>
      <c r="C13" s="92">
        <v>6625000</v>
      </c>
      <c r="D13" s="93">
        <v>14625000</v>
      </c>
      <c r="E13" s="94">
        <v>2225000</v>
      </c>
      <c r="F13" s="92">
        <v>12400000</v>
      </c>
      <c r="G13" s="95">
        <v>4400000</v>
      </c>
      <c r="H13" s="85"/>
      <c r="I13" s="101">
        <v>44756</v>
      </c>
      <c r="J13" s="96" t="s">
        <v>33</v>
      </c>
      <c r="K13" s="132">
        <v>25000000</v>
      </c>
    </row>
    <row r="14" spans="1:11" ht="17.25" customHeight="1">
      <c r="A14" s="146">
        <v>44750</v>
      </c>
      <c r="B14" s="147">
        <v>3475000</v>
      </c>
      <c r="C14" s="147">
        <v>8150000</v>
      </c>
      <c r="D14" s="147">
        <v>11625000</v>
      </c>
      <c r="E14" s="147">
        <v>3730000</v>
      </c>
      <c r="F14" s="147">
        <v>7895000</v>
      </c>
      <c r="G14" s="147">
        <v>4420000</v>
      </c>
      <c r="H14" s="85"/>
      <c r="I14" s="101">
        <v>44757</v>
      </c>
      <c r="J14" s="96" t="s">
        <v>39</v>
      </c>
      <c r="K14" s="132">
        <v>2500000</v>
      </c>
    </row>
    <row r="15" spans="1:11">
      <c r="A15" s="126">
        <v>44751</v>
      </c>
      <c r="B15" s="127"/>
      <c r="C15" s="127"/>
      <c r="D15" s="127"/>
      <c r="E15" s="127"/>
      <c r="F15" s="127"/>
      <c r="G15" s="127"/>
      <c r="H15" s="102"/>
      <c r="I15" s="101">
        <v>44757</v>
      </c>
      <c r="J15" s="103" t="s">
        <v>40</v>
      </c>
      <c r="K15" s="129">
        <v>325000</v>
      </c>
    </row>
    <row r="16" spans="1:11">
      <c r="A16" s="126">
        <v>44752</v>
      </c>
      <c r="B16" s="127"/>
      <c r="C16" s="127"/>
      <c r="D16" s="127"/>
      <c r="E16" s="127"/>
      <c r="F16" s="127"/>
      <c r="G16" s="127"/>
      <c r="H16" s="102"/>
      <c r="I16" s="101">
        <v>44757</v>
      </c>
      <c r="J16" s="103" t="s">
        <v>41</v>
      </c>
      <c r="K16" s="129">
        <v>1300000</v>
      </c>
    </row>
    <row r="17" spans="1:11">
      <c r="A17" s="91">
        <v>44753</v>
      </c>
      <c r="B17" s="92">
        <v>20202000</v>
      </c>
      <c r="C17" s="92">
        <v>8600000</v>
      </c>
      <c r="D17" s="93">
        <v>28802000</v>
      </c>
      <c r="E17" s="94">
        <v>3235000</v>
      </c>
      <c r="F17" s="92">
        <v>25567000</v>
      </c>
      <c r="G17" s="95">
        <v>5365000</v>
      </c>
      <c r="H17" s="102"/>
      <c r="I17" s="91">
        <v>44757</v>
      </c>
      <c r="J17" s="128" t="s">
        <v>42</v>
      </c>
      <c r="K17" s="130">
        <v>500000</v>
      </c>
    </row>
    <row r="18" spans="1:11">
      <c r="A18" s="91">
        <v>44754</v>
      </c>
      <c r="B18" s="92">
        <v>4675000</v>
      </c>
      <c r="C18" s="92">
        <v>5650000</v>
      </c>
      <c r="D18" s="93">
        <v>10325000</v>
      </c>
      <c r="E18" s="94">
        <v>1315000</v>
      </c>
      <c r="F18" s="92">
        <v>9010000</v>
      </c>
      <c r="G18" s="95">
        <v>4335000</v>
      </c>
      <c r="H18" s="102"/>
      <c r="I18" s="91">
        <v>44757</v>
      </c>
      <c r="J18" s="128" t="s">
        <v>43</v>
      </c>
      <c r="K18" s="130">
        <v>250000</v>
      </c>
    </row>
    <row r="19" spans="1:11" ht="18" customHeight="1">
      <c r="A19" s="91">
        <v>44755</v>
      </c>
      <c r="B19" s="92">
        <v>4300000</v>
      </c>
      <c r="C19" s="92">
        <v>2125000</v>
      </c>
      <c r="D19" s="93">
        <v>6425000</v>
      </c>
      <c r="E19" s="94">
        <v>1920000</v>
      </c>
      <c r="F19" s="92">
        <v>4505000</v>
      </c>
      <c r="G19" s="95">
        <v>205000</v>
      </c>
      <c r="H19" s="85"/>
      <c r="I19" s="91">
        <v>44760</v>
      </c>
      <c r="J19" s="104" t="s">
        <v>33</v>
      </c>
      <c r="K19" s="133">
        <v>25000000</v>
      </c>
    </row>
    <row r="20" spans="1:11">
      <c r="A20" s="91">
        <v>44756</v>
      </c>
      <c r="B20" s="92">
        <v>12920000</v>
      </c>
      <c r="C20" s="92">
        <v>1850000</v>
      </c>
      <c r="D20" s="93">
        <v>14770000</v>
      </c>
      <c r="E20" s="94">
        <v>1895000</v>
      </c>
      <c r="F20" s="92">
        <v>12875000</v>
      </c>
      <c r="G20" s="95">
        <v>-45000</v>
      </c>
      <c r="H20" s="85"/>
      <c r="I20" s="91">
        <v>44760</v>
      </c>
      <c r="J20" s="103" t="s">
        <v>44</v>
      </c>
      <c r="K20" s="130">
        <v>4440000</v>
      </c>
    </row>
    <row r="21" spans="1:11">
      <c r="A21" s="91">
        <v>44757</v>
      </c>
      <c r="B21" s="92">
        <v>3600000</v>
      </c>
      <c r="C21" s="92">
        <v>1330000</v>
      </c>
      <c r="D21" s="93">
        <v>4930000</v>
      </c>
      <c r="E21" s="94">
        <v>1815000</v>
      </c>
      <c r="F21" s="92">
        <v>3115000</v>
      </c>
      <c r="G21" s="95">
        <v>-485000</v>
      </c>
      <c r="H21" s="85"/>
      <c r="I21" s="91">
        <v>44762</v>
      </c>
      <c r="J21" s="103" t="s">
        <v>45</v>
      </c>
      <c r="K21" s="130">
        <v>1500000</v>
      </c>
    </row>
    <row r="22" spans="1:11">
      <c r="A22" s="91">
        <v>44758</v>
      </c>
      <c r="B22" s="92">
        <v>5800000</v>
      </c>
      <c r="C22" s="92">
        <v>150000</v>
      </c>
      <c r="D22" s="93">
        <v>5950000</v>
      </c>
      <c r="E22" s="94">
        <v>1090000</v>
      </c>
      <c r="F22" s="92">
        <v>4860000</v>
      </c>
      <c r="G22" s="95">
        <v>-940000</v>
      </c>
      <c r="H22" s="102"/>
      <c r="I22" s="105">
        <v>44765</v>
      </c>
      <c r="J22" s="107" t="s">
        <v>46</v>
      </c>
      <c r="K22" s="133">
        <v>5500000</v>
      </c>
    </row>
    <row r="23" spans="1:11">
      <c r="A23" s="126">
        <v>44759</v>
      </c>
      <c r="B23" s="148"/>
      <c r="C23" s="148"/>
      <c r="D23" s="127"/>
      <c r="E23" s="127"/>
      <c r="F23" s="127"/>
      <c r="G23" s="127"/>
      <c r="H23" s="106"/>
      <c r="I23" s="105">
        <v>44767</v>
      </c>
      <c r="J23" s="98" t="s">
        <v>33</v>
      </c>
      <c r="K23" s="133">
        <v>25000000</v>
      </c>
    </row>
    <row r="24" spans="1:11">
      <c r="A24" s="91">
        <v>44760</v>
      </c>
      <c r="B24" s="134">
        <v>3200000</v>
      </c>
      <c r="C24" s="134">
        <v>4375000</v>
      </c>
      <c r="D24" s="93">
        <v>7575000</v>
      </c>
      <c r="E24" s="94">
        <v>2980000</v>
      </c>
      <c r="F24" s="92">
        <v>4595000</v>
      </c>
      <c r="G24" s="95">
        <v>1395000</v>
      </c>
      <c r="H24" s="106"/>
      <c r="I24" s="105">
        <v>44769</v>
      </c>
      <c r="J24" s="128" t="s">
        <v>33</v>
      </c>
      <c r="K24" s="135">
        <v>29500000</v>
      </c>
    </row>
    <row r="25" spans="1:11">
      <c r="A25" s="91">
        <v>44761</v>
      </c>
      <c r="B25" s="134">
        <v>3900000</v>
      </c>
      <c r="C25" s="134">
        <v>3925000</v>
      </c>
      <c r="D25" s="93">
        <v>7825000</v>
      </c>
      <c r="E25" s="94">
        <v>2655000</v>
      </c>
      <c r="F25" s="92">
        <v>5170000</v>
      </c>
      <c r="G25" s="95">
        <v>1270000</v>
      </c>
      <c r="H25" s="81"/>
      <c r="I25" s="105">
        <v>44772</v>
      </c>
      <c r="J25" s="107" t="s">
        <v>47</v>
      </c>
      <c r="K25" s="133">
        <v>26000000</v>
      </c>
    </row>
    <row r="26" spans="1:11">
      <c r="A26" s="91">
        <v>44762</v>
      </c>
      <c r="B26" s="134"/>
      <c r="C26" s="134">
        <v>1475000</v>
      </c>
      <c r="D26" s="93">
        <v>1475000</v>
      </c>
      <c r="E26" s="94">
        <v>2310000</v>
      </c>
      <c r="F26" s="92">
        <v>-835000</v>
      </c>
      <c r="G26" s="95">
        <v>-835000</v>
      </c>
      <c r="H26" s="81"/>
      <c r="I26" s="108"/>
      <c r="J26" s="103"/>
      <c r="K26" s="130"/>
    </row>
    <row r="27" spans="1:11">
      <c r="A27" s="91">
        <v>44763</v>
      </c>
      <c r="B27" s="136">
        <v>7550000</v>
      </c>
      <c r="C27" s="137">
        <v>300000</v>
      </c>
      <c r="D27" s="93">
        <v>7850000</v>
      </c>
      <c r="E27" s="138">
        <v>2825000</v>
      </c>
      <c r="F27" s="92">
        <v>5025000</v>
      </c>
      <c r="G27" s="95">
        <v>-2525000</v>
      </c>
      <c r="H27" s="109"/>
      <c r="I27" s="105"/>
      <c r="J27" s="107"/>
      <c r="K27" s="99"/>
    </row>
    <row r="28" spans="1:11">
      <c r="A28" s="91">
        <v>44764</v>
      </c>
      <c r="B28" s="134">
        <v>7766000</v>
      </c>
      <c r="C28" s="134">
        <v>1150000</v>
      </c>
      <c r="D28" s="93">
        <v>8916000</v>
      </c>
      <c r="E28" s="94">
        <v>1415000</v>
      </c>
      <c r="F28" s="92">
        <v>7501000</v>
      </c>
      <c r="G28" s="95">
        <v>-265000</v>
      </c>
      <c r="H28" s="81"/>
      <c r="I28" s="105"/>
      <c r="J28" s="107"/>
      <c r="K28" s="99"/>
    </row>
    <row r="29" spans="1:11">
      <c r="A29" s="91">
        <v>44765</v>
      </c>
      <c r="B29" s="134">
        <v>3100000</v>
      </c>
      <c r="C29" s="134">
        <v>3225000</v>
      </c>
      <c r="D29" s="93">
        <v>6325000</v>
      </c>
      <c r="E29" s="94">
        <v>2310000</v>
      </c>
      <c r="F29" s="92">
        <v>4015000</v>
      </c>
      <c r="G29" s="95">
        <v>915000</v>
      </c>
      <c r="H29" s="81"/>
      <c r="I29" s="105"/>
      <c r="J29" s="107"/>
      <c r="K29" s="99"/>
    </row>
    <row r="30" spans="1:11">
      <c r="A30" s="149">
        <v>44766</v>
      </c>
      <c r="B30" s="150"/>
      <c r="C30" s="150"/>
      <c r="D30" s="127"/>
      <c r="E30" s="151"/>
      <c r="F30" s="127"/>
      <c r="G30" s="127"/>
      <c r="H30" s="109"/>
      <c r="I30" s="105"/>
      <c r="J30" s="107"/>
      <c r="K30" s="99"/>
    </row>
    <row r="31" spans="1:11">
      <c r="A31" s="91">
        <v>44767</v>
      </c>
      <c r="B31" s="134"/>
      <c r="C31" s="134">
        <v>2900000</v>
      </c>
      <c r="D31" s="93">
        <v>2900000</v>
      </c>
      <c r="E31" s="94">
        <v>2515000</v>
      </c>
      <c r="F31" s="92">
        <v>385000</v>
      </c>
      <c r="G31" s="95">
        <v>385000</v>
      </c>
      <c r="H31" s="81"/>
      <c r="I31" s="105"/>
      <c r="J31" s="107"/>
      <c r="K31" s="99"/>
    </row>
    <row r="32" spans="1:11">
      <c r="A32" s="91">
        <v>44768</v>
      </c>
      <c r="B32" s="134">
        <v>6430000</v>
      </c>
      <c r="C32" s="134">
        <v>6880000</v>
      </c>
      <c r="D32" s="93">
        <v>13310000</v>
      </c>
      <c r="E32" s="94">
        <v>5000000</v>
      </c>
      <c r="F32" s="92">
        <v>8310000</v>
      </c>
      <c r="G32" s="95">
        <v>1880000</v>
      </c>
      <c r="H32" s="81"/>
      <c r="I32" s="105"/>
      <c r="J32" s="107"/>
      <c r="K32" s="99"/>
    </row>
    <row r="33" spans="1:11">
      <c r="A33" s="91">
        <v>44769</v>
      </c>
      <c r="B33" s="134">
        <v>500000</v>
      </c>
      <c r="C33" s="134">
        <v>3450000</v>
      </c>
      <c r="D33" s="93">
        <v>3950000</v>
      </c>
      <c r="E33" s="94">
        <v>2455000</v>
      </c>
      <c r="F33" s="92">
        <v>1495000</v>
      </c>
      <c r="G33" s="95">
        <v>995000</v>
      </c>
      <c r="H33" s="81"/>
      <c r="I33" s="105"/>
      <c r="J33" s="107"/>
      <c r="K33" s="99"/>
    </row>
    <row r="34" spans="1:11">
      <c r="A34" s="139">
        <v>44770</v>
      </c>
      <c r="B34" s="140">
        <v>21883000</v>
      </c>
      <c r="C34" s="140">
        <v>2200000</v>
      </c>
      <c r="D34" s="141">
        <v>24083000</v>
      </c>
      <c r="E34" s="142">
        <v>2185000</v>
      </c>
      <c r="F34" s="143">
        <v>21898000</v>
      </c>
      <c r="G34" s="144">
        <v>15000</v>
      </c>
      <c r="H34" s="81"/>
      <c r="I34" s="105"/>
      <c r="J34" s="107"/>
      <c r="K34" s="99"/>
    </row>
    <row r="35" spans="1:11">
      <c r="A35" s="91">
        <v>44771</v>
      </c>
      <c r="B35" s="134">
        <v>770000</v>
      </c>
      <c r="C35" s="134"/>
      <c r="D35" s="93">
        <v>770000</v>
      </c>
      <c r="E35" s="94">
        <v>1730000</v>
      </c>
      <c r="F35" s="92">
        <v>-960000</v>
      </c>
      <c r="G35" s="95">
        <v>-1730000</v>
      </c>
      <c r="H35" s="81"/>
      <c r="I35" s="105"/>
      <c r="J35" s="107"/>
      <c r="K35" s="99"/>
    </row>
    <row r="36" spans="1:11">
      <c r="A36" s="91">
        <v>44772</v>
      </c>
      <c r="B36" s="134">
        <v>4000000</v>
      </c>
      <c r="C36" s="134"/>
      <c r="D36" s="93">
        <v>4000000</v>
      </c>
      <c r="E36" s="94">
        <v>1205000</v>
      </c>
      <c r="F36" s="92">
        <v>2795000</v>
      </c>
      <c r="G36" s="95">
        <v>-1205000</v>
      </c>
      <c r="H36" s="81"/>
      <c r="I36" s="110"/>
      <c r="J36" s="103"/>
      <c r="K36" s="111">
        <v>200490000</v>
      </c>
    </row>
    <row r="37" spans="1:11">
      <c r="A37" s="91"/>
      <c r="B37" s="134"/>
      <c r="C37" s="134"/>
      <c r="D37" s="93"/>
      <c r="E37" s="94"/>
      <c r="F37" s="92"/>
      <c r="G37" s="95"/>
      <c r="H37" s="81"/>
      <c r="I37" s="106"/>
      <c r="J37" s="81"/>
      <c r="K37" s="81"/>
    </row>
    <row r="38" spans="1:11" ht="15.75">
      <c r="A38" s="91"/>
      <c r="B38" s="134"/>
      <c r="C38" s="134"/>
      <c r="D38" s="93"/>
      <c r="E38" s="94"/>
      <c r="F38" s="92"/>
      <c r="G38" s="95"/>
      <c r="H38" s="81"/>
      <c r="I38" s="112" t="s">
        <v>27</v>
      </c>
      <c r="J38" s="616" t="s">
        <v>28</v>
      </c>
      <c r="K38" s="114">
        <v>245981000</v>
      </c>
    </row>
    <row r="39" spans="1:11" ht="15.75">
      <c r="A39" s="145"/>
      <c r="B39" s="134"/>
      <c r="C39" s="134"/>
      <c r="D39" s="93"/>
      <c r="E39" s="94"/>
      <c r="F39" s="92"/>
      <c r="G39" s="95"/>
      <c r="H39" s="81"/>
      <c r="I39" s="115"/>
      <c r="J39" s="617" t="s">
        <v>29</v>
      </c>
      <c r="K39" s="117">
        <v>58500000</v>
      </c>
    </row>
    <row r="40" spans="1:11" ht="15.75">
      <c r="A40" s="91"/>
      <c r="B40" s="121">
        <v>154751000</v>
      </c>
      <c r="C40" s="121">
        <v>91805000</v>
      </c>
      <c r="D40" s="122">
        <v>245981000</v>
      </c>
      <c r="E40" s="123">
        <v>58500000</v>
      </c>
      <c r="F40" s="124">
        <v>187481000</v>
      </c>
      <c r="G40" s="125">
        <v>33305000</v>
      </c>
      <c r="H40" s="118"/>
      <c r="I40" s="115"/>
      <c r="J40" s="617" t="s">
        <v>30</v>
      </c>
      <c r="K40" s="117">
        <v>200490000</v>
      </c>
    </row>
    <row r="41" spans="1:11" ht="15.75">
      <c r="A41" s="81"/>
      <c r="B41" s="81"/>
      <c r="C41" s="81"/>
      <c r="D41" s="81"/>
      <c r="E41" s="81"/>
      <c r="F41" s="81"/>
      <c r="G41" s="81"/>
      <c r="H41" s="81"/>
      <c r="I41" s="115"/>
      <c r="J41" s="617" t="s">
        <v>31</v>
      </c>
      <c r="K41" s="117">
        <v>258990000</v>
      </c>
    </row>
    <row r="42" spans="1:11" ht="15.75">
      <c r="A42" s="81"/>
      <c r="B42" s="81"/>
      <c r="C42" s="81"/>
      <c r="D42" s="81"/>
      <c r="E42" s="81"/>
      <c r="F42" s="81"/>
      <c r="G42" s="81"/>
      <c r="H42" s="81"/>
      <c r="I42" s="115"/>
      <c r="J42" s="119"/>
      <c r="K42" s="114"/>
    </row>
    <row r="43" spans="1:11" ht="18">
      <c r="A43" s="81"/>
      <c r="B43" s="81"/>
      <c r="C43" s="81"/>
      <c r="D43" s="81"/>
      <c r="E43" s="81"/>
      <c r="F43" s="81"/>
      <c r="G43" s="81"/>
      <c r="H43" s="81"/>
      <c r="I43" s="668" t="s">
        <v>170</v>
      </c>
      <c r="J43" s="668"/>
      <c r="K43" s="120">
        <v>-13009000</v>
      </c>
    </row>
  </sheetData>
  <mergeCells count="8">
    <mergeCell ref="I43:J43"/>
    <mergeCell ref="A2:E3"/>
    <mergeCell ref="A5:A6"/>
    <mergeCell ref="B5:C5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topLeftCell="C31" workbookViewId="0">
      <selection activeCell="K47" sqref="K47"/>
    </sheetView>
  </sheetViews>
  <sheetFormatPr defaultRowHeight="15"/>
  <cols>
    <col min="2" max="2" width="16.7109375" customWidth="1"/>
    <col min="3" max="3" width="18.7109375" customWidth="1"/>
    <col min="4" max="4" width="20.42578125" customWidth="1"/>
    <col min="5" max="5" width="17.42578125" customWidth="1"/>
    <col min="6" max="6" width="19" customWidth="1"/>
    <col min="7" max="7" width="14.5703125" customWidth="1"/>
    <col min="10" max="10" width="41.140625" customWidth="1"/>
    <col min="11" max="11" width="28.7109375" customWidth="1"/>
  </cols>
  <sheetData>
    <row r="1" spans="1:11">
      <c r="A1" s="152"/>
      <c r="B1" s="152"/>
      <c r="C1" s="152"/>
      <c r="D1" s="152"/>
      <c r="E1" s="152"/>
      <c r="F1" s="152"/>
      <c r="G1" s="152"/>
      <c r="H1" s="152">
        <v>6</v>
      </c>
      <c r="I1" s="152"/>
      <c r="J1" s="152"/>
      <c r="K1" s="152"/>
    </row>
    <row r="2" spans="1:11">
      <c r="A2" s="683" t="s">
        <v>48</v>
      </c>
      <c r="B2" s="684"/>
      <c r="C2" s="684"/>
      <c r="D2" s="684"/>
      <c r="E2" s="684"/>
      <c r="F2" s="152"/>
      <c r="G2" s="152"/>
      <c r="H2" s="152"/>
      <c r="I2" s="152"/>
      <c r="J2" s="152"/>
      <c r="K2" s="152"/>
    </row>
    <row r="3" spans="1:11">
      <c r="A3" s="685"/>
      <c r="B3" s="685"/>
      <c r="C3" s="685"/>
      <c r="D3" s="685"/>
      <c r="E3" s="685"/>
      <c r="F3" s="152"/>
      <c r="G3" s="152"/>
      <c r="H3" s="152"/>
      <c r="I3" s="152"/>
      <c r="J3" s="152"/>
      <c r="K3" s="152"/>
    </row>
    <row r="5" spans="1:11" ht="15.75">
      <c r="A5" s="686" t="s">
        <v>1</v>
      </c>
      <c r="B5" s="688" t="s">
        <v>2</v>
      </c>
      <c r="C5" s="689"/>
      <c r="D5" s="690" t="s">
        <v>3</v>
      </c>
      <c r="E5" s="680" t="s">
        <v>4</v>
      </c>
      <c r="F5" s="690" t="s">
        <v>5</v>
      </c>
      <c r="G5" s="680" t="s">
        <v>6</v>
      </c>
      <c r="H5" s="153"/>
      <c r="I5" s="154" t="s">
        <v>7</v>
      </c>
      <c r="J5" s="155"/>
      <c r="K5" s="156"/>
    </row>
    <row r="6" spans="1:11" ht="15.75">
      <c r="A6" s="687"/>
      <c r="B6" s="157" t="s">
        <v>8</v>
      </c>
      <c r="C6" s="158" t="s">
        <v>9</v>
      </c>
      <c r="D6" s="691"/>
      <c r="E6" s="681"/>
      <c r="F6" s="691"/>
      <c r="G6" s="681"/>
      <c r="H6" s="153"/>
      <c r="I6" s="159" t="s">
        <v>1</v>
      </c>
      <c r="J6" s="160" t="s">
        <v>10</v>
      </c>
      <c r="K6" s="161" t="s">
        <v>11</v>
      </c>
    </row>
    <row r="7" spans="1:11">
      <c r="A7" s="162">
        <v>44713</v>
      </c>
      <c r="B7" s="163">
        <v>10150000</v>
      </c>
      <c r="C7" s="163">
        <v>4095000</v>
      </c>
      <c r="D7" s="164">
        <v>14245000</v>
      </c>
      <c r="E7" s="165">
        <v>4250000</v>
      </c>
      <c r="F7" s="163">
        <v>9995000</v>
      </c>
      <c r="G7" s="166">
        <v>-155000</v>
      </c>
      <c r="H7" s="156"/>
      <c r="I7" s="162">
        <v>44716</v>
      </c>
      <c r="J7" s="167" t="s">
        <v>49</v>
      </c>
      <c r="K7" s="201">
        <v>2500000</v>
      </c>
    </row>
    <row r="8" spans="1:11">
      <c r="A8" s="217">
        <v>44714</v>
      </c>
      <c r="B8" s="218"/>
      <c r="C8" s="218">
        <v>11560000</v>
      </c>
      <c r="D8" s="164">
        <v>11560000</v>
      </c>
      <c r="E8" s="165">
        <v>3170000</v>
      </c>
      <c r="F8" s="218">
        <v>8390000</v>
      </c>
      <c r="G8" s="166">
        <v>8390000</v>
      </c>
      <c r="H8" s="156"/>
      <c r="I8" s="168">
        <v>44718</v>
      </c>
      <c r="J8" s="169" t="s">
        <v>50</v>
      </c>
      <c r="K8" s="202">
        <v>8325000</v>
      </c>
    </row>
    <row r="9" spans="1:11">
      <c r="A9" s="217">
        <v>44715</v>
      </c>
      <c r="B9" s="218">
        <v>1010000</v>
      </c>
      <c r="C9" s="218">
        <v>2160000</v>
      </c>
      <c r="D9" s="164">
        <v>3170000</v>
      </c>
      <c r="E9" s="165">
        <v>1650000</v>
      </c>
      <c r="F9" s="218">
        <v>1520000</v>
      </c>
      <c r="G9" s="166">
        <v>510000</v>
      </c>
      <c r="H9" s="171"/>
      <c r="I9" s="168">
        <v>44718</v>
      </c>
      <c r="J9" s="169" t="s">
        <v>51</v>
      </c>
      <c r="K9" s="202">
        <v>3450000</v>
      </c>
    </row>
    <row r="10" spans="1:11">
      <c r="A10" s="162">
        <v>44716</v>
      </c>
      <c r="B10" s="163">
        <v>7125000</v>
      </c>
      <c r="C10" s="163">
        <v>3025000</v>
      </c>
      <c r="D10" s="164">
        <v>10150000</v>
      </c>
      <c r="E10" s="165">
        <v>3180000</v>
      </c>
      <c r="F10" s="163">
        <v>6970000</v>
      </c>
      <c r="G10" s="166">
        <v>-155000</v>
      </c>
      <c r="H10" s="156"/>
      <c r="I10" s="172">
        <v>44720</v>
      </c>
      <c r="J10" s="167" t="s">
        <v>52</v>
      </c>
      <c r="K10" s="203">
        <v>2000000</v>
      </c>
    </row>
    <row r="11" spans="1:11">
      <c r="A11" s="197">
        <v>44717</v>
      </c>
      <c r="B11" s="198"/>
      <c r="C11" s="198"/>
      <c r="D11" s="198"/>
      <c r="E11" s="198"/>
      <c r="F11" s="198"/>
      <c r="G11" s="198"/>
      <c r="H11" s="173"/>
      <c r="I11" s="172">
        <v>44720</v>
      </c>
      <c r="J11" s="174" t="s">
        <v>53</v>
      </c>
      <c r="K11" s="200">
        <v>1000000</v>
      </c>
    </row>
    <row r="12" spans="1:11">
      <c r="A12" s="162">
        <v>44718</v>
      </c>
      <c r="B12" s="163">
        <v>3800000</v>
      </c>
      <c r="C12" s="163">
        <v>690000</v>
      </c>
      <c r="D12" s="164">
        <v>4490000</v>
      </c>
      <c r="E12" s="165">
        <v>2715000</v>
      </c>
      <c r="F12" s="163">
        <v>1775000</v>
      </c>
      <c r="G12" s="166">
        <v>-2025000</v>
      </c>
      <c r="H12" s="173"/>
      <c r="I12" s="162">
        <v>44722</v>
      </c>
      <c r="J12" s="199" t="s">
        <v>54</v>
      </c>
      <c r="K12" s="201">
        <v>30000000</v>
      </c>
    </row>
    <row r="13" spans="1:11">
      <c r="A13" s="162">
        <v>44719</v>
      </c>
      <c r="B13" s="163">
        <v>8950000</v>
      </c>
      <c r="C13" s="163">
        <v>5400000</v>
      </c>
      <c r="D13" s="164">
        <v>14350000</v>
      </c>
      <c r="E13" s="165">
        <v>5060000</v>
      </c>
      <c r="F13" s="163">
        <v>9290000</v>
      </c>
      <c r="G13" s="166">
        <v>340000</v>
      </c>
      <c r="H13" s="156"/>
      <c r="I13" s="162">
        <v>44723</v>
      </c>
      <c r="J13" s="175" t="s">
        <v>55</v>
      </c>
      <c r="K13" s="204">
        <v>2000000</v>
      </c>
    </row>
    <row r="14" spans="1:11">
      <c r="A14" s="162">
        <v>44720</v>
      </c>
      <c r="B14" s="163"/>
      <c r="C14" s="163">
        <v>720000</v>
      </c>
      <c r="D14" s="164">
        <v>720000</v>
      </c>
      <c r="E14" s="165">
        <v>2040000</v>
      </c>
      <c r="F14" s="163">
        <v>-1320000</v>
      </c>
      <c r="G14" s="166">
        <v>-1320000</v>
      </c>
      <c r="H14" s="156"/>
      <c r="I14" s="162">
        <v>44723</v>
      </c>
      <c r="J14" s="174" t="s">
        <v>56</v>
      </c>
      <c r="K14" s="201">
        <v>4500000</v>
      </c>
    </row>
    <row r="15" spans="1:11">
      <c r="A15" s="162">
        <v>44721</v>
      </c>
      <c r="B15" s="163">
        <v>2868000</v>
      </c>
      <c r="C15" s="163">
        <v>7520000</v>
      </c>
      <c r="D15" s="164">
        <v>10388000</v>
      </c>
      <c r="E15" s="165">
        <v>3020000</v>
      </c>
      <c r="F15" s="163">
        <v>7368000</v>
      </c>
      <c r="G15" s="166">
        <v>4500000</v>
      </c>
      <c r="H15" s="156"/>
      <c r="I15" s="162">
        <v>44724</v>
      </c>
      <c r="J15" s="174" t="s">
        <v>57</v>
      </c>
      <c r="K15" s="201">
        <v>850000</v>
      </c>
    </row>
    <row r="16" spans="1:11">
      <c r="A16" s="162">
        <v>44722</v>
      </c>
      <c r="B16" s="163">
        <v>1350000</v>
      </c>
      <c r="C16" s="163">
        <v>1850000</v>
      </c>
      <c r="D16" s="164">
        <v>3200000</v>
      </c>
      <c r="E16" s="165">
        <v>1385000</v>
      </c>
      <c r="F16" s="163">
        <v>1815000</v>
      </c>
      <c r="G16" s="166">
        <v>465000</v>
      </c>
      <c r="H16" s="173"/>
      <c r="I16" s="176">
        <v>44728</v>
      </c>
      <c r="J16" s="178" t="s">
        <v>58</v>
      </c>
      <c r="K16" s="204">
        <v>3300000</v>
      </c>
    </row>
    <row r="17" spans="1:11">
      <c r="A17" s="162">
        <v>44723</v>
      </c>
      <c r="B17" s="205">
        <v>6150000</v>
      </c>
      <c r="C17" s="205">
        <v>2200000</v>
      </c>
      <c r="D17" s="164">
        <v>8350000</v>
      </c>
      <c r="E17" s="165">
        <v>2265000</v>
      </c>
      <c r="F17" s="163">
        <v>6085000</v>
      </c>
      <c r="G17" s="166">
        <v>-65000</v>
      </c>
      <c r="H17" s="177"/>
      <c r="I17" s="176">
        <v>44729</v>
      </c>
      <c r="J17" s="169" t="s">
        <v>59</v>
      </c>
      <c r="K17" s="204">
        <v>1000000</v>
      </c>
    </row>
    <row r="18" spans="1:11">
      <c r="A18" s="197">
        <v>44724</v>
      </c>
      <c r="B18" s="219"/>
      <c r="C18" s="219"/>
      <c r="D18" s="198"/>
      <c r="E18" s="198"/>
      <c r="F18" s="198"/>
      <c r="G18" s="198"/>
      <c r="H18" s="177"/>
      <c r="I18" s="176">
        <v>44728</v>
      </c>
      <c r="J18" s="199" t="s">
        <v>41</v>
      </c>
      <c r="K18" s="206">
        <v>1300000</v>
      </c>
    </row>
    <row r="19" spans="1:11">
      <c r="A19" s="162">
        <v>44725</v>
      </c>
      <c r="B19" s="205">
        <v>8500000</v>
      </c>
      <c r="C19" s="205">
        <v>4305000</v>
      </c>
      <c r="D19" s="164">
        <v>12805000</v>
      </c>
      <c r="E19" s="165">
        <v>4205000</v>
      </c>
      <c r="F19" s="163">
        <v>8600000</v>
      </c>
      <c r="G19" s="166">
        <v>100000</v>
      </c>
      <c r="H19" s="152"/>
      <c r="I19" s="176">
        <v>44733</v>
      </c>
      <c r="J19" s="178" t="s">
        <v>60</v>
      </c>
      <c r="K19" s="204">
        <v>1500000</v>
      </c>
    </row>
    <row r="20" spans="1:11">
      <c r="A20" s="162">
        <v>44726</v>
      </c>
      <c r="B20" s="205">
        <v>375000</v>
      </c>
      <c r="C20" s="205">
        <v>350000</v>
      </c>
      <c r="D20" s="164">
        <v>725000</v>
      </c>
      <c r="E20" s="165">
        <v>2100000</v>
      </c>
      <c r="F20" s="163">
        <v>-1375000</v>
      </c>
      <c r="G20" s="166">
        <v>-1750000</v>
      </c>
      <c r="H20" s="152"/>
      <c r="I20" s="179">
        <v>44734</v>
      </c>
      <c r="J20" s="174" t="s">
        <v>54</v>
      </c>
      <c r="K20" s="201">
        <v>25000000</v>
      </c>
    </row>
    <row r="21" spans="1:11">
      <c r="A21" s="162">
        <v>44727</v>
      </c>
      <c r="B21" s="207">
        <v>2700000</v>
      </c>
      <c r="C21" s="208">
        <v>1550000</v>
      </c>
      <c r="D21" s="164">
        <v>4250000</v>
      </c>
      <c r="E21" s="209">
        <v>4770000</v>
      </c>
      <c r="F21" s="163">
        <v>-520000</v>
      </c>
      <c r="G21" s="166">
        <v>-3220000</v>
      </c>
      <c r="H21" s="180"/>
      <c r="I21" s="176">
        <v>44735</v>
      </c>
      <c r="J21" s="178" t="s">
        <v>54</v>
      </c>
      <c r="K21" s="170">
        <v>15000000</v>
      </c>
    </row>
    <row r="22" spans="1:11">
      <c r="A22" s="162">
        <v>44728</v>
      </c>
      <c r="B22" s="205">
        <v>1390000</v>
      </c>
      <c r="C22" s="205">
        <v>2675000</v>
      </c>
      <c r="D22" s="164">
        <v>4065000</v>
      </c>
      <c r="E22" s="165">
        <v>2380000</v>
      </c>
      <c r="F22" s="163">
        <v>1685000</v>
      </c>
      <c r="G22" s="166">
        <v>295000</v>
      </c>
      <c r="H22" s="152"/>
      <c r="I22" s="176">
        <v>44738</v>
      </c>
      <c r="J22" s="178" t="s">
        <v>54</v>
      </c>
      <c r="K22" s="170">
        <v>20000000</v>
      </c>
    </row>
    <row r="23" spans="1:11">
      <c r="A23" s="162">
        <v>44729</v>
      </c>
      <c r="B23" s="205">
        <v>2950000</v>
      </c>
      <c r="C23" s="205">
        <v>4335000</v>
      </c>
      <c r="D23" s="164">
        <v>7285000</v>
      </c>
      <c r="E23" s="165">
        <v>2140000</v>
      </c>
      <c r="F23" s="163">
        <v>5145000</v>
      </c>
      <c r="G23" s="166">
        <v>2195000</v>
      </c>
      <c r="H23" s="152"/>
      <c r="I23" s="176">
        <v>44738</v>
      </c>
      <c r="J23" s="178" t="s">
        <v>61</v>
      </c>
      <c r="K23" s="170">
        <v>3200000</v>
      </c>
    </row>
    <row r="24" spans="1:11">
      <c r="A24" s="172">
        <v>44730</v>
      </c>
      <c r="B24" s="208">
        <v>3475000</v>
      </c>
      <c r="C24" s="208">
        <v>4150000</v>
      </c>
      <c r="D24" s="164">
        <v>7625000</v>
      </c>
      <c r="E24" s="209">
        <v>2735000</v>
      </c>
      <c r="F24" s="163">
        <v>4890000</v>
      </c>
      <c r="G24" s="166">
        <v>1415000</v>
      </c>
      <c r="H24" s="152"/>
      <c r="I24" s="176">
        <v>44740</v>
      </c>
      <c r="J24" s="178" t="s">
        <v>46</v>
      </c>
      <c r="K24" s="170">
        <v>5500000</v>
      </c>
    </row>
    <row r="25" spans="1:11">
      <c r="A25" s="197">
        <v>44731</v>
      </c>
      <c r="B25" s="219"/>
      <c r="C25" s="219"/>
      <c r="D25" s="198"/>
      <c r="E25" s="198"/>
      <c r="F25" s="198"/>
      <c r="G25" s="198"/>
      <c r="H25" s="180"/>
      <c r="I25" s="176">
        <v>44740</v>
      </c>
      <c r="J25" s="178" t="s">
        <v>54</v>
      </c>
      <c r="K25" s="170">
        <v>37000000</v>
      </c>
    </row>
    <row r="26" spans="1:11">
      <c r="A26" s="162">
        <v>44732</v>
      </c>
      <c r="B26" s="205">
        <v>2900000</v>
      </c>
      <c r="C26" s="205">
        <v>9525000</v>
      </c>
      <c r="D26" s="164">
        <v>12425000</v>
      </c>
      <c r="E26" s="165">
        <v>4340000</v>
      </c>
      <c r="F26" s="163">
        <v>8085000</v>
      </c>
      <c r="G26" s="166">
        <v>5185000</v>
      </c>
      <c r="H26" s="152"/>
      <c r="I26" s="176">
        <v>44740</v>
      </c>
      <c r="J26" s="178" t="s">
        <v>62</v>
      </c>
      <c r="K26" s="170">
        <v>300000</v>
      </c>
    </row>
    <row r="27" spans="1:11">
      <c r="A27" s="162">
        <v>44733</v>
      </c>
      <c r="B27" s="205">
        <v>7175000</v>
      </c>
      <c r="C27" s="205">
        <v>70000</v>
      </c>
      <c r="D27" s="164">
        <v>7245000</v>
      </c>
      <c r="E27" s="165">
        <v>1365000</v>
      </c>
      <c r="F27" s="163">
        <v>5880000</v>
      </c>
      <c r="G27" s="166">
        <v>-1295000</v>
      </c>
      <c r="H27" s="152"/>
      <c r="I27" s="176">
        <v>44742</v>
      </c>
      <c r="J27" s="178" t="s">
        <v>63</v>
      </c>
      <c r="K27" s="170">
        <v>9500000</v>
      </c>
    </row>
    <row r="28" spans="1:11">
      <c r="A28" s="210">
        <v>44734</v>
      </c>
      <c r="B28" s="211">
        <v>4000000</v>
      </c>
      <c r="C28" s="211">
        <v>2700000</v>
      </c>
      <c r="D28" s="212">
        <v>6700000</v>
      </c>
      <c r="E28" s="213">
        <v>3325000</v>
      </c>
      <c r="F28" s="214">
        <v>3375000</v>
      </c>
      <c r="G28" s="215">
        <v>-625000</v>
      </c>
      <c r="H28" s="152"/>
      <c r="I28" s="176">
        <v>44742</v>
      </c>
      <c r="J28" s="178" t="s">
        <v>64</v>
      </c>
      <c r="K28" s="170">
        <v>20000000</v>
      </c>
    </row>
    <row r="29" spans="1:11">
      <c r="A29" s="162">
        <v>44735</v>
      </c>
      <c r="B29" s="205">
        <v>600000</v>
      </c>
      <c r="C29" s="205">
        <v>9420000</v>
      </c>
      <c r="D29" s="164">
        <v>10020000</v>
      </c>
      <c r="E29" s="165">
        <v>3710000</v>
      </c>
      <c r="F29" s="163">
        <v>6310000</v>
      </c>
      <c r="G29" s="166">
        <v>5710000</v>
      </c>
      <c r="H29" s="152"/>
      <c r="I29" s="176"/>
      <c r="J29" s="178"/>
      <c r="K29" s="170"/>
    </row>
    <row r="30" spans="1:11">
      <c r="A30" s="162">
        <v>44736</v>
      </c>
      <c r="B30" s="205">
        <v>5200000</v>
      </c>
      <c r="C30" s="205">
        <v>4650000</v>
      </c>
      <c r="D30" s="164">
        <v>9850000</v>
      </c>
      <c r="E30" s="165">
        <v>5020000</v>
      </c>
      <c r="F30" s="163">
        <v>4830000</v>
      </c>
      <c r="G30" s="166">
        <v>-370000</v>
      </c>
      <c r="H30" s="152"/>
      <c r="I30" s="176"/>
      <c r="J30" s="178"/>
      <c r="K30" s="170"/>
    </row>
    <row r="31" spans="1:11">
      <c r="A31" s="162">
        <v>44737</v>
      </c>
      <c r="B31" s="205">
        <v>27270000</v>
      </c>
      <c r="C31" s="205">
        <v>3675000</v>
      </c>
      <c r="D31" s="164">
        <v>30945000</v>
      </c>
      <c r="E31" s="165">
        <v>3350000</v>
      </c>
      <c r="F31" s="163">
        <v>27595000</v>
      </c>
      <c r="G31" s="166">
        <v>325000</v>
      </c>
      <c r="H31" s="152"/>
      <c r="I31" s="181"/>
      <c r="J31" s="174"/>
      <c r="K31" s="182">
        <v>197225000</v>
      </c>
    </row>
    <row r="32" spans="1:11">
      <c r="A32" s="197">
        <v>44738</v>
      </c>
      <c r="B32" s="219"/>
      <c r="C32" s="219"/>
      <c r="D32" s="198"/>
      <c r="E32" s="198"/>
      <c r="F32" s="198"/>
      <c r="G32" s="198"/>
      <c r="H32" s="152"/>
      <c r="I32" s="177"/>
      <c r="J32" s="152"/>
      <c r="K32" s="152"/>
    </row>
    <row r="33" spans="1:11" ht="15.75">
      <c r="A33" s="162">
        <v>44739</v>
      </c>
      <c r="B33" s="205">
        <v>1500000</v>
      </c>
      <c r="C33" s="205">
        <v>4350000</v>
      </c>
      <c r="D33" s="164">
        <v>5850000</v>
      </c>
      <c r="E33" s="165">
        <v>3220000</v>
      </c>
      <c r="F33" s="163">
        <v>2630000</v>
      </c>
      <c r="G33" s="166">
        <v>1130000</v>
      </c>
      <c r="H33" s="152"/>
      <c r="I33" s="183" t="s">
        <v>27</v>
      </c>
      <c r="J33" s="184" t="s">
        <v>28</v>
      </c>
      <c r="K33" s="185">
        <v>223913000</v>
      </c>
    </row>
    <row r="34" spans="1:11" ht="15.75">
      <c r="A34" s="162">
        <v>44740</v>
      </c>
      <c r="B34" s="205">
        <v>6850000</v>
      </c>
      <c r="C34" s="205">
        <v>2550000</v>
      </c>
      <c r="D34" s="164">
        <v>9400000</v>
      </c>
      <c r="E34" s="165">
        <v>3660000</v>
      </c>
      <c r="F34" s="163">
        <v>5740000</v>
      </c>
      <c r="G34" s="166">
        <v>-1110000</v>
      </c>
      <c r="H34" s="152"/>
      <c r="I34" s="186"/>
      <c r="J34" s="187" t="s">
        <v>29</v>
      </c>
      <c r="K34" s="188">
        <v>80940000</v>
      </c>
    </row>
    <row r="35" spans="1:11" ht="15.75">
      <c r="A35" s="162">
        <v>44741</v>
      </c>
      <c r="B35" s="205">
        <v>10800000</v>
      </c>
      <c r="C35" s="205">
        <v>450000</v>
      </c>
      <c r="D35" s="164">
        <v>11250000</v>
      </c>
      <c r="E35" s="165">
        <v>3710000</v>
      </c>
      <c r="F35" s="163">
        <v>7540000</v>
      </c>
      <c r="G35" s="166">
        <v>-3260000</v>
      </c>
      <c r="H35" s="152"/>
      <c r="I35" s="186"/>
      <c r="J35" s="187" t="s">
        <v>30</v>
      </c>
      <c r="K35" s="188">
        <v>197225000</v>
      </c>
    </row>
    <row r="36" spans="1:11" ht="15.75">
      <c r="A36" s="162">
        <v>44742</v>
      </c>
      <c r="B36" s="205">
        <v>1200000</v>
      </c>
      <c r="C36" s="205">
        <v>1650000</v>
      </c>
      <c r="D36" s="164">
        <v>2850000</v>
      </c>
      <c r="E36" s="165">
        <v>2175000</v>
      </c>
      <c r="F36" s="163">
        <v>675000</v>
      </c>
      <c r="G36" s="166">
        <v>-525000</v>
      </c>
      <c r="H36" s="152"/>
      <c r="I36" s="186"/>
      <c r="J36" s="187" t="s">
        <v>31</v>
      </c>
      <c r="K36" s="188">
        <v>278165000</v>
      </c>
    </row>
    <row r="37" spans="1:11" ht="15.75">
      <c r="A37" s="162"/>
      <c r="B37" s="205"/>
      <c r="C37" s="205"/>
      <c r="D37" s="164"/>
      <c r="E37" s="165"/>
      <c r="F37" s="163"/>
      <c r="G37" s="166"/>
      <c r="H37" s="152"/>
      <c r="I37" s="186"/>
      <c r="J37" s="190"/>
      <c r="K37" s="185"/>
    </row>
    <row r="38" spans="1:11" ht="18">
      <c r="A38" s="217"/>
      <c r="B38" s="192">
        <v>128288000</v>
      </c>
      <c r="C38" s="192">
        <v>95625000</v>
      </c>
      <c r="D38" s="193">
        <v>223913000</v>
      </c>
      <c r="E38" s="194">
        <v>80940000</v>
      </c>
      <c r="F38" s="195">
        <v>142973000</v>
      </c>
      <c r="G38" s="196">
        <v>14685000</v>
      </c>
      <c r="H38" s="152"/>
      <c r="I38" s="682" t="s">
        <v>171</v>
      </c>
      <c r="J38" s="682"/>
      <c r="K38" s="191">
        <v>-54252000</v>
      </c>
    </row>
    <row r="39" spans="1:11">
      <c r="A39" s="216"/>
      <c r="B39" s="205"/>
      <c r="C39" s="205"/>
      <c r="D39" s="164"/>
      <c r="E39" s="165"/>
      <c r="F39" s="163"/>
      <c r="G39" s="166"/>
      <c r="H39" s="152"/>
      <c r="I39" s="152"/>
      <c r="J39" s="152"/>
      <c r="K39" s="152"/>
    </row>
    <row r="40" spans="1:11">
      <c r="A40" s="220"/>
      <c r="B40" s="152"/>
      <c r="C40" s="152"/>
      <c r="D40" s="152"/>
      <c r="E40" s="152"/>
      <c r="F40" s="152"/>
      <c r="G40" s="152"/>
      <c r="H40" s="152"/>
      <c r="I40" s="152"/>
      <c r="J40" s="152"/>
      <c r="K40" s="152"/>
    </row>
    <row r="41" spans="1:11">
      <c r="A41" s="152"/>
      <c r="B41" s="152"/>
      <c r="C41" s="152"/>
      <c r="D41" s="152"/>
      <c r="E41" s="152"/>
      <c r="F41" s="152"/>
      <c r="G41" s="152"/>
      <c r="H41" s="189"/>
      <c r="I41" s="152"/>
      <c r="J41" s="152"/>
      <c r="K41" s="152"/>
    </row>
  </sheetData>
  <mergeCells count="8">
    <mergeCell ref="G5:G6"/>
    <mergeCell ref="I38:J38"/>
    <mergeCell ref="A2:E3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18"/>
  <sheetViews>
    <sheetView topLeftCell="A51" workbookViewId="0">
      <selection activeCell="I42" sqref="I42"/>
    </sheetView>
  </sheetViews>
  <sheetFormatPr defaultRowHeight="15"/>
  <cols>
    <col min="1" max="1" width="7.42578125" customWidth="1"/>
    <col min="2" max="2" width="14.5703125" customWidth="1"/>
    <col min="3" max="3" width="15.140625" customWidth="1"/>
    <col min="4" max="4" width="14.85546875" customWidth="1"/>
    <col min="5" max="5" width="15" customWidth="1"/>
    <col min="6" max="6" width="16" customWidth="1"/>
    <col min="7" max="7" width="13.7109375" customWidth="1"/>
    <col min="8" max="8" width="6.42578125" customWidth="1"/>
    <col min="10" max="10" width="41" customWidth="1"/>
    <col min="11" max="11" width="19.7109375" customWidth="1"/>
    <col min="12" max="12" width="9.140625" customWidth="1"/>
  </cols>
  <sheetData>
    <row r="1" spans="1:11">
      <c r="A1" s="222"/>
      <c r="B1" s="221"/>
      <c r="C1" s="221"/>
      <c r="D1" s="221"/>
      <c r="E1" s="221"/>
      <c r="F1" s="221"/>
      <c r="G1" s="222"/>
      <c r="H1" s="221"/>
      <c r="I1" s="221"/>
      <c r="J1" s="221"/>
      <c r="K1" s="221"/>
    </row>
    <row r="3" spans="1:11">
      <c r="A3" s="699" t="s">
        <v>261</v>
      </c>
      <c r="B3" s="700"/>
      <c r="C3" s="700"/>
      <c r="D3" s="700"/>
      <c r="E3" s="700"/>
      <c r="F3" s="225"/>
      <c r="G3" s="225"/>
      <c r="H3" s="225"/>
      <c r="I3" s="225"/>
      <c r="J3" s="225"/>
      <c r="K3" s="225"/>
    </row>
    <row r="4" spans="1:11">
      <c r="A4" s="701"/>
      <c r="B4" s="701"/>
      <c r="C4" s="701"/>
      <c r="D4" s="701"/>
      <c r="E4" s="701"/>
      <c r="F4" s="225"/>
      <c r="G4" s="225"/>
      <c r="H4" s="225"/>
      <c r="I4" s="225"/>
      <c r="J4" s="225"/>
      <c r="K4" s="225"/>
    </row>
    <row r="6" spans="1:11" ht="15.75">
      <c r="A6" s="702" t="s">
        <v>1</v>
      </c>
      <c r="B6" s="704" t="s">
        <v>2</v>
      </c>
      <c r="C6" s="705"/>
      <c r="D6" s="697" t="s">
        <v>3</v>
      </c>
      <c r="E6" s="694" t="s">
        <v>4</v>
      </c>
      <c r="F6" s="697" t="s">
        <v>5</v>
      </c>
      <c r="G6" s="694" t="s">
        <v>6</v>
      </c>
      <c r="H6" s="226"/>
      <c r="I6" s="227" t="s">
        <v>7</v>
      </c>
      <c r="J6" s="228"/>
      <c r="K6" s="229"/>
    </row>
    <row r="7" spans="1:11" ht="15.75">
      <c r="A7" s="703"/>
      <c r="B7" s="230" t="s">
        <v>8</v>
      </c>
      <c r="C7" s="594" t="s">
        <v>9</v>
      </c>
      <c r="D7" s="698"/>
      <c r="E7" s="695"/>
      <c r="F7" s="698"/>
      <c r="G7" s="695"/>
      <c r="H7" s="226"/>
      <c r="I7" s="232" t="s">
        <v>1</v>
      </c>
      <c r="J7" s="233" t="s">
        <v>10</v>
      </c>
      <c r="K7" s="234" t="s">
        <v>11</v>
      </c>
    </row>
    <row r="8" spans="1:11" ht="19.5" customHeight="1">
      <c r="A8" s="235">
        <v>44687</v>
      </c>
      <c r="B8" s="236">
        <v>1200000</v>
      </c>
      <c r="C8" s="236">
        <v>4760000</v>
      </c>
      <c r="D8" s="237">
        <v>5960000</v>
      </c>
      <c r="E8" s="238">
        <v>2520000</v>
      </c>
      <c r="F8" s="236">
        <v>3440000</v>
      </c>
      <c r="G8" s="239">
        <v>2240000</v>
      </c>
      <c r="H8" s="229"/>
      <c r="I8" s="235">
        <v>44690</v>
      </c>
      <c r="J8" s="240" t="s">
        <v>76</v>
      </c>
      <c r="K8" s="274">
        <v>22000000</v>
      </c>
    </row>
    <row r="9" spans="1:11">
      <c r="A9" s="290">
        <v>44688</v>
      </c>
      <c r="B9" s="291">
        <v>170000</v>
      </c>
      <c r="C9" s="291">
        <v>5300000</v>
      </c>
      <c r="D9" s="237">
        <f>B9+C9</f>
        <v>5470000</v>
      </c>
      <c r="E9" s="238">
        <v>1245000</v>
      </c>
      <c r="F9" s="291">
        <f>D9-E9</f>
        <v>4225000</v>
      </c>
      <c r="G9" s="239">
        <f>C9-E9</f>
        <v>4055000</v>
      </c>
      <c r="H9" s="229"/>
      <c r="I9" s="241">
        <v>44692</v>
      </c>
      <c r="J9" s="242" t="s">
        <v>77</v>
      </c>
      <c r="K9" s="275">
        <v>7600000</v>
      </c>
    </row>
    <row r="10" spans="1:11">
      <c r="A10" s="270">
        <v>44689</v>
      </c>
      <c r="B10" s="271"/>
      <c r="C10" s="271"/>
      <c r="D10" s="271"/>
      <c r="E10" s="271"/>
      <c r="F10" s="271"/>
      <c r="G10" s="271"/>
      <c r="H10" s="244"/>
      <c r="I10" s="241">
        <v>44692</v>
      </c>
      <c r="J10" s="242" t="s">
        <v>78</v>
      </c>
      <c r="K10" s="275">
        <v>2150000</v>
      </c>
    </row>
    <row r="11" spans="1:11" ht="13.5" customHeight="1">
      <c r="A11" s="235">
        <v>44690</v>
      </c>
      <c r="B11" s="236">
        <v>3500000</v>
      </c>
      <c r="C11" s="236">
        <v>1550000</v>
      </c>
      <c r="D11" s="237">
        <v>5050000</v>
      </c>
      <c r="E11" s="238">
        <v>1945000</v>
      </c>
      <c r="F11" s="236">
        <v>3105000</v>
      </c>
      <c r="G11" s="239">
        <v>-395000</v>
      </c>
      <c r="H11" s="229"/>
      <c r="I11" s="245">
        <v>44692</v>
      </c>
      <c r="J11" s="240" t="s">
        <v>79</v>
      </c>
      <c r="K11" s="276">
        <v>25000000</v>
      </c>
    </row>
    <row r="12" spans="1:11" ht="14.25" customHeight="1">
      <c r="A12" s="235">
        <v>44691</v>
      </c>
      <c r="B12" s="236">
        <v>7475000</v>
      </c>
      <c r="C12" s="236">
        <v>4000000</v>
      </c>
      <c r="D12" s="237">
        <f>B12+C12</f>
        <v>11475000</v>
      </c>
      <c r="E12" s="238">
        <v>1290000</v>
      </c>
      <c r="F12" s="236">
        <f>D12-E12</f>
        <v>10185000</v>
      </c>
      <c r="G12" s="239">
        <f>C12-E12</f>
        <v>2710000</v>
      </c>
      <c r="H12" s="246"/>
      <c r="I12" s="245">
        <v>44693</v>
      </c>
      <c r="J12" s="247" t="s">
        <v>80</v>
      </c>
      <c r="K12" s="273">
        <v>1420000</v>
      </c>
    </row>
    <row r="13" spans="1:11">
      <c r="A13" s="235">
        <v>44692</v>
      </c>
      <c r="B13" s="236">
        <v>375000</v>
      </c>
      <c r="C13" s="236">
        <v>1530000</v>
      </c>
      <c r="D13" s="237">
        <v>1905000</v>
      </c>
      <c r="E13" s="238">
        <v>1845000</v>
      </c>
      <c r="F13" s="236">
        <v>60000</v>
      </c>
      <c r="G13" s="239">
        <v>-315000</v>
      </c>
      <c r="H13" s="246"/>
      <c r="I13" s="235">
        <v>44694</v>
      </c>
      <c r="J13" s="272" t="s">
        <v>81</v>
      </c>
      <c r="K13" s="274">
        <v>450000</v>
      </c>
    </row>
    <row r="14" spans="1:11" ht="14.25" customHeight="1">
      <c r="A14" s="235">
        <v>44693</v>
      </c>
      <c r="B14" s="236">
        <v>51300000</v>
      </c>
      <c r="C14" s="236">
        <v>6855000</v>
      </c>
      <c r="D14" s="237">
        <v>58155000</v>
      </c>
      <c r="E14" s="238">
        <v>3255000</v>
      </c>
      <c r="F14" s="236">
        <v>54900000</v>
      </c>
      <c r="G14" s="239">
        <v>3600000</v>
      </c>
      <c r="H14" s="229"/>
      <c r="I14" s="235">
        <v>44695</v>
      </c>
      <c r="J14" s="248" t="s">
        <v>82</v>
      </c>
      <c r="K14" s="277">
        <v>25000000</v>
      </c>
    </row>
    <row r="15" spans="1:11" ht="16.5" customHeight="1">
      <c r="A15" s="235">
        <v>44694</v>
      </c>
      <c r="B15" s="236">
        <v>2800000</v>
      </c>
      <c r="C15" s="236">
        <v>5145000</v>
      </c>
      <c r="D15" s="237">
        <v>7945000</v>
      </c>
      <c r="E15" s="238">
        <v>3975000</v>
      </c>
      <c r="F15" s="236">
        <v>3970000</v>
      </c>
      <c r="G15" s="239">
        <v>1170000</v>
      </c>
      <c r="H15" s="229"/>
      <c r="I15" s="235">
        <v>44700</v>
      </c>
      <c r="J15" s="247" t="s">
        <v>83</v>
      </c>
      <c r="K15" s="274">
        <v>25000000</v>
      </c>
    </row>
    <row r="16" spans="1:11" ht="16.5" customHeight="1">
      <c r="A16" s="235">
        <v>44695</v>
      </c>
      <c r="B16" s="236">
        <v>900000</v>
      </c>
      <c r="C16" s="236">
        <v>5750000</v>
      </c>
      <c r="D16" s="237">
        <f>B16+C16</f>
        <v>6650000</v>
      </c>
      <c r="E16" s="238">
        <v>1095000</v>
      </c>
      <c r="F16" s="236">
        <f>D16-E16</f>
        <v>5555000</v>
      </c>
      <c r="G16" s="239">
        <f>C16-E16</f>
        <v>4655000</v>
      </c>
      <c r="H16" s="229"/>
      <c r="I16" s="235">
        <v>44702</v>
      </c>
      <c r="J16" s="247" t="s">
        <v>83</v>
      </c>
      <c r="K16" s="274">
        <v>30000000</v>
      </c>
    </row>
    <row r="17" spans="1:11">
      <c r="A17" s="270">
        <v>44696</v>
      </c>
      <c r="B17" s="271"/>
      <c r="C17" s="271"/>
      <c r="D17" s="271"/>
      <c r="E17" s="271"/>
      <c r="F17" s="271"/>
      <c r="G17" s="271"/>
      <c r="H17" s="246"/>
      <c r="I17" s="249">
        <v>44702</v>
      </c>
      <c r="J17" s="251" t="s">
        <v>84</v>
      </c>
      <c r="K17" s="277">
        <v>1500000</v>
      </c>
    </row>
    <row r="18" spans="1:11">
      <c r="A18" s="235">
        <v>44697</v>
      </c>
      <c r="B18" s="278">
        <v>5500000</v>
      </c>
      <c r="C18" s="278">
        <v>5130000</v>
      </c>
      <c r="D18" s="237">
        <v>10630000</v>
      </c>
      <c r="E18" s="238">
        <v>3155000</v>
      </c>
      <c r="F18" s="236">
        <v>7475000</v>
      </c>
      <c r="G18" s="239">
        <v>1975000</v>
      </c>
      <c r="H18" s="250"/>
      <c r="I18" s="249">
        <v>44702</v>
      </c>
      <c r="J18" s="242" t="s">
        <v>85</v>
      </c>
      <c r="K18" s="277">
        <v>2500000</v>
      </c>
    </row>
    <row r="19" spans="1:11">
      <c r="A19" s="235">
        <v>44698</v>
      </c>
      <c r="B19" s="278">
        <v>15200000</v>
      </c>
      <c r="C19" s="278">
        <v>3920000</v>
      </c>
      <c r="D19" s="237">
        <v>19120000</v>
      </c>
      <c r="E19" s="238">
        <v>1545000</v>
      </c>
      <c r="F19" s="236">
        <v>17575000</v>
      </c>
      <c r="G19" s="239">
        <v>2375000</v>
      </c>
      <c r="H19" s="250"/>
      <c r="I19" s="249">
        <v>44705</v>
      </c>
      <c r="J19" s="272" t="s">
        <v>83</v>
      </c>
      <c r="K19" s="279">
        <v>15000000</v>
      </c>
    </row>
    <row r="20" spans="1:11">
      <c r="A20" s="235">
        <v>44699</v>
      </c>
      <c r="B20" s="278">
        <v>3385000</v>
      </c>
      <c r="C20" s="278">
        <v>7325000</v>
      </c>
      <c r="D20" s="237">
        <v>10710000</v>
      </c>
      <c r="E20" s="238">
        <v>4430000</v>
      </c>
      <c r="F20" s="236">
        <v>6280000</v>
      </c>
      <c r="G20" s="239">
        <v>2895000</v>
      </c>
      <c r="H20" s="225"/>
      <c r="I20" s="249">
        <v>44706</v>
      </c>
      <c r="J20" s="251" t="s">
        <v>86</v>
      </c>
      <c r="K20" s="277">
        <v>550000</v>
      </c>
    </row>
    <row r="21" spans="1:11" ht="15" customHeight="1">
      <c r="A21" s="235">
        <v>44700</v>
      </c>
      <c r="B21" s="278">
        <v>10325000</v>
      </c>
      <c r="C21" s="278">
        <v>3935000</v>
      </c>
      <c r="D21" s="237">
        <v>14260000</v>
      </c>
      <c r="E21" s="238">
        <v>2430000</v>
      </c>
      <c r="F21" s="236">
        <v>11830000</v>
      </c>
      <c r="G21" s="239">
        <v>1505000</v>
      </c>
      <c r="H21" s="225"/>
      <c r="I21" s="252">
        <v>44707</v>
      </c>
      <c r="J21" s="247" t="s">
        <v>87</v>
      </c>
      <c r="K21" s="274">
        <v>5500000</v>
      </c>
    </row>
    <row r="22" spans="1:11">
      <c r="A22" s="235">
        <v>44701</v>
      </c>
      <c r="B22" s="280">
        <v>2600000</v>
      </c>
      <c r="C22" s="281">
        <v>11055000</v>
      </c>
      <c r="D22" s="237">
        <f>B22+C22</f>
        <v>13655000</v>
      </c>
      <c r="E22" s="282">
        <v>1570000</v>
      </c>
      <c r="F22" s="236">
        <f>D22-E22</f>
        <v>12085000</v>
      </c>
      <c r="G22" s="239">
        <f>C22-E22</f>
        <v>9485000</v>
      </c>
      <c r="H22" s="253"/>
      <c r="I22" s="249">
        <v>44708</v>
      </c>
      <c r="J22" s="251" t="s">
        <v>88</v>
      </c>
      <c r="K22" s="243">
        <v>12000000</v>
      </c>
    </row>
    <row r="23" spans="1:11">
      <c r="A23" s="235">
        <v>44702</v>
      </c>
      <c r="B23" s="278">
        <v>900000</v>
      </c>
      <c r="C23" s="278">
        <v>7250000</v>
      </c>
      <c r="D23" s="237">
        <f>B23+C23</f>
        <v>8150000</v>
      </c>
      <c r="E23" s="238">
        <v>1175000</v>
      </c>
      <c r="F23" s="236">
        <f>D23-E23</f>
        <v>6975000</v>
      </c>
      <c r="G23" s="239">
        <f>C23-E23</f>
        <v>6075000</v>
      </c>
      <c r="H23" s="225"/>
      <c r="I23" s="249">
        <v>44708</v>
      </c>
      <c r="J23" s="251" t="s">
        <v>89</v>
      </c>
      <c r="K23" s="243">
        <v>5000000</v>
      </c>
    </row>
    <row r="24" spans="1:11">
      <c r="A24" s="270">
        <v>44703</v>
      </c>
      <c r="B24" s="292"/>
      <c r="C24" s="292"/>
      <c r="D24" s="271"/>
      <c r="E24" s="271"/>
      <c r="F24" s="271"/>
      <c r="G24" s="271"/>
      <c r="H24" s="225"/>
      <c r="I24" s="249">
        <v>44710</v>
      </c>
      <c r="J24" s="251" t="s">
        <v>90</v>
      </c>
      <c r="K24" s="243">
        <v>750000</v>
      </c>
    </row>
    <row r="25" spans="1:11">
      <c r="A25" s="245">
        <v>44704</v>
      </c>
      <c r="B25" s="281">
        <v>10225000</v>
      </c>
      <c r="C25" s="281">
        <v>4000000</v>
      </c>
      <c r="D25" s="237">
        <v>14225000</v>
      </c>
      <c r="E25" s="282">
        <v>3615000</v>
      </c>
      <c r="F25" s="236">
        <v>10610000</v>
      </c>
      <c r="G25" s="239">
        <v>385000</v>
      </c>
      <c r="H25" s="253"/>
      <c r="I25" s="249">
        <v>44711</v>
      </c>
      <c r="J25" s="251" t="s">
        <v>91</v>
      </c>
      <c r="K25" s="243">
        <v>1920000</v>
      </c>
    </row>
    <row r="26" spans="1:11">
      <c r="A26" s="235">
        <v>44705</v>
      </c>
      <c r="B26" s="278"/>
      <c r="C26" s="278">
        <v>12800000</v>
      </c>
      <c r="D26" s="237">
        <f>B26+C26</f>
        <v>12800000</v>
      </c>
      <c r="E26" s="238">
        <v>1245000</v>
      </c>
      <c r="F26" s="236">
        <f>D26-E26</f>
        <v>11555000</v>
      </c>
      <c r="G26" s="239">
        <f>C26-E26</f>
        <v>11555000</v>
      </c>
      <c r="H26" s="225"/>
      <c r="I26" s="249">
        <v>44711</v>
      </c>
      <c r="J26" s="251" t="s">
        <v>92</v>
      </c>
      <c r="K26" s="243">
        <v>22000000</v>
      </c>
    </row>
    <row r="27" spans="1:11">
      <c r="A27" s="235">
        <v>44706</v>
      </c>
      <c r="B27" s="278">
        <v>17331000</v>
      </c>
      <c r="C27" s="278">
        <v>4275000</v>
      </c>
      <c r="D27" s="237">
        <v>21606000</v>
      </c>
      <c r="E27" s="238">
        <v>2340000</v>
      </c>
      <c r="F27" s="236">
        <v>19266000</v>
      </c>
      <c r="G27" s="239">
        <v>1935000</v>
      </c>
      <c r="H27" s="225"/>
      <c r="I27" s="249"/>
      <c r="J27" s="251"/>
      <c r="K27" s="243"/>
    </row>
    <row r="28" spans="1:11">
      <c r="A28" s="235">
        <v>44707</v>
      </c>
      <c r="B28" s="278">
        <v>2850000</v>
      </c>
      <c r="C28" s="278">
        <v>3900000</v>
      </c>
      <c r="D28" s="237">
        <v>6750000</v>
      </c>
      <c r="E28" s="238">
        <v>1275000</v>
      </c>
      <c r="F28" s="236">
        <v>5475000</v>
      </c>
      <c r="G28" s="239">
        <v>2625000</v>
      </c>
      <c r="H28" s="225"/>
      <c r="I28" s="249"/>
      <c r="J28" s="251"/>
      <c r="K28" s="243"/>
    </row>
    <row r="29" spans="1:11">
      <c r="A29" s="283">
        <v>44708</v>
      </c>
      <c r="B29" s="284">
        <v>12790000</v>
      </c>
      <c r="C29" s="284">
        <v>7325000</v>
      </c>
      <c r="D29" s="285">
        <v>20115000</v>
      </c>
      <c r="E29" s="286">
        <v>3055000</v>
      </c>
      <c r="F29" s="287">
        <v>17060000</v>
      </c>
      <c r="G29" s="288">
        <v>4270000</v>
      </c>
      <c r="H29" s="225"/>
      <c r="I29" s="249"/>
      <c r="J29" s="251"/>
      <c r="K29" s="243"/>
    </row>
    <row r="30" spans="1:11">
      <c r="A30" s="235">
        <v>44709</v>
      </c>
      <c r="B30" s="278">
        <v>3200000</v>
      </c>
      <c r="C30" s="278">
        <v>1590000</v>
      </c>
      <c r="D30" s="237">
        <v>4790000</v>
      </c>
      <c r="E30" s="238">
        <v>1110000</v>
      </c>
      <c r="F30" s="236">
        <v>3680000</v>
      </c>
      <c r="G30" s="239">
        <v>480000</v>
      </c>
      <c r="H30" s="225"/>
      <c r="I30" s="249"/>
      <c r="J30" s="251"/>
      <c r="K30" s="243"/>
    </row>
    <row r="31" spans="1:11">
      <c r="A31" s="270">
        <v>44710</v>
      </c>
      <c r="B31" s="292"/>
      <c r="C31" s="292"/>
      <c r="D31" s="271"/>
      <c r="E31" s="271"/>
      <c r="F31" s="271"/>
      <c r="G31" s="271"/>
      <c r="H31" s="225"/>
      <c r="I31" s="254"/>
      <c r="J31" s="247"/>
      <c r="K31" s="255">
        <v>205340000</v>
      </c>
    </row>
    <row r="32" spans="1:11">
      <c r="A32" s="235">
        <v>44711</v>
      </c>
      <c r="B32" s="278"/>
      <c r="C32" s="278">
        <v>11865000</v>
      </c>
      <c r="D32" s="237">
        <f>B32+C32</f>
        <v>11865000</v>
      </c>
      <c r="E32" s="238">
        <v>1435000</v>
      </c>
      <c r="F32" s="236">
        <f>D32-E32</f>
        <v>10430000</v>
      </c>
      <c r="G32" s="239">
        <f>C32-E32</f>
        <v>10430000</v>
      </c>
      <c r="H32" s="225"/>
      <c r="I32" s="250"/>
      <c r="J32" s="225"/>
      <c r="K32" s="225"/>
    </row>
    <row r="33" spans="1:11" ht="15.75">
      <c r="A33" s="235">
        <v>44712</v>
      </c>
      <c r="B33" s="278">
        <v>13998000</v>
      </c>
      <c r="C33" s="278">
        <v>2165000</v>
      </c>
      <c r="D33" s="237">
        <v>16163000</v>
      </c>
      <c r="E33" s="238">
        <v>3290000</v>
      </c>
      <c r="F33" s="236">
        <v>12873000</v>
      </c>
      <c r="G33" s="239">
        <v>-1125000</v>
      </c>
      <c r="H33" s="225"/>
      <c r="I33" s="256" t="s">
        <v>27</v>
      </c>
      <c r="J33" s="257" t="s">
        <v>28</v>
      </c>
      <c r="K33" s="258">
        <f>B35+C35</f>
        <v>287449000</v>
      </c>
    </row>
    <row r="34" spans="1:11" ht="15.75">
      <c r="A34" s="289"/>
      <c r="B34" s="278"/>
      <c r="C34" s="278"/>
      <c r="D34" s="237"/>
      <c r="E34" s="238"/>
      <c r="F34" s="236"/>
      <c r="G34" s="239"/>
      <c r="H34" s="225"/>
      <c r="I34" s="259"/>
      <c r="J34" s="260" t="s">
        <v>29</v>
      </c>
      <c r="K34" s="261">
        <v>48840000</v>
      </c>
    </row>
    <row r="35" spans="1:11" ht="15.75">
      <c r="A35" s="235"/>
      <c r="B35" s="265">
        <f t="shared" ref="B35:G35" si="0">SUM(B8:B34)</f>
        <v>166024000</v>
      </c>
      <c r="C35" s="265">
        <f t="shared" si="0"/>
        <v>121425000</v>
      </c>
      <c r="D35" s="266">
        <f t="shared" si="0"/>
        <v>287449000</v>
      </c>
      <c r="E35" s="267">
        <f t="shared" si="0"/>
        <v>48840000</v>
      </c>
      <c r="F35" s="268">
        <f t="shared" si="0"/>
        <v>238609000</v>
      </c>
      <c r="G35" s="269">
        <f t="shared" si="0"/>
        <v>72585000</v>
      </c>
      <c r="H35" s="262"/>
      <c r="I35" s="259"/>
      <c r="J35" s="260" t="s">
        <v>30</v>
      </c>
      <c r="K35" s="261">
        <v>205340000</v>
      </c>
    </row>
    <row r="36" spans="1:11" ht="15.75">
      <c r="A36" s="225"/>
      <c r="B36" s="225"/>
      <c r="C36" s="599"/>
      <c r="D36" s="225"/>
      <c r="E36" s="225"/>
      <c r="F36" s="225"/>
      <c r="G36" s="225"/>
      <c r="H36" s="225"/>
      <c r="I36" s="259"/>
      <c r="J36" s="260" t="s">
        <v>31</v>
      </c>
      <c r="K36" s="261">
        <f>K34+K35</f>
        <v>254180000</v>
      </c>
    </row>
    <row r="37" spans="1:11" ht="15.75">
      <c r="A37" s="225"/>
      <c r="B37" s="225"/>
      <c r="C37" s="225"/>
      <c r="D37" s="225"/>
      <c r="E37" s="225"/>
      <c r="F37" s="225"/>
      <c r="G37" s="225"/>
      <c r="H37" s="225"/>
      <c r="I37" s="259"/>
      <c r="J37" s="263"/>
      <c r="K37" s="258"/>
    </row>
    <row r="38" spans="1:11" ht="18">
      <c r="A38" s="225"/>
      <c r="B38" s="225"/>
      <c r="C38" s="225"/>
      <c r="D38" s="225"/>
      <c r="E38" s="225"/>
      <c r="F38" s="225"/>
      <c r="G38" s="225"/>
      <c r="H38" s="225"/>
      <c r="I38" s="696" t="s">
        <v>260</v>
      </c>
      <c r="J38" s="696"/>
      <c r="K38" s="264">
        <f>K33-K36</f>
        <v>33269000</v>
      </c>
    </row>
    <row r="42" spans="1:11">
      <c r="A42" s="221"/>
      <c r="B42" s="221"/>
      <c r="C42" s="221"/>
      <c r="D42" s="221"/>
      <c r="E42" s="221"/>
      <c r="F42" s="221"/>
      <c r="G42" s="221"/>
      <c r="H42" s="221"/>
      <c r="I42" s="221"/>
      <c r="J42" s="221"/>
      <c r="K42" s="221"/>
    </row>
    <row r="43" spans="1:11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</row>
    <row r="44" spans="1:11">
      <c r="A44" s="221"/>
      <c r="B44" s="221"/>
      <c r="C44" s="221"/>
      <c r="D44" s="221"/>
      <c r="E44" s="221"/>
      <c r="F44" s="221"/>
      <c r="G44" s="221"/>
      <c r="H44" s="221"/>
      <c r="I44" s="221"/>
      <c r="J44" s="221"/>
      <c r="K44" s="221"/>
    </row>
    <row r="45" spans="1:11" ht="15" customHeight="1">
      <c r="A45" s="683" t="s">
        <v>175</v>
      </c>
      <c r="B45" s="684"/>
      <c r="C45" s="684"/>
      <c r="D45" s="684"/>
      <c r="E45" s="684"/>
      <c r="F45" s="152"/>
      <c r="G45" s="152"/>
      <c r="H45" s="152"/>
      <c r="I45" s="152"/>
      <c r="J45" s="152"/>
      <c r="K45" s="152"/>
    </row>
    <row r="46" spans="1:11">
      <c r="A46" s="685"/>
      <c r="B46" s="685"/>
      <c r="C46" s="685"/>
      <c r="D46" s="685"/>
      <c r="E46" s="685"/>
      <c r="F46" s="152"/>
      <c r="G46" s="152"/>
      <c r="H46" s="152"/>
      <c r="I46" s="152"/>
      <c r="J46" s="152"/>
      <c r="K46" s="152"/>
    </row>
    <row r="48" spans="1:11" ht="15.75" customHeight="1">
      <c r="A48" s="686" t="s">
        <v>1</v>
      </c>
      <c r="B48" s="688" t="s">
        <v>2</v>
      </c>
      <c r="C48" s="689"/>
      <c r="D48" s="690" t="s">
        <v>3</v>
      </c>
      <c r="E48" s="680" t="s">
        <v>4</v>
      </c>
      <c r="F48" s="690" t="s">
        <v>5</v>
      </c>
      <c r="G48" s="680" t="s">
        <v>6</v>
      </c>
      <c r="H48" s="153"/>
      <c r="I48" s="154" t="s">
        <v>7</v>
      </c>
      <c r="J48" s="155"/>
      <c r="K48" s="156"/>
    </row>
    <row r="49" spans="1:11" ht="15.75">
      <c r="A49" s="687"/>
      <c r="B49" s="157" t="s">
        <v>8</v>
      </c>
      <c r="C49" s="597" t="s">
        <v>9</v>
      </c>
      <c r="D49" s="691"/>
      <c r="E49" s="681"/>
      <c r="F49" s="691"/>
      <c r="G49" s="681"/>
      <c r="H49" s="153"/>
      <c r="I49" s="159" t="s">
        <v>1</v>
      </c>
      <c r="J49" s="160" t="s">
        <v>10</v>
      </c>
      <c r="K49" s="161" t="s">
        <v>11</v>
      </c>
    </row>
    <row r="50" spans="1:11">
      <c r="A50" s="162">
        <v>45231</v>
      </c>
      <c r="B50" s="163">
        <v>10150000</v>
      </c>
      <c r="C50" s="163">
        <v>4095000</v>
      </c>
      <c r="D50" s="164">
        <v>14245000</v>
      </c>
      <c r="E50" s="165">
        <v>4250000</v>
      </c>
      <c r="F50" s="163">
        <v>9995000</v>
      </c>
      <c r="G50" s="166">
        <v>-155000</v>
      </c>
      <c r="H50" s="156"/>
      <c r="I50" s="162">
        <v>45234</v>
      </c>
      <c r="J50" s="167" t="s">
        <v>49</v>
      </c>
      <c r="K50" s="201">
        <v>2500000</v>
      </c>
    </row>
    <row r="51" spans="1:11">
      <c r="A51" s="217">
        <v>45232</v>
      </c>
      <c r="B51" s="218"/>
      <c r="C51" s="218">
        <v>11560000</v>
      </c>
      <c r="D51" s="164">
        <v>11560000</v>
      </c>
      <c r="E51" s="165">
        <v>3170000</v>
      </c>
      <c r="F51" s="218">
        <v>8390000</v>
      </c>
      <c r="G51" s="166">
        <v>8390000</v>
      </c>
      <c r="H51" s="156"/>
      <c r="I51" s="168">
        <v>45236</v>
      </c>
      <c r="J51" s="169" t="s">
        <v>50</v>
      </c>
      <c r="K51" s="202">
        <v>8325000</v>
      </c>
    </row>
    <row r="52" spans="1:11">
      <c r="A52" s="217">
        <v>45233</v>
      </c>
      <c r="B52" s="218">
        <v>1010000</v>
      </c>
      <c r="C52" s="218">
        <v>12160000</v>
      </c>
      <c r="D52" s="164">
        <f>B52+C52</f>
        <v>13170000</v>
      </c>
      <c r="E52" s="165">
        <v>1650000</v>
      </c>
      <c r="F52" s="218">
        <f>D52-E52</f>
        <v>11520000</v>
      </c>
      <c r="G52" s="166">
        <f>C52-E52</f>
        <v>10510000</v>
      </c>
      <c r="H52" s="171"/>
      <c r="I52" s="168">
        <v>45236</v>
      </c>
      <c r="J52" s="169" t="s">
        <v>51</v>
      </c>
      <c r="K52" s="202">
        <v>3450000</v>
      </c>
    </row>
    <row r="53" spans="1:11">
      <c r="A53" s="162">
        <v>45234</v>
      </c>
      <c r="B53" s="163">
        <v>7125000</v>
      </c>
      <c r="C53" s="163">
        <v>3025000</v>
      </c>
      <c r="D53" s="164">
        <v>10150000</v>
      </c>
      <c r="E53" s="165">
        <v>3180000</v>
      </c>
      <c r="F53" s="163">
        <v>6970000</v>
      </c>
      <c r="G53" s="166">
        <v>-155000</v>
      </c>
      <c r="H53" s="156"/>
      <c r="I53" s="172">
        <v>45238</v>
      </c>
      <c r="J53" s="167" t="s">
        <v>52</v>
      </c>
      <c r="K53" s="203">
        <v>2000000</v>
      </c>
    </row>
    <row r="54" spans="1:11">
      <c r="A54" s="162">
        <v>45236</v>
      </c>
      <c r="B54" s="163">
        <v>3800000</v>
      </c>
      <c r="C54" s="163">
        <v>10690000</v>
      </c>
      <c r="D54" s="164">
        <f>B54+C54</f>
        <v>14490000</v>
      </c>
      <c r="E54" s="165">
        <v>2715000</v>
      </c>
      <c r="F54" s="163">
        <f>D54-E54</f>
        <v>11775000</v>
      </c>
      <c r="G54" s="166">
        <f>C54-E54</f>
        <v>7975000</v>
      </c>
      <c r="H54" s="173"/>
      <c r="I54" s="172">
        <v>45238</v>
      </c>
      <c r="J54" s="174" t="s">
        <v>53</v>
      </c>
      <c r="K54" s="200">
        <v>1000000</v>
      </c>
    </row>
    <row r="55" spans="1:11">
      <c r="A55" s="162">
        <v>45237</v>
      </c>
      <c r="B55" s="163">
        <v>8950000</v>
      </c>
      <c r="C55" s="163">
        <v>5400000</v>
      </c>
      <c r="D55" s="164">
        <v>14350000</v>
      </c>
      <c r="E55" s="165">
        <v>5060000</v>
      </c>
      <c r="F55" s="163">
        <v>9290000</v>
      </c>
      <c r="G55" s="166">
        <v>340000</v>
      </c>
      <c r="H55" s="173"/>
      <c r="I55" s="162">
        <v>45240</v>
      </c>
      <c r="J55" s="199" t="s">
        <v>54</v>
      </c>
      <c r="K55" s="201">
        <v>30000000</v>
      </c>
    </row>
    <row r="56" spans="1:11">
      <c r="A56" s="162">
        <v>45238</v>
      </c>
      <c r="B56" s="163"/>
      <c r="C56" s="163">
        <v>9720000</v>
      </c>
      <c r="D56" s="164">
        <v>9720000</v>
      </c>
      <c r="E56" s="165">
        <v>2040000</v>
      </c>
      <c r="F56" s="163">
        <f>D56-E56</f>
        <v>7680000</v>
      </c>
      <c r="G56" s="166">
        <f>C56-E56</f>
        <v>7680000</v>
      </c>
      <c r="H56" s="156"/>
      <c r="I56" s="162">
        <v>45241</v>
      </c>
      <c r="J56" s="175" t="s">
        <v>55</v>
      </c>
      <c r="K56" s="204">
        <v>2000000</v>
      </c>
    </row>
    <row r="57" spans="1:11">
      <c r="A57" s="162">
        <v>45239</v>
      </c>
      <c r="B57" s="163">
        <v>2868000</v>
      </c>
      <c r="C57" s="163">
        <v>7520000</v>
      </c>
      <c r="D57" s="164">
        <v>10388000</v>
      </c>
      <c r="E57" s="165">
        <v>3020000</v>
      </c>
      <c r="F57" s="163">
        <v>7368000</v>
      </c>
      <c r="G57" s="166">
        <v>4500000</v>
      </c>
      <c r="H57" s="156"/>
      <c r="I57" s="162">
        <v>45241</v>
      </c>
      <c r="J57" s="174" t="s">
        <v>56</v>
      </c>
      <c r="K57" s="201">
        <v>4500000</v>
      </c>
    </row>
    <row r="58" spans="1:11">
      <c r="A58" s="162">
        <v>45240</v>
      </c>
      <c r="B58" s="163">
        <v>1350000</v>
      </c>
      <c r="C58" s="163">
        <v>11850000</v>
      </c>
      <c r="D58" s="164">
        <f>B58+C58</f>
        <v>13200000</v>
      </c>
      <c r="E58" s="165">
        <v>1385000</v>
      </c>
      <c r="F58" s="163">
        <f>D58-E58</f>
        <v>11815000</v>
      </c>
      <c r="G58" s="166">
        <f>C58-E58</f>
        <v>10465000</v>
      </c>
      <c r="H58" s="156"/>
      <c r="I58" s="162">
        <v>45242</v>
      </c>
      <c r="J58" s="174" t="s">
        <v>57</v>
      </c>
      <c r="K58" s="201">
        <v>850000</v>
      </c>
    </row>
    <row r="59" spans="1:11">
      <c r="A59" s="162">
        <v>45241</v>
      </c>
      <c r="B59" s="205">
        <v>6150000</v>
      </c>
      <c r="C59" s="205">
        <v>2200000</v>
      </c>
      <c r="D59" s="164">
        <v>8350000</v>
      </c>
      <c r="E59" s="165">
        <v>2265000</v>
      </c>
      <c r="F59" s="163">
        <v>6085000</v>
      </c>
      <c r="G59" s="166">
        <v>-65000</v>
      </c>
      <c r="H59" s="173"/>
      <c r="I59" s="176">
        <v>45246</v>
      </c>
      <c r="J59" s="178" t="s">
        <v>58</v>
      </c>
      <c r="K59" s="204">
        <v>3300000</v>
      </c>
    </row>
    <row r="60" spans="1:11">
      <c r="A60" s="162">
        <v>45243</v>
      </c>
      <c r="B60" s="205">
        <v>8500000</v>
      </c>
      <c r="C60" s="205">
        <v>4305000</v>
      </c>
      <c r="D60" s="164">
        <v>12805000</v>
      </c>
      <c r="E60" s="165">
        <v>4205000</v>
      </c>
      <c r="F60" s="163">
        <v>8600000</v>
      </c>
      <c r="G60" s="166">
        <v>100000</v>
      </c>
      <c r="H60" s="177"/>
      <c r="I60" s="176">
        <v>45247</v>
      </c>
      <c r="J60" s="169" t="s">
        <v>59</v>
      </c>
      <c r="K60" s="204">
        <v>1000000</v>
      </c>
    </row>
    <row r="61" spans="1:11">
      <c r="A61" s="162">
        <v>45244</v>
      </c>
      <c r="B61" s="205">
        <v>375000</v>
      </c>
      <c r="C61" s="205">
        <v>10350000</v>
      </c>
      <c r="D61" s="164">
        <f>B61+C61</f>
        <v>10725000</v>
      </c>
      <c r="E61" s="165">
        <v>2100000</v>
      </c>
      <c r="F61" s="163">
        <f>D61-E61</f>
        <v>8625000</v>
      </c>
      <c r="G61" s="166">
        <f>C61-E61</f>
        <v>8250000</v>
      </c>
      <c r="H61" s="177"/>
      <c r="I61" s="176">
        <v>45247</v>
      </c>
      <c r="J61" s="199" t="s">
        <v>41</v>
      </c>
      <c r="K61" s="206">
        <v>1300000</v>
      </c>
    </row>
    <row r="62" spans="1:11">
      <c r="A62" s="162">
        <v>45245</v>
      </c>
      <c r="B62" s="207">
        <v>2700000</v>
      </c>
      <c r="C62" s="208">
        <v>1550000</v>
      </c>
      <c r="D62" s="164">
        <v>4250000</v>
      </c>
      <c r="E62" s="209">
        <v>4770000</v>
      </c>
      <c r="F62" s="163">
        <v>-520000</v>
      </c>
      <c r="G62" s="166">
        <v>-3220000</v>
      </c>
      <c r="H62" s="152"/>
      <c r="I62" s="176">
        <v>45251</v>
      </c>
      <c r="J62" s="178" t="s">
        <v>60</v>
      </c>
      <c r="K62" s="204">
        <v>1500000</v>
      </c>
    </row>
    <row r="63" spans="1:11">
      <c r="A63" s="162">
        <v>45246</v>
      </c>
      <c r="B63" s="205">
        <v>1390000</v>
      </c>
      <c r="C63" s="205">
        <v>2675000</v>
      </c>
      <c r="D63" s="164">
        <v>4065000</v>
      </c>
      <c r="E63" s="165">
        <v>2380000</v>
      </c>
      <c r="F63" s="163">
        <v>1685000</v>
      </c>
      <c r="G63" s="166">
        <v>295000</v>
      </c>
      <c r="H63" s="152"/>
      <c r="I63" s="179">
        <v>45252</v>
      </c>
      <c r="J63" s="174" t="s">
        <v>54</v>
      </c>
      <c r="K63" s="201">
        <v>25000000</v>
      </c>
    </row>
    <row r="64" spans="1:11">
      <c r="A64" s="162">
        <v>45247</v>
      </c>
      <c r="B64" s="205">
        <v>2950000</v>
      </c>
      <c r="C64" s="205">
        <v>14335000</v>
      </c>
      <c r="D64" s="164">
        <f>B64+C64</f>
        <v>17285000</v>
      </c>
      <c r="E64" s="165">
        <v>2140000</v>
      </c>
      <c r="F64" s="163">
        <f>D64-E64</f>
        <v>15145000</v>
      </c>
      <c r="G64" s="166">
        <f>C64-E64</f>
        <v>12195000</v>
      </c>
      <c r="H64" s="180"/>
      <c r="I64" s="176">
        <v>45253</v>
      </c>
      <c r="J64" s="178" t="s">
        <v>54</v>
      </c>
      <c r="K64" s="170">
        <v>15000000</v>
      </c>
    </row>
    <row r="65" spans="1:11">
      <c r="A65" s="172">
        <v>45248</v>
      </c>
      <c r="B65" s="208">
        <v>3475000</v>
      </c>
      <c r="C65" s="208">
        <v>4150000</v>
      </c>
      <c r="D65" s="164">
        <v>7625000</v>
      </c>
      <c r="E65" s="209">
        <v>2735000</v>
      </c>
      <c r="F65" s="163">
        <v>4890000</v>
      </c>
      <c r="G65" s="166">
        <v>1415000</v>
      </c>
      <c r="H65" s="152"/>
      <c r="I65" s="176">
        <v>45256</v>
      </c>
      <c r="J65" s="178" t="s">
        <v>54</v>
      </c>
      <c r="K65" s="170">
        <v>20000000</v>
      </c>
    </row>
    <row r="66" spans="1:11">
      <c r="A66" s="162">
        <v>45250</v>
      </c>
      <c r="B66" s="205">
        <v>2900000</v>
      </c>
      <c r="C66" s="205">
        <v>9525000</v>
      </c>
      <c r="D66" s="164">
        <v>12425000</v>
      </c>
      <c r="E66" s="165">
        <v>4340000</v>
      </c>
      <c r="F66" s="163">
        <v>8085000</v>
      </c>
      <c r="G66" s="166">
        <v>5185000</v>
      </c>
      <c r="H66" s="152"/>
      <c r="I66" s="176">
        <v>45256</v>
      </c>
      <c r="J66" s="178" t="s">
        <v>61</v>
      </c>
      <c r="K66" s="170">
        <v>3200000</v>
      </c>
    </row>
    <row r="67" spans="1:11">
      <c r="A67" s="162">
        <v>45251</v>
      </c>
      <c r="B67" s="205">
        <v>7175000</v>
      </c>
      <c r="C67" s="205">
        <v>70000</v>
      </c>
      <c r="D67" s="164">
        <v>7245000</v>
      </c>
      <c r="E67" s="165">
        <v>1365000</v>
      </c>
      <c r="F67" s="163">
        <v>5880000</v>
      </c>
      <c r="G67" s="166">
        <v>-1295000</v>
      </c>
      <c r="H67" s="152"/>
      <c r="I67" s="176">
        <v>45258</v>
      </c>
      <c r="J67" s="178" t="s">
        <v>46</v>
      </c>
      <c r="K67" s="170">
        <v>5500000</v>
      </c>
    </row>
    <row r="68" spans="1:11">
      <c r="A68" s="210">
        <v>45252</v>
      </c>
      <c r="B68" s="211">
        <v>4000000</v>
      </c>
      <c r="C68" s="211">
        <v>2700000</v>
      </c>
      <c r="D68" s="212">
        <v>6700000</v>
      </c>
      <c r="E68" s="213">
        <v>3325000</v>
      </c>
      <c r="F68" s="214">
        <v>3375000</v>
      </c>
      <c r="G68" s="215">
        <v>-625000</v>
      </c>
      <c r="H68" s="180"/>
      <c r="I68" s="176">
        <v>45258</v>
      </c>
      <c r="J68" s="178" t="s">
        <v>54</v>
      </c>
      <c r="K68" s="170">
        <v>37000000</v>
      </c>
    </row>
    <row r="69" spans="1:11">
      <c r="A69" s="162">
        <v>45253</v>
      </c>
      <c r="B69" s="205">
        <v>600000</v>
      </c>
      <c r="C69" s="205">
        <v>9420000</v>
      </c>
      <c r="D69" s="164">
        <v>10020000</v>
      </c>
      <c r="E69" s="165">
        <v>3710000</v>
      </c>
      <c r="F69" s="163">
        <v>6310000</v>
      </c>
      <c r="G69" s="166">
        <v>5710000</v>
      </c>
      <c r="H69" s="152"/>
      <c r="I69" s="176">
        <v>45258</v>
      </c>
      <c r="J69" s="178" t="s">
        <v>62</v>
      </c>
      <c r="K69" s="170">
        <v>300000</v>
      </c>
    </row>
    <row r="70" spans="1:11">
      <c r="A70" s="162">
        <v>45254</v>
      </c>
      <c r="B70" s="205">
        <v>5200000</v>
      </c>
      <c r="C70" s="205">
        <v>4650000</v>
      </c>
      <c r="D70" s="164">
        <v>9850000</v>
      </c>
      <c r="E70" s="165">
        <v>5020000</v>
      </c>
      <c r="F70" s="163">
        <v>4830000</v>
      </c>
      <c r="G70" s="166">
        <v>-370000</v>
      </c>
      <c r="H70" s="152"/>
      <c r="I70" s="176">
        <v>45260</v>
      </c>
      <c r="J70" s="178" t="s">
        <v>63</v>
      </c>
      <c r="K70" s="170">
        <v>9500000</v>
      </c>
    </row>
    <row r="71" spans="1:11">
      <c r="A71" s="162">
        <v>45255</v>
      </c>
      <c r="B71" s="205">
        <v>27270000</v>
      </c>
      <c r="C71" s="205">
        <v>3675000</v>
      </c>
      <c r="D71" s="164">
        <v>30945000</v>
      </c>
      <c r="E71" s="165">
        <v>3350000</v>
      </c>
      <c r="F71" s="163">
        <v>27595000</v>
      </c>
      <c r="G71" s="166">
        <v>325000</v>
      </c>
      <c r="H71" s="152"/>
      <c r="I71" s="176">
        <v>45260</v>
      </c>
      <c r="J71" s="178" t="s">
        <v>64</v>
      </c>
      <c r="K71" s="170">
        <v>20000000</v>
      </c>
    </row>
    <row r="72" spans="1:11">
      <c r="A72" s="162">
        <v>45257</v>
      </c>
      <c r="B72" s="205">
        <v>1500000</v>
      </c>
      <c r="C72" s="205">
        <v>14350000</v>
      </c>
      <c r="D72" s="164">
        <f>B72+C72</f>
        <v>15850000</v>
      </c>
      <c r="E72" s="165">
        <v>3220000</v>
      </c>
      <c r="F72" s="163">
        <f>D72-E72</f>
        <v>12630000</v>
      </c>
      <c r="G72" s="166">
        <f>C72-E72</f>
        <v>11130000</v>
      </c>
      <c r="H72" s="152"/>
      <c r="I72" s="181"/>
      <c r="J72" s="174"/>
      <c r="K72" s="182">
        <v>197225000</v>
      </c>
    </row>
    <row r="73" spans="1:11" ht="15.75">
      <c r="A73" s="162">
        <v>45258</v>
      </c>
      <c r="B73" s="205">
        <v>6850000</v>
      </c>
      <c r="C73" s="205">
        <v>2550000</v>
      </c>
      <c r="D73" s="164">
        <v>9400000</v>
      </c>
      <c r="E73" s="165">
        <v>3660000</v>
      </c>
      <c r="F73" s="163">
        <v>5740000</v>
      </c>
      <c r="G73" s="166">
        <v>-1110000</v>
      </c>
      <c r="H73" s="152"/>
      <c r="I73" s="183" t="s">
        <v>27</v>
      </c>
      <c r="J73" s="184" t="s">
        <v>28</v>
      </c>
      <c r="K73" s="185">
        <f>B77+C77</f>
        <v>302913000</v>
      </c>
    </row>
    <row r="74" spans="1:11" ht="15.75">
      <c r="A74" s="162">
        <v>45259</v>
      </c>
      <c r="B74" s="205">
        <v>10800000</v>
      </c>
      <c r="C74" s="205">
        <v>450000</v>
      </c>
      <c r="D74" s="164">
        <v>11250000</v>
      </c>
      <c r="E74" s="165">
        <v>3710000</v>
      </c>
      <c r="F74" s="163">
        <v>7540000</v>
      </c>
      <c r="G74" s="166">
        <v>-3260000</v>
      </c>
      <c r="H74" s="152"/>
      <c r="I74" s="186"/>
      <c r="J74" s="187" t="s">
        <v>29</v>
      </c>
      <c r="K74" s="188">
        <v>80940000</v>
      </c>
    </row>
    <row r="75" spans="1:11" ht="15.75">
      <c r="A75" s="162">
        <v>45260</v>
      </c>
      <c r="B75" s="205">
        <v>1200000</v>
      </c>
      <c r="C75" s="205">
        <v>11650000</v>
      </c>
      <c r="D75" s="164">
        <f>B75+C75</f>
        <v>12850000</v>
      </c>
      <c r="E75" s="165">
        <v>2175000</v>
      </c>
      <c r="F75" s="163">
        <f>D75-E75</f>
        <v>10675000</v>
      </c>
      <c r="G75" s="166">
        <f>C75-E75</f>
        <v>9475000</v>
      </c>
      <c r="H75" s="152"/>
      <c r="I75" s="186"/>
      <c r="J75" s="187" t="s">
        <v>30</v>
      </c>
      <c r="K75" s="188">
        <v>197225000</v>
      </c>
    </row>
    <row r="76" spans="1:11" ht="15.75">
      <c r="A76" s="217"/>
      <c r="B76" s="192"/>
      <c r="C76" s="192"/>
      <c r="D76" s="193"/>
      <c r="E76" s="194"/>
      <c r="F76" s="195"/>
      <c r="G76" s="196"/>
      <c r="H76" s="152"/>
      <c r="I76" s="186"/>
      <c r="J76" s="187" t="s">
        <v>31</v>
      </c>
      <c r="K76" s="188">
        <f>K74+K75</f>
        <v>278165000</v>
      </c>
    </row>
    <row r="77" spans="1:11" ht="18">
      <c r="A77" s="216"/>
      <c r="B77" s="205">
        <f t="shared" ref="B77:G77" si="1">SUM(B50:B76)</f>
        <v>128288000</v>
      </c>
      <c r="C77" s="205">
        <f t="shared" si="1"/>
        <v>174625000</v>
      </c>
      <c r="D77" s="164">
        <f t="shared" si="1"/>
        <v>302913000</v>
      </c>
      <c r="E77" s="165">
        <f t="shared" si="1"/>
        <v>80940000</v>
      </c>
      <c r="F77" s="163">
        <f t="shared" si="1"/>
        <v>221973000</v>
      </c>
      <c r="G77" s="166">
        <f t="shared" si="1"/>
        <v>93685000</v>
      </c>
      <c r="H77" s="152"/>
      <c r="I77" s="682" t="s">
        <v>176</v>
      </c>
      <c r="J77" s="682"/>
      <c r="K77" s="191">
        <f>K73-K76</f>
        <v>24748000</v>
      </c>
    </row>
    <row r="78" spans="1:11">
      <c r="A78" s="220"/>
      <c r="B78" s="152"/>
      <c r="C78" s="152"/>
      <c r="D78" s="152"/>
      <c r="E78" s="152"/>
      <c r="F78" s="152"/>
      <c r="G78" s="152"/>
      <c r="H78" s="152"/>
      <c r="I78" s="152"/>
      <c r="J78" s="152"/>
      <c r="K78" s="152"/>
    </row>
    <row r="79" spans="1:1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</row>
    <row r="80" spans="1:11">
      <c r="H80" s="152"/>
      <c r="I80" s="152"/>
      <c r="J80" s="152"/>
      <c r="K80" s="152"/>
    </row>
    <row r="81" spans="1:11">
      <c r="H81" s="152"/>
    </row>
    <row r="82" spans="1:11">
      <c r="A82" s="669" t="s">
        <v>259</v>
      </c>
      <c r="B82" s="670"/>
      <c r="C82" s="670"/>
      <c r="D82" s="670"/>
      <c r="E82" s="670"/>
      <c r="F82" s="81"/>
      <c r="G82" s="81"/>
      <c r="H82" s="152"/>
    </row>
    <row r="83" spans="1:11">
      <c r="A83" s="671"/>
      <c r="B83" s="671"/>
      <c r="C83" s="671"/>
      <c r="D83" s="671"/>
      <c r="E83" s="671"/>
      <c r="F83" s="81"/>
      <c r="G83" s="81"/>
      <c r="H83" s="152"/>
      <c r="I83" s="81"/>
      <c r="J83" s="81"/>
      <c r="K83" s="81"/>
    </row>
    <row r="84" spans="1:11" ht="15.75">
      <c r="A84" s="78"/>
      <c r="B84" s="79"/>
      <c r="C84" s="74"/>
      <c r="D84" s="80"/>
      <c r="E84" s="75"/>
      <c r="F84" s="80"/>
      <c r="G84" s="75"/>
      <c r="H84" s="189"/>
      <c r="I84" s="81"/>
      <c r="J84" s="81"/>
      <c r="K84" s="81"/>
    </row>
    <row r="85" spans="1:11" ht="15.75">
      <c r="A85" s="672" t="s">
        <v>1</v>
      </c>
      <c r="B85" s="674" t="s">
        <v>2</v>
      </c>
      <c r="C85" s="675"/>
      <c r="D85" s="676" t="s">
        <v>3</v>
      </c>
      <c r="E85" s="678" t="s">
        <v>4</v>
      </c>
      <c r="F85" s="676" t="s">
        <v>5</v>
      </c>
      <c r="G85" s="678" t="s">
        <v>6</v>
      </c>
      <c r="I85" s="71"/>
      <c r="J85" s="72"/>
      <c r="K85" s="73"/>
    </row>
    <row r="86" spans="1:11" ht="15.75">
      <c r="A86" s="673"/>
      <c r="B86" s="86" t="s">
        <v>8</v>
      </c>
      <c r="C86" s="596" t="s">
        <v>9</v>
      </c>
      <c r="D86" s="677"/>
      <c r="E86" s="679"/>
      <c r="F86" s="677"/>
      <c r="G86" s="679"/>
      <c r="I86" s="83" t="s">
        <v>7</v>
      </c>
      <c r="J86" s="84"/>
      <c r="K86" s="85"/>
    </row>
    <row r="87" spans="1:11">
      <c r="A87" s="91">
        <v>44743</v>
      </c>
      <c r="B87" s="92">
        <v>7700000</v>
      </c>
      <c r="C87" s="92">
        <v>23755000</v>
      </c>
      <c r="D87" s="93">
        <v>31455000</v>
      </c>
      <c r="E87" s="94">
        <v>4600000</v>
      </c>
      <c r="F87" s="92">
        <v>26855000</v>
      </c>
      <c r="G87" s="95">
        <v>19155000</v>
      </c>
      <c r="H87" s="81"/>
      <c r="I87" s="88" t="s">
        <v>1</v>
      </c>
      <c r="J87" s="89" t="s">
        <v>10</v>
      </c>
      <c r="K87" s="90" t="s">
        <v>11</v>
      </c>
    </row>
    <row r="88" spans="1:11">
      <c r="A88" s="146">
        <v>44744</v>
      </c>
      <c r="B88" s="147">
        <v>4825000</v>
      </c>
      <c r="C88" s="147">
        <v>9575000</v>
      </c>
      <c r="D88" s="93">
        <f>B88+C88</f>
        <v>14400000</v>
      </c>
      <c r="E88" s="94">
        <v>1265000</v>
      </c>
      <c r="F88" s="147">
        <f>D88-E88</f>
        <v>13135000</v>
      </c>
      <c r="G88" s="95">
        <f>C88-E88</f>
        <v>8310000</v>
      </c>
      <c r="H88" s="81"/>
      <c r="I88" s="91">
        <v>44747</v>
      </c>
      <c r="J88" s="96" t="s">
        <v>33</v>
      </c>
      <c r="K88" s="130">
        <v>25000000</v>
      </c>
    </row>
    <row r="89" spans="1:11">
      <c r="A89" s="126">
        <v>44745</v>
      </c>
      <c r="B89" s="127"/>
      <c r="C89" s="127"/>
      <c r="D89" s="127"/>
      <c r="E89" s="127"/>
      <c r="F89" s="127"/>
      <c r="G89" s="127"/>
      <c r="H89" s="70"/>
      <c r="I89" s="97">
        <v>44748</v>
      </c>
      <c r="J89" s="98" t="s">
        <v>34</v>
      </c>
      <c r="K89" s="131">
        <v>8800000</v>
      </c>
    </row>
    <row r="90" spans="1:11">
      <c r="A90" s="91">
        <v>44746</v>
      </c>
      <c r="B90" s="92">
        <v>5000000</v>
      </c>
      <c r="C90" s="92">
        <v>850000</v>
      </c>
      <c r="D90" s="93">
        <v>5850000</v>
      </c>
      <c r="E90" s="94">
        <v>1460000</v>
      </c>
      <c r="F90" s="92">
        <v>4390000</v>
      </c>
      <c r="G90" s="95">
        <v>-610000</v>
      </c>
      <c r="H90" s="82"/>
      <c r="I90" s="97">
        <v>44751</v>
      </c>
      <c r="J90" s="98" t="s">
        <v>35</v>
      </c>
      <c r="K90" s="131">
        <v>14500000</v>
      </c>
    </row>
    <row r="91" spans="1:11">
      <c r="A91" s="91">
        <v>44747</v>
      </c>
      <c r="B91" s="92">
        <v>7255000</v>
      </c>
      <c r="C91" s="92"/>
      <c r="D91" s="93">
        <v>7255000</v>
      </c>
      <c r="E91" s="94">
        <v>2265000</v>
      </c>
      <c r="F91" s="92">
        <v>4990000</v>
      </c>
      <c r="G91" s="95">
        <v>-2265000</v>
      </c>
      <c r="H91" s="82"/>
      <c r="I91" s="101">
        <v>44752</v>
      </c>
      <c r="J91" s="96" t="s">
        <v>36</v>
      </c>
      <c r="K91" s="132">
        <v>4500000</v>
      </c>
    </row>
    <row r="92" spans="1:11">
      <c r="A92" s="91">
        <v>44748</v>
      </c>
      <c r="B92" s="92">
        <v>7900000</v>
      </c>
      <c r="C92" s="92">
        <v>2265000</v>
      </c>
      <c r="D92" s="93">
        <v>10165000</v>
      </c>
      <c r="E92" s="94">
        <v>2100000</v>
      </c>
      <c r="F92" s="92">
        <v>8065000</v>
      </c>
      <c r="G92" s="95">
        <v>165000</v>
      </c>
      <c r="H92" s="85"/>
      <c r="I92" s="101">
        <v>44754</v>
      </c>
      <c r="J92" s="96" t="s">
        <v>37</v>
      </c>
      <c r="K92" s="132">
        <v>375000</v>
      </c>
    </row>
    <row r="93" spans="1:11">
      <c r="A93" s="91">
        <v>44749</v>
      </c>
      <c r="B93" s="92">
        <v>8000000</v>
      </c>
      <c r="C93" s="92">
        <v>6625000</v>
      </c>
      <c r="D93" s="93">
        <v>14625000</v>
      </c>
      <c r="E93" s="94">
        <v>2225000</v>
      </c>
      <c r="F93" s="92">
        <v>12400000</v>
      </c>
      <c r="G93" s="95">
        <v>4400000</v>
      </c>
      <c r="H93" s="85"/>
      <c r="I93" s="101">
        <v>44754</v>
      </c>
      <c r="J93" s="96" t="s">
        <v>38</v>
      </c>
      <c r="K93" s="132">
        <v>500000</v>
      </c>
    </row>
    <row r="94" spans="1:11">
      <c r="A94" s="146">
        <v>44750</v>
      </c>
      <c r="B94" s="147">
        <v>3475000</v>
      </c>
      <c r="C94" s="147">
        <v>8150000</v>
      </c>
      <c r="D94" s="147">
        <v>11625000</v>
      </c>
      <c r="E94" s="147">
        <v>3730000</v>
      </c>
      <c r="F94" s="147">
        <v>7895000</v>
      </c>
      <c r="G94" s="147">
        <v>4420000</v>
      </c>
      <c r="H94" s="100"/>
      <c r="I94" s="101">
        <v>44756</v>
      </c>
      <c r="J94" s="96" t="s">
        <v>33</v>
      </c>
      <c r="K94" s="132">
        <v>25000000</v>
      </c>
    </row>
    <row r="95" spans="1:11">
      <c r="A95" s="126">
        <v>44751</v>
      </c>
      <c r="B95" s="127"/>
      <c r="C95" s="127"/>
      <c r="D95" s="127"/>
      <c r="E95" s="127"/>
      <c r="F95" s="127"/>
      <c r="G95" s="127"/>
      <c r="H95" s="85"/>
      <c r="I95" s="101">
        <v>44757</v>
      </c>
      <c r="J95" s="96" t="s">
        <v>39</v>
      </c>
      <c r="K95" s="132">
        <v>2500000</v>
      </c>
    </row>
    <row r="96" spans="1:11">
      <c r="A96" s="126">
        <v>44752</v>
      </c>
      <c r="B96" s="127"/>
      <c r="C96" s="127"/>
      <c r="D96" s="127"/>
      <c r="E96" s="127"/>
      <c r="F96" s="127"/>
      <c r="G96" s="127"/>
      <c r="H96" s="85"/>
      <c r="I96" s="101">
        <v>44757</v>
      </c>
      <c r="J96" s="103" t="s">
        <v>40</v>
      </c>
      <c r="K96" s="129">
        <v>325000</v>
      </c>
    </row>
    <row r="97" spans="1:11">
      <c r="A97" s="91">
        <v>44753</v>
      </c>
      <c r="B97" s="92">
        <v>20202000</v>
      </c>
      <c r="C97" s="92">
        <v>8600000</v>
      </c>
      <c r="D97" s="93">
        <v>28802000</v>
      </c>
      <c r="E97" s="94">
        <v>3235000</v>
      </c>
      <c r="F97" s="92">
        <v>25567000</v>
      </c>
      <c r="G97" s="95">
        <v>5365000</v>
      </c>
      <c r="H97" s="85"/>
      <c r="I97" s="101">
        <v>44757</v>
      </c>
      <c r="J97" s="103" t="s">
        <v>41</v>
      </c>
      <c r="K97" s="129">
        <v>1300000</v>
      </c>
    </row>
    <row r="98" spans="1:11">
      <c r="A98" s="91">
        <v>44754</v>
      </c>
      <c r="B98" s="92">
        <v>4675000</v>
      </c>
      <c r="C98" s="92">
        <v>5650000</v>
      </c>
      <c r="D98" s="93">
        <v>10325000</v>
      </c>
      <c r="E98" s="94">
        <v>1315000</v>
      </c>
      <c r="F98" s="92">
        <v>9010000</v>
      </c>
      <c r="G98" s="95">
        <v>4335000</v>
      </c>
      <c r="H98" s="85"/>
      <c r="I98" s="91">
        <v>44757</v>
      </c>
      <c r="J98" s="128" t="s">
        <v>42</v>
      </c>
      <c r="K98" s="130">
        <v>500000</v>
      </c>
    </row>
    <row r="99" spans="1:11">
      <c r="A99" s="91">
        <v>44755</v>
      </c>
      <c r="B99" s="92">
        <v>4300000</v>
      </c>
      <c r="C99" s="92">
        <v>2125000</v>
      </c>
      <c r="D99" s="93">
        <v>6425000</v>
      </c>
      <c r="E99" s="94">
        <v>1920000</v>
      </c>
      <c r="F99" s="92">
        <v>4505000</v>
      </c>
      <c r="G99" s="95">
        <v>205000</v>
      </c>
      <c r="H99" s="85"/>
      <c r="I99" s="91">
        <v>44757</v>
      </c>
      <c r="J99" s="128" t="s">
        <v>43</v>
      </c>
      <c r="K99" s="130">
        <v>250000</v>
      </c>
    </row>
    <row r="100" spans="1:11">
      <c r="A100" s="91">
        <v>44756</v>
      </c>
      <c r="B100" s="92">
        <v>12920000</v>
      </c>
      <c r="C100" s="92">
        <v>1850000</v>
      </c>
      <c r="D100" s="93">
        <v>14770000</v>
      </c>
      <c r="E100" s="94">
        <v>1895000</v>
      </c>
      <c r="F100" s="92">
        <v>12875000</v>
      </c>
      <c r="G100" s="95">
        <v>-45000</v>
      </c>
      <c r="H100" s="102"/>
      <c r="I100" s="91">
        <v>44760</v>
      </c>
      <c r="J100" s="104" t="s">
        <v>33</v>
      </c>
      <c r="K100" s="133">
        <v>25000000</v>
      </c>
    </row>
    <row r="101" spans="1:11">
      <c r="A101" s="91">
        <v>44757</v>
      </c>
      <c r="B101" s="92">
        <v>3600000</v>
      </c>
      <c r="C101" s="92">
        <v>1330000</v>
      </c>
      <c r="D101" s="93">
        <v>4930000</v>
      </c>
      <c r="E101" s="94">
        <v>1815000</v>
      </c>
      <c r="F101" s="92">
        <v>3115000</v>
      </c>
      <c r="G101" s="95">
        <v>-485000</v>
      </c>
      <c r="H101" s="102"/>
      <c r="I101" s="91">
        <v>44760</v>
      </c>
      <c r="J101" s="103" t="s">
        <v>44</v>
      </c>
      <c r="K101" s="130">
        <v>4440000</v>
      </c>
    </row>
    <row r="102" spans="1:11">
      <c r="A102" s="91">
        <v>44758</v>
      </c>
      <c r="B102" s="92">
        <v>5800000</v>
      </c>
      <c r="C102" s="92">
        <v>150000</v>
      </c>
      <c r="D102" s="93">
        <v>5950000</v>
      </c>
      <c r="E102" s="94">
        <v>1090000</v>
      </c>
      <c r="F102" s="92">
        <v>4860000</v>
      </c>
      <c r="G102" s="95">
        <v>-940000</v>
      </c>
      <c r="H102" s="102"/>
      <c r="I102" s="91">
        <v>44762</v>
      </c>
      <c r="J102" s="103" t="s">
        <v>45</v>
      </c>
      <c r="K102" s="130">
        <v>1500000</v>
      </c>
    </row>
    <row r="103" spans="1:11">
      <c r="A103" s="126">
        <v>44759</v>
      </c>
      <c r="B103" s="148"/>
      <c r="C103" s="148"/>
      <c r="D103" s="127"/>
      <c r="E103" s="127"/>
      <c r="F103" s="127"/>
      <c r="G103" s="127"/>
      <c r="H103" s="102"/>
      <c r="I103" s="105">
        <v>44765</v>
      </c>
      <c r="J103" s="107" t="s">
        <v>46</v>
      </c>
      <c r="K103" s="133">
        <v>5500000</v>
      </c>
    </row>
    <row r="104" spans="1:11">
      <c r="A104" s="91">
        <v>44760</v>
      </c>
      <c r="B104" s="134">
        <v>3200000</v>
      </c>
      <c r="C104" s="134">
        <v>4375000</v>
      </c>
      <c r="D104" s="93">
        <v>7575000</v>
      </c>
      <c r="E104" s="94">
        <v>2980000</v>
      </c>
      <c r="F104" s="92">
        <v>4595000</v>
      </c>
      <c r="G104" s="95">
        <v>1395000</v>
      </c>
      <c r="H104" s="85"/>
      <c r="I104" s="105">
        <v>44767</v>
      </c>
      <c r="J104" s="98" t="s">
        <v>33</v>
      </c>
      <c r="K104" s="133">
        <v>25000000</v>
      </c>
    </row>
    <row r="105" spans="1:11">
      <c r="A105" s="91">
        <v>44761</v>
      </c>
      <c r="B105" s="134">
        <v>3900000</v>
      </c>
      <c r="C105" s="134">
        <v>3925000</v>
      </c>
      <c r="D105" s="93">
        <v>7825000</v>
      </c>
      <c r="E105" s="94">
        <v>2655000</v>
      </c>
      <c r="F105" s="92">
        <v>5170000</v>
      </c>
      <c r="G105" s="95">
        <v>1270000</v>
      </c>
      <c r="H105" s="85"/>
      <c r="I105" s="105">
        <v>44769</v>
      </c>
      <c r="J105" s="128" t="s">
        <v>33</v>
      </c>
      <c r="K105" s="135">
        <v>29500000</v>
      </c>
    </row>
    <row r="106" spans="1:11">
      <c r="A106" s="91">
        <v>44762</v>
      </c>
      <c r="B106" s="134"/>
      <c r="C106" s="134">
        <v>1475000</v>
      </c>
      <c r="D106" s="93">
        <v>1475000</v>
      </c>
      <c r="E106" s="94">
        <v>2310000</v>
      </c>
      <c r="F106" s="92">
        <v>-835000</v>
      </c>
      <c r="G106" s="95">
        <v>-835000</v>
      </c>
      <c r="H106" s="85"/>
      <c r="I106" s="105">
        <v>44772</v>
      </c>
      <c r="J106" s="107" t="s">
        <v>47</v>
      </c>
      <c r="K106" s="133">
        <v>26000000</v>
      </c>
    </row>
    <row r="107" spans="1:11">
      <c r="A107" s="91">
        <v>44763</v>
      </c>
      <c r="B107" s="136">
        <v>7550000</v>
      </c>
      <c r="C107" s="137">
        <v>300000</v>
      </c>
      <c r="D107" s="93">
        <v>7850000</v>
      </c>
      <c r="E107" s="138">
        <v>2825000</v>
      </c>
      <c r="F107" s="92">
        <v>5025000</v>
      </c>
      <c r="G107" s="95">
        <v>-2525000</v>
      </c>
      <c r="H107" s="102"/>
      <c r="I107" s="108"/>
      <c r="J107" s="103"/>
      <c r="K107" s="130"/>
    </row>
    <row r="108" spans="1:11">
      <c r="A108" s="91">
        <v>44764</v>
      </c>
      <c r="B108" s="134">
        <v>7766000</v>
      </c>
      <c r="C108" s="134">
        <v>1150000</v>
      </c>
      <c r="D108" s="93">
        <v>8916000</v>
      </c>
      <c r="E108" s="94">
        <v>1415000</v>
      </c>
      <c r="F108" s="92">
        <v>7501000</v>
      </c>
      <c r="G108" s="95">
        <v>-265000</v>
      </c>
      <c r="H108" s="106"/>
      <c r="I108" s="105"/>
      <c r="J108" s="107"/>
      <c r="K108" s="99"/>
    </row>
    <row r="109" spans="1:11">
      <c r="A109" s="91">
        <v>44765</v>
      </c>
      <c r="B109" s="134">
        <v>3100000</v>
      </c>
      <c r="C109" s="134">
        <v>3225000</v>
      </c>
      <c r="D109" s="93">
        <v>6325000</v>
      </c>
      <c r="E109" s="94">
        <v>2310000</v>
      </c>
      <c r="F109" s="92">
        <v>4015000</v>
      </c>
      <c r="G109" s="95">
        <v>915000</v>
      </c>
      <c r="H109" s="106"/>
      <c r="I109" s="105"/>
      <c r="J109" s="107"/>
      <c r="K109" s="99"/>
    </row>
    <row r="110" spans="1:11">
      <c r="A110" s="149">
        <v>44766</v>
      </c>
      <c r="B110" s="150"/>
      <c r="C110" s="150"/>
      <c r="D110" s="127"/>
      <c r="E110" s="151"/>
      <c r="F110" s="127"/>
      <c r="G110" s="127"/>
      <c r="H110" s="81"/>
      <c r="I110" s="105"/>
      <c r="J110" s="107"/>
      <c r="K110" s="99"/>
    </row>
    <row r="111" spans="1:11">
      <c r="A111" s="91">
        <v>44767</v>
      </c>
      <c r="B111" s="134"/>
      <c r="C111" s="134">
        <v>12900000</v>
      </c>
      <c r="D111" s="93">
        <v>12900000</v>
      </c>
      <c r="E111" s="94">
        <v>2515000</v>
      </c>
      <c r="F111" s="92">
        <f>D111-E111</f>
        <v>10385000</v>
      </c>
      <c r="G111" s="95">
        <f>C111-E111</f>
        <v>10385000</v>
      </c>
      <c r="H111" s="81"/>
      <c r="I111" s="105"/>
      <c r="J111" s="107"/>
      <c r="K111" s="99"/>
    </row>
    <row r="112" spans="1:11">
      <c r="A112" s="91">
        <v>44768</v>
      </c>
      <c r="B112" s="134">
        <v>6430000</v>
      </c>
      <c r="C112" s="134">
        <v>6880000</v>
      </c>
      <c r="D112" s="93">
        <v>13310000</v>
      </c>
      <c r="E112" s="94">
        <v>5000000</v>
      </c>
      <c r="F112" s="92">
        <v>8310000</v>
      </c>
      <c r="G112" s="95">
        <v>1880000</v>
      </c>
      <c r="H112" s="109"/>
      <c r="I112" s="105"/>
      <c r="J112" s="107"/>
      <c r="K112" s="99"/>
    </row>
    <row r="113" spans="1:11">
      <c r="A113" s="91">
        <v>44769</v>
      </c>
      <c r="B113" s="134">
        <v>500000</v>
      </c>
      <c r="C113" s="134">
        <v>3450000</v>
      </c>
      <c r="D113" s="93">
        <v>3950000</v>
      </c>
      <c r="E113" s="94">
        <v>2455000</v>
      </c>
      <c r="F113" s="92">
        <v>1495000</v>
      </c>
      <c r="G113" s="95">
        <v>995000</v>
      </c>
      <c r="H113" s="81"/>
      <c r="I113" s="105"/>
      <c r="J113" s="107"/>
      <c r="K113" s="99"/>
    </row>
    <row r="114" spans="1:11">
      <c r="A114" s="139">
        <v>44770</v>
      </c>
      <c r="B114" s="140">
        <v>21883000</v>
      </c>
      <c r="C114" s="140">
        <v>2200000</v>
      </c>
      <c r="D114" s="141">
        <v>24083000</v>
      </c>
      <c r="E114" s="142">
        <v>2185000</v>
      </c>
      <c r="F114" s="143">
        <v>21898000</v>
      </c>
      <c r="G114" s="144">
        <v>15000</v>
      </c>
      <c r="H114" s="81"/>
      <c r="I114" s="105"/>
      <c r="J114" s="107"/>
      <c r="K114" s="99"/>
    </row>
    <row r="115" spans="1:11">
      <c r="A115" s="91">
        <v>44771</v>
      </c>
      <c r="B115" s="134">
        <v>770000</v>
      </c>
      <c r="C115" s="134">
        <v>8750000</v>
      </c>
      <c r="D115" s="93">
        <f>B115+C115</f>
        <v>9520000</v>
      </c>
      <c r="E115" s="94">
        <v>1730000</v>
      </c>
      <c r="F115" s="92">
        <f>D115-E115</f>
        <v>7790000</v>
      </c>
      <c r="G115" s="95">
        <f>C115-E115</f>
        <v>7020000</v>
      </c>
      <c r="H115" s="109"/>
      <c r="I115" s="105"/>
      <c r="J115" s="107"/>
      <c r="K115" s="99"/>
    </row>
    <row r="116" spans="1:11">
      <c r="A116" s="91">
        <v>44772</v>
      </c>
      <c r="B116" s="134">
        <v>4000000</v>
      </c>
      <c r="C116" s="134">
        <v>5250000</v>
      </c>
      <c r="D116" s="93">
        <f>B116+C116</f>
        <v>9250000</v>
      </c>
      <c r="E116" s="94">
        <v>1205000</v>
      </c>
      <c r="F116" s="92">
        <f>D116-E116</f>
        <v>8045000</v>
      </c>
      <c r="G116" s="95">
        <v>-1205000</v>
      </c>
      <c r="H116" s="81"/>
      <c r="I116" s="105"/>
      <c r="J116" s="107"/>
      <c r="K116" s="99"/>
    </row>
    <row r="117" spans="1:11">
      <c r="A117" s="91"/>
      <c r="B117" s="134"/>
      <c r="C117" s="134"/>
      <c r="D117" s="93"/>
      <c r="E117" s="94"/>
      <c r="F117" s="92"/>
      <c r="G117" s="95"/>
      <c r="H117" s="81"/>
      <c r="I117" s="110"/>
      <c r="J117" s="103"/>
      <c r="K117" s="111">
        <v>200490000</v>
      </c>
    </row>
    <row r="118" spans="1:11">
      <c r="A118" s="91"/>
      <c r="B118" s="134"/>
      <c r="C118" s="134"/>
      <c r="D118" s="93"/>
      <c r="E118" s="94"/>
      <c r="F118" s="92"/>
      <c r="G118" s="95"/>
      <c r="H118" s="81"/>
      <c r="I118" s="106"/>
      <c r="J118" s="81"/>
      <c r="K118" s="81"/>
    </row>
    <row r="119" spans="1:11" ht="15.75">
      <c r="A119" s="145"/>
      <c r="B119" s="134"/>
      <c r="C119" s="134"/>
      <c r="D119" s="93"/>
      <c r="E119" s="94"/>
      <c r="F119" s="92"/>
      <c r="G119" s="95"/>
      <c r="H119" s="81"/>
      <c r="I119" s="112" t="s">
        <v>27</v>
      </c>
      <c r="J119" s="113" t="s">
        <v>28</v>
      </c>
      <c r="K119" s="114">
        <f>B120+C120</f>
        <v>279556000</v>
      </c>
    </row>
    <row r="120" spans="1:11" ht="15.75">
      <c r="A120" s="91"/>
      <c r="B120" s="121">
        <f t="shared" ref="B120:G120" si="2">SUM(B87:B119)</f>
        <v>154751000</v>
      </c>
      <c r="C120" s="121">
        <f t="shared" si="2"/>
        <v>124805000</v>
      </c>
      <c r="D120" s="122">
        <f t="shared" si="2"/>
        <v>279556000</v>
      </c>
      <c r="E120" s="123">
        <f t="shared" si="2"/>
        <v>58500000</v>
      </c>
      <c r="F120" s="124">
        <f t="shared" si="2"/>
        <v>221056000</v>
      </c>
      <c r="G120" s="125">
        <f t="shared" si="2"/>
        <v>61055000</v>
      </c>
      <c r="H120" s="81"/>
      <c r="I120" s="115"/>
      <c r="J120" s="116" t="s">
        <v>29</v>
      </c>
      <c r="K120" s="117">
        <v>58500000</v>
      </c>
    </row>
    <row r="121" spans="1:11" ht="15.75">
      <c r="A121" s="81"/>
      <c r="B121" s="81"/>
      <c r="C121" s="81"/>
      <c r="D121" s="81"/>
      <c r="E121" s="81"/>
      <c r="F121" s="81"/>
      <c r="G121" s="81"/>
      <c r="H121" s="81"/>
      <c r="I121" s="115"/>
      <c r="J121" s="116" t="s">
        <v>30</v>
      </c>
      <c r="K121" s="117">
        <v>200490000</v>
      </c>
    </row>
    <row r="122" spans="1:11" ht="15.75">
      <c r="A122" s="81"/>
      <c r="B122" s="81"/>
      <c r="C122" s="81"/>
      <c r="D122" s="81"/>
      <c r="E122" s="81"/>
      <c r="F122" s="81"/>
      <c r="G122" s="81"/>
      <c r="H122" s="81"/>
      <c r="I122" s="115"/>
      <c r="J122" s="116" t="s">
        <v>31</v>
      </c>
      <c r="K122" s="117">
        <f>K120+K121</f>
        <v>258990000</v>
      </c>
    </row>
    <row r="123" spans="1:11" ht="15.75">
      <c r="A123" s="81"/>
      <c r="B123" s="81"/>
      <c r="C123" s="81"/>
      <c r="D123" s="81"/>
      <c r="E123" s="81"/>
      <c r="F123" s="81"/>
      <c r="G123" s="81"/>
      <c r="H123" s="81"/>
      <c r="I123" s="115"/>
      <c r="J123" s="119"/>
      <c r="K123" s="114"/>
    </row>
    <row r="124" spans="1:11" ht="18">
      <c r="H124" s="81"/>
      <c r="I124" s="693" t="s">
        <v>176</v>
      </c>
      <c r="J124" s="693"/>
      <c r="K124" s="120">
        <f>K119-K122</f>
        <v>20566000</v>
      </c>
    </row>
    <row r="125" spans="1:11">
      <c r="H125" s="118"/>
    </row>
    <row r="126" spans="1:11">
      <c r="H126" s="81"/>
    </row>
    <row r="127" spans="1:11">
      <c r="A127" s="222"/>
      <c r="B127" s="221"/>
      <c r="C127" s="221"/>
      <c r="D127" s="221"/>
      <c r="E127" s="221"/>
      <c r="F127" s="221"/>
      <c r="G127" s="222"/>
      <c r="H127" s="81"/>
    </row>
    <row r="128" spans="1:11">
      <c r="A128" s="221"/>
      <c r="B128" s="221"/>
      <c r="C128" s="221"/>
      <c r="D128" s="221"/>
      <c r="E128" s="221"/>
      <c r="F128" s="221"/>
      <c r="G128" s="221"/>
      <c r="H128" s="81"/>
      <c r="I128" s="221"/>
      <c r="J128" s="221"/>
      <c r="K128" s="221"/>
    </row>
    <row r="129" spans="1:11">
      <c r="A129" s="221"/>
      <c r="B129" s="221"/>
      <c r="C129" s="221"/>
      <c r="D129" s="221"/>
      <c r="E129" s="221"/>
      <c r="F129" s="221"/>
      <c r="G129" s="221"/>
      <c r="I129" s="221"/>
      <c r="J129" s="221"/>
      <c r="K129" s="221"/>
    </row>
    <row r="130" spans="1:11">
      <c r="A130" s="221"/>
      <c r="B130" s="221"/>
      <c r="C130" s="221"/>
      <c r="D130" s="221"/>
      <c r="E130" s="221"/>
      <c r="F130" s="221"/>
      <c r="G130" s="221"/>
      <c r="I130" s="221"/>
      <c r="J130" s="221"/>
      <c r="K130" s="221"/>
    </row>
    <row r="131" spans="1:11">
      <c r="A131" s="221"/>
      <c r="B131" s="221"/>
      <c r="C131" s="221"/>
      <c r="D131" s="221"/>
      <c r="E131" s="221"/>
      <c r="F131" s="221"/>
      <c r="G131" s="221"/>
      <c r="I131" s="221"/>
      <c r="J131" s="221"/>
      <c r="K131" s="221"/>
    </row>
    <row r="132" spans="1:11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</row>
    <row r="133" spans="1:11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</row>
    <row r="134" spans="1:11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</row>
    <row r="135" spans="1:11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</row>
    <row r="136" spans="1:11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</row>
    <row r="137" spans="1:11">
      <c r="H137" s="221"/>
      <c r="I137" s="221"/>
      <c r="J137" s="221"/>
      <c r="K137" s="221"/>
    </row>
    <row r="138" spans="1:11">
      <c r="A138" s="221"/>
      <c r="B138" s="221"/>
      <c r="C138" s="221"/>
      <c r="D138" s="221"/>
      <c r="E138" s="221"/>
      <c r="F138" s="221"/>
      <c r="G138" s="221"/>
      <c r="H138" s="221"/>
    </row>
    <row r="139" spans="1:11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</row>
    <row r="140" spans="1:11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</row>
    <row r="141" spans="1:11">
      <c r="H141" s="221"/>
      <c r="I141" s="221"/>
      <c r="J141" s="221"/>
      <c r="K141" s="221"/>
    </row>
    <row r="142" spans="1:11">
      <c r="A142" s="222"/>
      <c r="B142" s="221"/>
      <c r="C142" s="221"/>
      <c r="D142" s="221"/>
      <c r="E142" s="221"/>
      <c r="F142" s="221"/>
      <c r="G142" s="222"/>
    </row>
    <row r="143" spans="1:11">
      <c r="A143" s="221"/>
      <c r="B143" s="221"/>
      <c r="C143" s="221"/>
      <c r="D143" s="221"/>
      <c r="E143" s="221"/>
      <c r="F143" s="221"/>
      <c r="G143" s="221"/>
      <c r="H143" s="221"/>
      <c r="I143" s="598"/>
      <c r="J143" s="598"/>
      <c r="K143" s="598"/>
    </row>
    <row r="144" spans="1:11">
      <c r="A144" s="221"/>
      <c r="B144" s="221"/>
      <c r="C144" s="221"/>
      <c r="D144" s="221"/>
      <c r="E144" s="221"/>
      <c r="F144" s="221"/>
      <c r="G144" s="221"/>
      <c r="H144" s="221"/>
      <c r="I144" s="598"/>
      <c r="J144" s="598"/>
      <c r="K144" s="598"/>
    </row>
    <row r="145" spans="1:11">
      <c r="A145" s="221"/>
      <c r="B145" s="221"/>
      <c r="C145" s="221"/>
      <c r="D145" s="221"/>
      <c r="E145" s="221"/>
      <c r="F145" s="221"/>
      <c r="G145" s="221"/>
      <c r="H145" s="221"/>
      <c r="I145" s="221"/>
      <c r="J145" s="598"/>
      <c r="K145" s="598"/>
    </row>
    <row r="146" spans="1:11">
      <c r="A146" s="221"/>
      <c r="B146" s="221"/>
      <c r="C146" s="221"/>
      <c r="D146" s="221"/>
      <c r="E146" s="221"/>
      <c r="F146" s="221"/>
      <c r="G146" s="221"/>
      <c r="I146" s="221"/>
      <c r="J146" s="598"/>
      <c r="K146" s="598"/>
    </row>
    <row r="147" spans="1:11">
      <c r="A147" s="221"/>
      <c r="B147" s="221"/>
      <c r="C147" s="221"/>
      <c r="D147" s="221"/>
      <c r="E147" s="221"/>
      <c r="F147" s="221"/>
      <c r="G147" s="221"/>
      <c r="H147" s="221"/>
      <c r="I147" s="221"/>
      <c r="J147" s="598"/>
      <c r="K147" s="598"/>
    </row>
    <row r="148" spans="1:11">
      <c r="A148" s="221"/>
      <c r="B148" s="221"/>
      <c r="C148" s="221"/>
      <c r="D148" s="221"/>
      <c r="E148" s="221"/>
      <c r="F148" s="221"/>
      <c r="G148" s="221"/>
      <c r="H148" s="221"/>
      <c r="I148" s="221"/>
      <c r="J148" s="598"/>
      <c r="K148" s="598"/>
    </row>
    <row r="149" spans="1:11">
      <c r="A149" s="221"/>
      <c r="B149" s="221"/>
      <c r="C149" s="221"/>
      <c r="D149" s="221"/>
      <c r="E149" s="221"/>
      <c r="F149" s="221"/>
      <c r="G149" s="221"/>
      <c r="H149" s="221"/>
      <c r="I149" s="221"/>
      <c r="J149" s="598"/>
      <c r="K149" s="598"/>
    </row>
    <row r="150" spans="1:11">
      <c r="A150" s="221"/>
      <c r="B150" s="221"/>
      <c r="C150" s="221"/>
      <c r="D150" s="221"/>
      <c r="E150" s="221"/>
      <c r="F150" s="221"/>
      <c r="G150" s="221"/>
      <c r="H150" s="221"/>
      <c r="I150" s="221"/>
      <c r="J150" s="598"/>
      <c r="K150" s="598"/>
    </row>
    <row r="151" spans="1:11">
      <c r="A151" s="221"/>
      <c r="B151" s="221"/>
      <c r="C151" s="221"/>
      <c r="D151" s="221"/>
      <c r="E151" s="221"/>
      <c r="F151" s="221"/>
      <c r="G151" s="221"/>
      <c r="H151" s="221"/>
      <c r="I151" s="221"/>
      <c r="J151" s="598"/>
      <c r="K151" s="598"/>
    </row>
    <row r="152" spans="1:11">
      <c r="H152" s="221"/>
      <c r="I152" s="221"/>
      <c r="J152" s="598"/>
      <c r="K152" s="598"/>
    </row>
    <row r="153" spans="1:11">
      <c r="H153" s="221"/>
    </row>
    <row r="154" spans="1:11">
      <c r="H154" s="221"/>
    </row>
    <row r="155" spans="1:11">
      <c r="H155" s="221"/>
    </row>
    <row r="156" spans="1:11">
      <c r="A156" s="221"/>
      <c r="B156" s="221"/>
      <c r="C156" s="221"/>
      <c r="D156" s="221"/>
      <c r="E156" s="221"/>
      <c r="F156" s="221"/>
      <c r="G156" s="221"/>
      <c r="H156" s="221"/>
    </row>
    <row r="157" spans="1:11">
      <c r="A157" s="221"/>
      <c r="B157" s="221"/>
      <c r="C157" s="221"/>
      <c r="D157" s="221"/>
      <c r="E157" s="221"/>
      <c r="F157" s="221"/>
      <c r="G157" s="221"/>
      <c r="I157" s="221"/>
      <c r="J157" s="221"/>
      <c r="K157" s="221"/>
    </row>
    <row r="158" spans="1:11">
      <c r="A158" s="221"/>
      <c r="B158" s="221"/>
      <c r="C158" s="221"/>
      <c r="D158" s="221"/>
      <c r="E158" s="221"/>
      <c r="F158" s="221"/>
      <c r="G158" s="221"/>
      <c r="I158" s="221"/>
      <c r="J158" s="221"/>
      <c r="K158" s="221"/>
    </row>
    <row r="159" spans="1:11">
      <c r="I159" s="221"/>
      <c r="J159" s="221"/>
      <c r="K159" s="221"/>
    </row>
    <row r="160" spans="1:11">
      <c r="A160" s="659" t="s">
        <v>0</v>
      </c>
      <c r="B160" s="660"/>
      <c r="C160" s="660"/>
      <c r="D160" s="660"/>
      <c r="E160" s="660"/>
      <c r="F160" s="1"/>
      <c r="G160" s="1"/>
    </row>
    <row r="161" spans="1:11">
      <c r="A161" s="661"/>
      <c r="B161" s="661"/>
      <c r="C161" s="661"/>
      <c r="D161" s="661"/>
      <c r="E161" s="661"/>
      <c r="F161" s="1"/>
      <c r="G161" s="1"/>
      <c r="H161" s="221"/>
      <c r="I161" s="1"/>
      <c r="J161" s="1"/>
      <c r="K161" s="1"/>
    </row>
    <row r="162" spans="1:11">
      <c r="H162" s="221"/>
      <c r="I162" s="1"/>
      <c r="J162" s="1"/>
      <c r="K162" s="1"/>
    </row>
    <row r="163" spans="1:11" ht="15" customHeight="1">
      <c r="A163" s="662" t="s">
        <v>1</v>
      </c>
      <c r="B163" s="664" t="s">
        <v>2</v>
      </c>
      <c r="C163" s="665"/>
      <c r="D163" s="666" t="s">
        <v>3</v>
      </c>
      <c r="E163" s="656" t="s">
        <v>4</v>
      </c>
      <c r="F163" s="666" t="s">
        <v>5</v>
      </c>
      <c r="G163" s="656" t="s">
        <v>6</v>
      </c>
      <c r="H163" s="221"/>
    </row>
    <row r="164" spans="1:11" ht="15.75">
      <c r="A164" s="663"/>
      <c r="B164" s="6" t="s">
        <v>8</v>
      </c>
      <c r="C164" s="595" t="s">
        <v>9</v>
      </c>
      <c r="D164" s="667"/>
      <c r="E164" s="657"/>
      <c r="F164" s="667"/>
      <c r="G164" s="657"/>
      <c r="I164" s="3" t="s">
        <v>7</v>
      </c>
      <c r="J164" s="4"/>
      <c r="K164" s="5"/>
    </row>
    <row r="165" spans="1:11">
      <c r="A165" s="11">
        <v>44774</v>
      </c>
      <c r="B165" s="12">
        <v>6400000</v>
      </c>
      <c r="C165" s="12">
        <v>3825000</v>
      </c>
      <c r="D165" s="13">
        <v>10225000</v>
      </c>
      <c r="E165" s="14">
        <v>4615000</v>
      </c>
      <c r="F165" s="12">
        <v>5610000</v>
      </c>
      <c r="G165" s="15">
        <v>-790000</v>
      </c>
      <c r="H165" s="1"/>
      <c r="I165" s="8" t="s">
        <v>1</v>
      </c>
      <c r="J165" s="9" t="s">
        <v>10</v>
      </c>
      <c r="K165" s="10" t="s">
        <v>11</v>
      </c>
    </row>
    <row r="166" spans="1:11" ht="15.75" customHeight="1">
      <c r="A166" s="66">
        <v>44775</v>
      </c>
      <c r="B166" s="67">
        <v>185000</v>
      </c>
      <c r="C166" s="67">
        <v>13705000</v>
      </c>
      <c r="D166" s="13">
        <f>B166+C166</f>
        <v>13890000</v>
      </c>
      <c r="E166" s="14">
        <v>2150000</v>
      </c>
      <c r="F166" s="67">
        <f>D166-E166</f>
        <v>11740000</v>
      </c>
      <c r="G166" s="15">
        <f>C166-E166</f>
        <v>11555000</v>
      </c>
      <c r="H166" s="1"/>
      <c r="I166" s="11">
        <v>44776</v>
      </c>
      <c r="J166" s="16" t="s">
        <v>12</v>
      </c>
      <c r="K166" s="50">
        <v>12800000</v>
      </c>
    </row>
    <row r="167" spans="1:11">
      <c r="A167" s="66">
        <v>44776</v>
      </c>
      <c r="B167" s="67">
        <v>17135000</v>
      </c>
      <c r="C167" s="67">
        <v>7675000</v>
      </c>
      <c r="D167" s="13">
        <v>24810000</v>
      </c>
      <c r="E167" s="14">
        <v>4715000</v>
      </c>
      <c r="F167" s="67">
        <v>20095000</v>
      </c>
      <c r="G167" s="15">
        <v>2960000</v>
      </c>
      <c r="I167" s="17">
        <v>44779</v>
      </c>
      <c r="J167" s="18" t="s">
        <v>13</v>
      </c>
      <c r="K167" s="51">
        <v>30000000</v>
      </c>
    </row>
    <row r="168" spans="1:11">
      <c r="A168" s="11">
        <v>44777</v>
      </c>
      <c r="B168" s="12">
        <v>1800000</v>
      </c>
      <c r="C168" s="12">
        <v>12220000</v>
      </c>
      <c r="D168" s="13">
        <f>B168+C168</f>
        <v>14020000</v>
      </c>
      <c r="E168" s="14">
        <v>1380000</v>
      </c>
      <c r="F168" s="12">
        <f>D168-E168</f>
        <v>12640000</v>
      </c>
      <c r="G168" s="15">
        <f>C168-E168</f>
        <v>10840000</v>
      </c>
      <c r="H168" s="2"/>
      <c r="I168" s="17">
        <v>44782</v>
      </c>
      <c r="J168" s="18" t="s">
        <v>14</v>
      </c>
      <c r="K168" s="51">
        <v>1700000</v>
      </c>
    </row>
    <row r="169" spans="1:11">
      <c r="A169" s="11">
        <v>44778</v>
      </c>
      <c r="B169" s="12">
        <v>7250000</v>
      </c>
      <c r="C169" s="12">
        <v>750000</v>
      </c>
      <c r="D169" s="13">
        <v>8000000</v>
      </c>
      <c r="E169" s="14">
        <v>2160000</v>
      </c>
      <c r="F169" s="12">
        <v>5840000</v>
      </c>
      <c r="G169" s="15">
        <v>-1410000</v>
      </c>
      <c r="H169" s="2"/>
      <c r="I169" s="21">
        <v>44784</v>
      </c>
      <c r="J169" s="16" t="s">
        <v>15</v>
      </c>
      <c r="K169" s="52">
        <v>3500000</v>
      </c>
    </row>
    <row r="170" spans="1:11" ht="16.5" customHeight="1">
      <c r="A170" s="11">
        <v>44779</v>
      </c>
      <c r="B170" s="12">
        <v>6875000</v>
      </c>
      <c r="C170" s="12">
        <v>3950000</v>
      </c>
      <c r="D170" s="13">
        <v>10825000</v>
      </c>
      <c r="E170" s="14">
        <v>3505000</v>
      </c>
      <c r="F170" s="12">
        <v>7320000</v>
      </c>
      <c r="G170" s="15">
        <v>445000</v>
      </c>
      <c r="H170" s="5"/>
      <c r="I170" s="21">
        <v>44785</v>
      </c>
      <c r="J170" s="23" t="s">
        <v>16</v>
      </c>
      <c r="K170" s="49">
        <v>1025000</v>
      </c>
    </row>
    <row r="171" spans="1:11">
      <c r="A171" s="46">
        <v>44780</v>
      </c>
      <c r="B171" s="47"/>
      <c r="C171" s="47"/>
      <c r="D171" s="47"/>
      <c r="E171" s="47"/>
      <c r="F171" s="47"/>
      <c r="G171" s="47"/>
      <c r="H171" s="5"/>
      <c r="I171" s="11">
        <v>44786</v>
      </c>
      <c r="J171" s="48" t="s">
        <v>17</v>
      </c>
      <c r="K171" s="50">
        <v>1000000</v>
      </c>
    </row>
    <row r="172" spans="1:11">
      <c r="A172" s="11">
        <v>44781</v>
      </c>
      <c r="B172" s="12">
        <v>3500000</v>
      </c>
      <c r="C172" s="12">
        <v>13280000</v>
      </c>
      <c r="D172" s="13">
        <v>16780000</v>
      </c>
      <c r="E172" s="14">
        <v>2075000</v>
      </c>
      <c r="F172" s="12">
        <v>14705000</v>
      </c>
      <c r="G172" s="15">
        <v>11205000</v>
      </c>
      <c r="H172" s="20"/>
      <c r="I172" s="11">
        <v>44787</v>
      </c>
      <c r="J172" s="24" t="s">
        <v>18</v>
      </c>
      <c r="K172" s="53">
        <v>3000000</v>
      </c>
    </row>
    <row r="173" spans="1:11">
      <c r="A173" s="11">
        <v>44782</v>
      </c>
      <c r="B173" s="12">
        <v>2250000</v>
      </c>
      <c r="C173" s="12">
        <v>1850000</v>
      </c>
      <c r="D173" s="13">
        <v>4100000</v>
      </c>
      <c r="E173" s="14">
        <v>2250000</v>
      </c>
      <c r="F173" s="12">
        <v>1850000</v>
      </c>
      <c r="G173" s="15">
        <v>-400000</v>
      </c>
      <c r="H173" s="5"/>
      <c r="I173" s="11">
        <v>44788</v>
      </c>
      <c r="J173" s="23" t="s">
        <v>19</v>
      </c>
      <c r="K173" s="50">
        <v>700000</v>
      </c>
    </row>
    <row r="174" spans="1:11">
      <c r="A174" s="11">
        <v>44783</v>
      </c>
      <c r="B174" s="12">
        <v>225000</v>
      </c>
      <c r="C174" s="12">
        <v>5950000</v>
      </c>
      <c r="D174" s="13">
        <v>6175000</v>
      </c>
      <c r="E174" s="14">
        <v>1490000</v>
      </c>
      <c r="F174" s="12">
        <v>4685000</v>
      </c>
      <c r="G174" s="15">
        <v>4460000</v>
      </c>
      <c r="H174" s="22"/>
      <c r="I174" s="11">
        <v>44788</v>
      </c>
      <c r="J174" s="23" t="s">
        <v>20</v>
      </c>
      <c r="K174" s="50">
        <v>15000000</v>
      </c>
    </row>
    <row r="175" spans="1:11">
      <c r="A175" s="11">
        <v>44784</v>
      </c>
      <c r="B175" s="54">
        <v>3900000</v>
      </c>
      <c r="C175" s="54">
        <v>400000</v>
      </c>
      <c r="D175" s="13">
        <v>4300000</v>
      </c>
      <c r="E175" s="14">
        <v>1970000</v>
      </c>
      <c r="F175" s="12">
        <v>2330000</v>
      </c>
      <c r="G175" s="15">
        <v>-1570000</v>
      </c>
      <c r="H175" s="22"/>
      <c r="I175" s="25">
        <v>44789</v>
      </c>
      <c r="J175" s="27" t="s">
        <v>20</v>
      </c>
      <c r="K175" s="53">
        <v>10000000</v>
      </c>
    </row>
    <row r="176" spans="1:11">
      <c r="A176" s="11">
        <v>44785</v>
      </c>
      <c r="B176" s="54"/>
      <c r="C176" s="54">
        <v>6350000</v>
      </c>
      <c r="D176" s="13">
        <v>6350000</v>
      </c>
      <c r="E176" s="14">
        <v>1130000</v>
      </c>
      <c r="F176" s="12">
        <v>5220000</v>
      </c>
      <c r="G176" s="15">
        <v>5220000</v>
      </c>
      <c r="H176" s="5"/>
      <c r="I176" s="25">
        <v>44789</v>
      </c>
      <c r="J176" s="18" t="s">
        <v>21</v>
      </c>
      <c r="K176" s="53">
        <v>1000000</v>
      </c>
    </row>
    <row r="177" spans="1:17">
      <c r="A177" s="11">
        <v>44786</v>
      </c>
      <c r="B177" s="54">
        <v>500000</v>
      </c>
      <c r="C177" s="54">
        <v>4100000</v>
      </c>
      <c r="D177" s="13">
        <v>4600000</v>
      </c>
      <c r="E177" s="14">
        <v>2890000</v>
      </c>
      <c r="F177" s="12">
        <v>1710000</v>
      </c>
      <c r="G177" s="15">
        <v>1210000</v>
      </c>
      <c r="H177" s="5"/>
      <c r="I177" s="25">
        <v>44792</v>
      </c>
      <c r="J177" s="48" t="s">
        <v>20</v>
      </c>
      <c r="K177" s="55">
        <v>10000000</v>
      </c>
      <c r="M177" s="221"/>
      <c r="N177" s="221"/>
      <c r="O177" s="221"/>
      <c r="P177" s="221"/>
      <c r="Q177" s="221"/>
    </row>
    <row r="178" spans="1:17">
      <c r="A178" s="46">
        <v>44787</v>
      </c>
      <c r="B178" s="68"/>
      <c r="C178" s="68"/>
      <c r="D178" s="47"/>
      <c r="E178" s="47"/>
      <c r="F178" s="47"/>
      <c r="G178" s="47"/>
      <c r="H178" s="5"/>
      <c r="I178" s="25">
        <v>44792</v>
      </c>
      <c r="J178" s="27" t="s">
        <v>20</v>
      </c>
      <c r="K178" s="53">
        <v>5000000</v>
      </c>
    </row>
    <row r="179" spans="1:17">
      <c r="A179" s="11">
        <v>44788</v>
      </c>
      <c r="B179" s="56">
        <v>5200000</v>
      </c>
      <c r="C179" s="57">
        <v>5500000</v>
      </c>
      <c r="D179" s="13">
        <v>10700000</v>
      </c>
      <c r="E179" s="58">
        <v>2185000</v>
      </c>
      <c r="F179" s="12">
        <v>8515000</v>
      </c>
      <c r="G179" s="15">
        <v>3315000</v>
      </c>
      <c r="H179" s="22"/>
      <c r="I179" s="28">
        <v>44796</v>
      </c>
      <c r="J179" s="23" t="s">
        <v>22</v>
      </c>
      <c r="K179" s="50">
        <v>5500000</v>
      </c>
    </row>
    <row r="180" spans="1:17">
      <c r="A180" s="11">
        <v>44789</v>
      </c>
      <c r="B180" s="54">
        <v>12775000</v>
      </c>
      <c r="C180" s="54">
        <v>2300000</v>
      </c>
      <c r="D180" s="13">
        <v>15075000</v>
      </c>
      <c r="E180" s="14">
        <v>2490000</v>
      </c>
      <c r="F180" s="12">
        <v>12585000</v>
      </c>
      <c r="G180" s="15">
        <v>-190000</v>
      </c>
      <c r="H180" s="26"/>
      <c r="I180" s="25">
        <v>44797</v>
      </c>
      <c r="J180" s="27" t="s">
        <v>20</v>
      </c>
      <c r="K180" s="19">
        <v>10000000</v>
      </c>
      <c r="M180" s="221"/>
      <c r="N180" s="221"/>
      <c r="O180" s="221"/>
      <c r="P180" s="221"/>
      <c r="Q180" s="221"/>
    </row>
    <row r="181" spans="1:17">
      <c r="A181" s="46">
        <v>44790</v>
      </c>
      <c r="B181" s="68"/>
      <c r="C181" s="68"/>
      <c r="D181" s="47"/>
      <c r="E181" s="47"/>
      <c r="F181" s="47"/>
      <c r="G181" s="47"/>
      <c r="H181" s="26"/>
      <c r="I181" s="25">
        <v>44798</v>
      </c>
      <c r="J181" s="27" t="s">
        <v>23</v>
      </c>
      <c r="K181" s="19">
        <v>1300000</v>
      </c>
      <c r="M181" s="221"/>
      <c r="N181" s="221"/>
      <c r="O181" s="221"/>
      <c r="P181" s="221"/>
      <c r="Q181" s="221"/>
    </row>
    <row r="182" spans="1:17">
      <c r="A182" s="21">
        <v>44791</v>
      </c>
      <c r="B182" s="57">
        <v>500000</v>
      </c>
      <c r="C182" s="57">
        <v>7205000</v>
      </c>
      <c r="D182" s="13">
        <f>B182+C182</f>
        <v>7705000</v>
      </c>
      <c r="E182" s="58">
        <v>1570000</v>
      </c>
      <c r="F182" s="12">
        <f>D182-E182</f>
        <v>6135000</v>
      </c>
      <c r="G182" s="15">
        <f>C182-E182</f>
        <v>5635000</v>
      </c>
      <c r="H182" s="1"/>
      <c r="I182" s="25">
        <v>44800</v>
      </c>
      <c r="J182" s="27" t="s">
        <v>20</v>
      </c>
      <c r="K182" s="19">
        <v>15000000</v>
      </c>
      <c r="M182" s="221"/>
      <c r="N182" s="221"/>
      <c r="O182" s="221"/>
      <c r="P182" s="221"/>
      <c r="Q182" s="221" t="s">
        <v>73</v>
      </c>
    </row>
    <row r="183" spans="1:17">
      <c r="A183" s="11">
        <v>44792</v>
      </c>
      <c r="B183" s="54">
        <v>4675000</v>
      </c>
      <c r="C183" s="54">
        <v>1850000</v>
      </c>
      <c r="D183" s="13">
        <v>6525000</v>
      </c>
      <c r="E183" s="14">
        <v>1785000</v>
      </c>
      <c r="F183" s="12">
        <v>4740000</v>
      </c>
      <c r="G183" s="15">
        <v>65000</v>
      </c>
      <c r="H183" s="1"/>
      <c r="I183" s="25">
        <v>44800</v>
      </c>
      <c r="J183" s="27" t="s">
        <v>24</v>
      </c>
      <c r="K183" s="19">
        <v>650000</v>
      </c>
      <c r="M183" s="221"/>
      <c r="N183" s="221"/>
      <c r="O183" s="221"/>
      <c r="P183" s="221"/>
      <c r="Q183" s="221"/>
    </row>
    <row r="184" spans="1:17">
      <c r="A184" s="11">
        <v>44793</v>
      </c>
      <c r="B184" s="54">
        <v>1150000</v>
      </c>
      <c r="C184" s="54">
        <v>1720000</v>
      </c>
      <c r="D184" s="13">
        <v>2870000</v>
      </c>
      <c r="E184" s="14">
        <v>2245000</v>
      </c>
      <c r="F184" s="12">
        <v>625000</v>
      </c>
      <c r="G184" s="15">
        <v>-525000</v>
      </c>
      <c r="H184" s="29"/>
      <c r="I184" s="25">
        <v>44802</v>
      </c>
      <c r="J184" s="27" t="s">
        <v>20</v>
      </c>
      <c r="K184" s="19">
        <v>5000000</v>
      </c>
      <c r="M184" s="221"/>
      <c r="N184" s="221"/>
      <c r="O184" s="221"/>
      <c r="P184" s="221"/>
      <c r="Q184" s="221"/>
    </row>
    <row r="185" spans="1:17">
      <c r="A185" s="46">
        <v>44794</v>
      </c>
      <c r="B185" s="68"/>
      <c r="C185" s="68"/>
      <c r="D185" s="47"/>
      <c r="E185" s="47"/>
      <c r="F185" s="47"/>
      <c r="G185" s="47"/>
      <c r="H185" s="1"/>
      <c r="I185" s="25">
        <v>44802</v>
      </c>
      <c r="J185" s="27" t="s">
        <v>20</v>
      </c>
      <c r="K185" s="19">
        <v>23500000</v>
      </c>
      <c r="M185" s="221"/>
      <c r="N185" s="221"/>
      <c r="O185" s="221"/>
      <c r="P185" s="221"/>
      <c r="Q185" s="221"/>
    </row>
    <row r="186" spans="1:17">
      <c r="A186" s="59">
        <v>44795</v>
      </c>
      <c r="B186" s="60">
        <v>1350000</v>
      </c>
      <c r="C186" s="60">
        <v>7900000</v>
      </c>
      <c r="D186" s="61">
        <f>B186+C186</f>
        <v>9250000</v>
      </c>
      <c r="E186" s="62">
        <v>1710000</v>
      </c>
      <c r="F186" s="63">
        <f>D186-E186</f>
        <v>7540000</v>
      </c>
      <c r="G186" s="64">
        <f>C186-E186</f>
        <v>6190000</v>
      </c>
      <c r="H186" s="1"/>
      <c r="I186" s="25">
        <v>44803</v>
      </c>
      <c r="J186" s="27" t="s">
        <v>25</v>
      </c>
      <c r="K186" s="19">
        <v>1100000</v>
      </c>
      <c r="M186" s="221"/>
      <c r="N186" s="221"/>
      <c r="O186" s="221"/>
      <c r="P186" s="221"/>
      <c r="Q186" s="221"/>
    </row>
    <row r="187" spans="1:17">
      <c r="A187" s="11">
        <v>44796</v>
      </c>
      <c r="B187" s="54">
        <v>9307000</v>
      </c>
      <c r="C187" s="54">
        <v>2550000</v>
      </c>
      <c r="D187" s="13">
        <v>11857000</v>
      </c>
      <c r="E187" s="14">
        <v>3485000</v>
      </c>
      <c r="F187" s="12">
        <v>8372000</v>
      </c>
      <c r="G187" s="15">
        <v>-935000</v>
      </c>
      <c r="H187" s="29"/>
      <c r="I187" s="25">
        <v>44804</v>
      </c>
      <c r="J187" s="27" t="s">
        <v>26</v>
      </c>
      <c r="K187" s="19">
        <v>18950000</v>
      </c>
      <c r="M187" s="221"/>
      <c r="N187" s="221"/>
      <c r="O187" s="221"/>
      <c r="P187" s="221"/>
      <c r="Q187" s="221"/>
    </row>
    <row r="188" spans="1:17">
      <c r="A188" s="11">
        <v>44797</v>
      </c>
      <c r="B188" s="54">
        <v>800000</v>
      </c>
      <c r="C188" s="54">
        <v>3730000</v>
      </c>
      <c r="D188" s="13">
        <v>4530000</v>
      </c>
      <c r="E188" s="14">
        <v>2765000</v>
      </c>
      <c r="F188" s="12">
        <v>1765000</v>
      </c>
      <c r="G188" s="15">
        <v>965000</v>
      </c>
      <c r="H188" s="1"/>
      <c r="I188" s="25"/>
      <c r="J188" s="27"/>
      <c r="K188" s="19"/>
      <c r="M188" s="221"/>
      <c r="N188" s="221"/>
      <c r="O188" s="221"/>
      <c r="P188" s="221"/>
      <c r="Q188" s="221"/>
    </row>
    <row r="189" spans="1:17">
      <c r="A189" s="11">
        <v>44798</v>
      </c>
      <c r="B189" s="54">
        <v>5545000</v>
      </c>
      <c r="C189" s="54">
        <v>2965000</v>
      </c>
      <c r="D189" s="13">
        <v>8510000</v>
      </c>
      <c r="E189" s="14">
        <v>1400000</v>
      </c>
      <c r="F189" s="12">
        <v>7110000</v>
      </c>
      <c r="G189" s="15">
        <v>1565000</v>
      </c>
      <c r="H189" s="1"/>
      <c r="I189" s="30"/>
      <c r="J189" s="23"/>
      <c r="K189" s="31">
        <v>175725000</v>
      </c>
      <c r="M189" s="221"/>
      <c r="N189" s="221"/>
      <c r="O189" s="221"/>
      <c r="P189" s="221"/>
      <c r="Q189" s="221"/>
    </row>
    <row r="190" spans="1:17">
      <c r="A190" s="11">
        <v>44799</v>
      </c>
      <c r="B190" s="54">
        <v>5550000</v>
      </c>
      <c r="C190" s="54">
        <v>5825000</v>
      </c>
      <c r="D190" s="13">
        <v>11375000</v>
      </c>
      <c r="E190" s="14">
        <v>1690000</v>
      </c>
      <c r="F190" s="12">
        <v>9685000</v>
      </c>
      <c r="G190" s="15">
        <v>4135000</v>
      </c>
      <c r="H190" s="1"/>
      <c r="I190" s="26"/>
      <c r="J190" s="1"/>
      <c r="K190" s="1"/>
      <c r="M190" s="221"/>
      <c r="N190" s="221"/>
      <c r="O190" s="221"/>
      <c r="P190" s="221"/>
      <c r="Q190" s="221"/>
    </row>
    <row r="191" spans="1:17">
      <c r="A191" s="11">
        <v>44800</v>
      </c>
      <c r="B191" s="54">
        <v>3825000</v>
      </c>
      <c r="C191" s="54">
        <v>4565000</v>
      </c>
      <c r="D191" s="13">
        <v>8390000</v>
      </c>
      <c r="E191" s="14">
        <v>2490000</v>
      </c>
      <c r="F191" s="12">
        <v>5900000</v>
      </c>
      <c r="G191" s="15">
        <v>2075000</v>
      </c>
      <c r="H191" s="1"/>
      <c r="I191" s="26"/>
      <c r="J191" s="1"/>
      <c r="K191" s="1"/>
      <c r="M191" s="221"/>
      <c r="N191" s="221"/>
      <c r="O191" s="221"/>
      <c r="P191" s="221"/>
      <c r="Q191" s="221"/>
    </row>
    <row r="192" spans="1:17">
      <c r="A192" s="46">
        <v>44801</v>
      </c>
      <c r="B192" s="68"/>
      <c r="C192" s="68"/>
      <c r="D192" s="47"/>
      <c r="E192" s="47"/>
      <c r="F192" s="47"/>
      <c r="G192" s="47"/>
      <c r="H192" s="1"/>
      <c r="I192" s="26"/>
      <c r="J192" s="1"/>
      <c r="K192" s="1"/>
      <c r="M192" s="221"/>
      <c r="N192" s="221"/>
      <c r="O192" s="221"/>
      <c r="P192" s="221"/>
      <c r="Q192" s="221"/>
    </row>
    <row r="193" spans="1:11">
      <c r="A193" s="11">
        <v>44802</v>
      </c>
      <c r="B193" s="54">
        <v>600000</v>
      </c>
      <c r="C193" s="54">
        <v>10700000</v>
      </c>
      <c r="D193" s="13">
        <f>B193+C193</f>
        <v>11300000</v>
      </c>
      <c r="E193" s="14">
        <v>1655000</v>
      </c>
      <c r="F193" s="12">
        <f>D193-E193</f>
        <v>9645000</v>
      </c>
      <c r="G193" s="15">
        <f>C193-E193</f>
        <v>9045000</v>
      </c>
      <c r="H193" s="1"/>
      <c r="I193" s="26"/>
      <c r="J193" s="1"/>
      <c r="K193" s="1"/>
    </row>
    <row r="194" spans="1:11">
      <c r="A194" s="11">
        <v>44803</v>
      </c>
      <c r="B194" s="54">
        <v>8210000</v>
      </c>
      <c r="C194" s="54">
        <v>1360000</v>
      </c>
      <c r="D194" s="13">
        <v>9570000</v>
      </c>
      <c r="E194" s="14">
        <v>1805000</v>
      </c>
      <c r="F194" s="12">
        <v>7765000</v>
      </c>
      <c r="G194" s="15">
        <v>-445000</v>
      </c>
      <c r="H194" s="1"/>
      <c r="I194" s="26"/>
      <c r="J194" s="1"/>
      <c r="K194" s="1"/>
    </row>
    <row r="195" spans="1:11">
      <c r="A195" s="11">
        <v>44804</v>
      </c>
      <c r="B195" s="54">
        <v>9800000</v>
      </c>
      <c r="C195" s="54">
        <v>2600000</v>
      </c>
      <c r="D195" s="13">
        <v>12400000</v>
      </c>
      <c r="E195" s="14">
        <v>3470000</v>
      </c>
      <c r="F195" s="12">
        <v>8930000</v>
      </c>
      <c r="G195" s="15">
        <v>-870000</v>
      </c>
      <c r="H195" s="1"/>
      <c r="I195" s="26"/>
      <c r="J195" s="1"/>
      <c r="K195" s="1"/>
    </row>
    <row r="196" spans="1:11" ht="15.75">
      <c r="A196" s="65"/>
      <c r="B196" s="54"/>
      <c r="C196" s="54"/>
      <c r="D196" s="13"/>
      <c r="E196" s="14"/>
      <c r="F196" s="12"/>
      <c r="G196" s="15"/>
      <c r="H196" s="1"/>
      <c r="I196" s="32" t="s">
        <v>27</v>
      </c>
      <c r="J196" s="33" t="s">
        <v>28</v>
      </c>
      <c r="K196" s="34">
        <f>B197+C197</f>
        <v>254132000</v>
      </c>
    </row>
    <row r="197" spans="1:11" ht="15.75">
      <c r="A197" s="11"/>
      <c r="B197" s="41">
        <f t="shared" ref="B197:G197" si="3">SUM(B165:B196)</f>
        <v>119307000</v>
      </c>
      <c r="C197" s="41">
        <f t="shared" si="3"/>
        <v>134825000</v>
      </c>
      <c r="D197" s="42">
        <f t="shared" si="3"/>
        <v>254132000</v>
      </c>
      <c r="E197" s="43">
        <f t="shared" si="3"/>
        <v>61075000</v>
      </c>
      <c r="F197" s="44">
        <f t="shared" si="3"/>
        <v>193057000</v>
      </c>
      <c r="G197" s="45">
        <f t="shared" si="3"/>
        <v>73750000</v>
      </c>
      <c r="H197" s="1"/>
      <c r="I197" s="35"/>
      <c r="J197" s="36" t="s">
        <v>29</v>
      </c>
      <c r="K197" s="37">
        <v>61075000</v>
      </c>
    </row>
    <row r="198" spans="1:11" ht="15.75">
      <c r="A198" s="1"/>
      <c r="B198" s="1"/>
      <c r="C198" s="1"/>
      <c r="D198" s="1"/>
      <c r="E198" s="1"/>
      <c r="F198" s="1"/>
      <c r="G198" s="1"/>
      <c r="H198" s="1"/>
      <c r="I198" s="35"/>
      <c r="J198" s="36" t="s">
        <v>30</v>
      </c>
      <c r="K198" s="37">
        <v>175725000</v>
      </c>
    </row>
    <row r="199" spans="1:11" ht="15.75">
      <c r="A199" s="1"/>
      <c r="B199" s="1"/>
      <c r="C199" s="1"/>
      <c r="D199" s="1"/>
      <c r="E199" s="1"/>
      <c r="F199" s="1"/>
      <c r="G199" s="1"/>
      <c r="H199" s="1"/>
      <c r="I199" s="35"/>
      <c r="J199" s="36" t="s">
        <v>31</v>
      </c>
      <c r="K199" s="37">
        <f>K197+K198</f>
        <v>236800000</v>
      </c>
    </row>
    <row r="200" spans="1:11" ht="15.75">
      <c r="A200" s="1"/>
      <c r="B200" s="1"/>
      <c r="C200" s="1"/>
      <c r="D200" s="1"/>
      <c r="E200" s="1"/>
      <c r="F200" s="1"/>
      <c r="G200" s="1"/>
      <c r="H200" s="1"/>
      <c r="I200" s="35"/>
      <c r="J200" s="39"/>
      <c r="K200" s="34"/>
    </row>
    <row r="201" spans="1:11" ht="18">
      <c r="H201" s="1"/>
      <c r="I201" s="692" t="s">
        <v>185</v>
      </c>
      <c r="J201" s="692"/>
      <c r="K201" s="40">
        <f>K196-K199</f>
        <v>17332000</v>
      </c>
    </row>
    <row r="202" spans="1:11">
      <c r="H202" s="38"/>
    </row>
    <row r="203" spans="1:11">
      <c r="A203" s="221"/>
      <c r="B203" s="221"/>
      <c r="C203" s="221"/>
      <c r="D203" s="221"/>
      <c r="E203" s="221"/>
      <c r="F203" s="221"/>
      <c r="G203" s="221"/>
      <c r="H203" s="1"/>
    </row>
    <row r="204" spans="1:11">
      <c r="B204" s="221"/>
      <c r="C204" s="221"/>
      <c r="D204" s="221"/>
      <c r="E204" s="221"/>
      <c r="F204" s="221"/>
      <c r="G204" s="221"/>
      <c r="H204" s="1"/>
      <c r="I204" s="221"/>
      <c r="J204" s="221"/>
      <c r="K204" s="221"/>
    </row>
    <row r="205" spans="1:11">
      <c r="B205" s="221"/>
      <c r="C205" s="221"/>
      <c r="D205" s="221"/>
      <c r="E205" s="221"/>
      <c r="F205" s="221"/>
      <c r="G205" s="221"/>
      <c r="H205" s="1"/>
      <c r="I205" s="221"/>
      <c r="J205" s="221"/>
      <c r="K205" s="221"/>
    </row>
    <row r="206" spans="1:11">
      <c r="B206" s="221"/>
      <c r="C206" s="221"/>
      <c r="D206" s="221"/>
      <c r="E206" s="221"/>
      <c r="F206" s="221"/>
      <c r="G206" s="221"/>
      <c r="I206" s="221"/>
      <c r="J206" s="221"/>
      <c r="K206" s="221"/>
    </row>
    <row r="207" spans="1:11">
      <c r="B207" s="221"/>
      <c r="C207" s="221"/>
      <c r="D207" s="221"/>
      <c r="E207" s="221"/>
      <c r="F207" s="221"/>
      <c r="G207" s="221"/>
      <c r="I207" s="221"/>
      <c r="J207" s="221"/>
      <c r="K207" s="221"/>
    </row>
    <row r="208" spans="1:11"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</row>
    <row r="209" spans="2:11"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</row>
    <row r="210" spans="2:11">
      <c r="H210" s="221"/>
      <c r="I210" s="221"/>
      <c r="J210" s="221"/>
      <c r="K210" s="221"/>
    </row>
    <row r="211" spans="2:11">
      <c r="B211" s="221"/>
      <c r="C211" s="221"/>
      <c r="D211" s="221"/>
      <c r="E211" s="221"/>
      <c r="F211" s="221"/>
      <c r="G211" s="221"/>
      <c r="H211" s="221"/>
    </row>
    <row r="212" spans="2:11"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</row>
    <row r="213" spans="2:11"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</row>
    <row r="214" spans="2:11">
      <c r="H214" s="221"/>
      <c r="I214" s="221"/>
      <c r="J214" s="221"/>
      <c r="K214" s="221"/>
    </row>
    <row r="216" spans="2:11">
      <c r="H216" s="221"/>
    </row>
    <row r="217" spans="2:11">
      <c r="H217" s="221"/>
    </row>
    <row r="218" spans="2:11">
      <c r="H218" s="221"/>
    </row>
  </sheetData>
  <mergeCells count="32">
    <mergeCell ref="A3:E4"/>
    <mergeCell ref="A6:A7"/>
    <mergeCell ref="B6:C6"/>
    <mergeCell ref="D6:D7"/>
    <mergeCell ref="E6:E7"/>
    <mergeCell ref="I77:J77"/>
    <mergeCell ref="F48:F49"/>
    <mergeCell ref="G48:G49"/>
    <mergeCell ref="G6:G7"/>
    <mergeCell ref="I38:J38"/>
    <mergeCell ref="F6:F7"/>
    <mergeCell ref="A45:E46"/>
    <mergeCell ref="A48:A49"/>
    <mergeCell ref="B48:C48"/>
    <mergeCell ref="D48:D49"/>
    <mergeCell ref="E48:E49"/>
    <mergeCell ref="F85:F86"/>
    <mergeCell ref="G85:G86"/>
    <mergeCell ref="I124:J124"/>
    <mergeCell ref="A82:E83"/>
    <mergeCell ref="A85:A86"/>
    <mergeCell ref="B85:C85"/>
    <mergeCell ref="D85:D86"/>
    <mergeCell ref="E85:E86"/>
    <mergeCell ref="I201:J201"/>
    <mergeCell ref="A160:E161"/>
    <mergeCell ref="A163:A164"/>
    <mergeCell ref="B163:C163"/>
    <mergeCell ref="D163:D164"/>
    <mergeCell ref="E163:E164"/>
    <mergeCell ref="F163:F164"/>
    <mergeCell ref="G163:G164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4"/>
  <sheetViews>
    <sheetView workbookViewId="0">
      <selection activeCell="M18" sqref="M18"/>
    </sheetView>
  </sheetViews>
  <sheetFormatPr defaultRowHeight="15"/>
  <cols>
    <col min="11" max="11" width="27.42578125" customWidth="1"/>
  </cols>
  <sheetData>
    <row r="1" spans="1:11">
      <c r="A1" s="224">
        <v>44593</v>
      </c>
      <c r="B1" s="223" t="s">
        <v>71</v>
      </c>
      <c r="C1" s="223">
        <v>1950</v>
      </c>
      <c r="D1" s="223">
        <v>175</v>
      </c>
      <c r="E1" s="223">
        <v>85</v>
      </c>
      <c r="F1" s="223"/>
      <c r="G1" s="224">
        <v>44594</v>
      </c>
      <c r="H1" s="223" t="s">
        <v>65</v>
      </c>
      <c r="I1" s="223">
        <v>1400</v>
      </c>
      <c r="J1" s="223">
        <v>3450</v>
      </c>
      <c r="K1" s="223">
        <v>210</v>
      </c>
    </row>
    <row r="2" spans="1:11">
      <c r="A2" s="223"/>
      <c r="B2" s="223" t="s">
        <v>69</v>
      </c>
      <c r="C2" s="223">
        <v>500</v>
      </c>
      <c r="D2" s="223"/>
      <c r="E2" s="223">
        <v>40</v>
      </c>
      <c r="F2" s="223"/>
      <c r="G2" s="223"/>
      <c r="H2" s="223" t="s">
        <v>74</v>
      </c>
      <c r="I2" s="223">
        <v>160</v>
      </c>
      <c r="J2" s="223">
        <v>4500</v>
      </c>
      <c r="K2" s="223">
        <v>200</v>
      </c>
    </row>
    <row r="3" spans="1:11">
      <c r="A3" s="223"/>
      <c r="B3" s="223" t="s">
        <v>69</v>
      </c>
      <c r="C3" s="223">
        <v>170</v>
      </c>
      <c r="D3" s="223"/>
      <c r="E3" s="223">
        <v>400</v>
      </c>
      <c r="F3" s="223"/>
      <c r="G3" s="223"/>
      <c r="H3" s="223"/>
      <c r="I3" s="223"/>
      <c r="J3" s="223">
        <v>1300</v>
      </c>
      <c r="K3" s="223">
        <v>45</v>
      </c>
    </row>
    <row r="4" spans="1:11">
      <c r="A4" s="223"/>
      <c r="B4" s="223" t="s">
        <v>70</v>
      </c>
      <c r="C4" s="223">
        <v>1700</v>
      </c>
      <c r="D4" s="223"/>
      <c r="E4" s="223">
        <v>70</v>
      </c>
      <c r="F4" s="223"/>
      <c r="G4" s="223"/>
      <c r="H4" s="223"/>
      <c r="I4" s="223"/>
      <c r="J4" s="223">
        <v>800</v>
      </c>
      <c r="K4" s="223">
        <v>380</v>
      </c>
    </row>
    <row r="5" spans="1:11">
      <c r="A5" s="223"/>
      <c r="B5" s="223" t="s">
        <v>70</v>
      </c>
      <c r="C5" s="223">
        <v>800</v>
      </c>
      <c r="D5" s="223"/>
      <c r="E5" s="223">
        <v>950</v>
      </c>
      <c r="F5" s="223"/>
      <c r="G5" s="223"/>
      <c r="H5" s="223"/>
      <c r="I5" s="223"/>
      <c r="J5" s="223"/>
      <c r="K5" s="223">
        <v>890</v>
      </c>
    </row>
    <row r="6" spans="1:11">
      <c r="A6" s="223"/>
      <c r="B6" s="223" t="s">
        <v>72</v>
      </c>
      <c r="C6" s="223">
        <v>350</v>
      </c>
      <c r="D6" s="223"/>
      <c r="E6" s="223">
        <v>1100</v>
      </c>
      <c r="F6" s="223"/>
      <c r="G6" s="223"/>
      <c r="H6" s="223"/>
      <c r="I6" s="223"/>
      <c r="J6" s="223"/>
      <c r="K6" s="223">
        <v>800</v>
      </c>
    </row>
    <row r="7" spans="1:11">
      <c r="A7" s="223"/>
      <c r="B7" s="223"/>
      <c r="C7" s="223"/>
      <c r="D7" s="223"/>
      <c r="E7" s="223">
        <v>100</v>
      </c>
      <c r="F7" s="223"/>
      <c r="G7" s="223"/>
      <c r="H7" s="223"/>
      <c r="I7" s="223"/>
      <c r="J7" s="223"/>
      <c r="K7" s="223">
        <v>40</v>
      </c>
    </row>
    <row r="8" spans="1:11">
      <c r="A8" s="223"/>
      <c r="B8" s="223"/>
      <c r="C8" s="223"/>
      <c r="D8" s="223"/>
      <c r="E8" s="223">
        <v>1500</v>
      </c>
      <c r="F8" s="223"/>
      <c r="G8" s="223"/>
      <c r="H8" s="223"/>
      <c r="I8" s="223"/>
      <c r="J8" s="223"/>
      <c r="K8" s="223">
        <v>100</v>
      </c>
    </row>
    <row r="9" spans="1:11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>
        <v>50</v>
      </c>
    </row>
    <row r="10" spans="1:11">
      <c r="A10" s="223"/>
      <c r="B10" s="223"/>
      <c r="C10" s="223"/>
      <c r="D10" s="223"/>
      <c r="E10" s="223"/>
      <c r="F10" s="223"/>
      <c r="G10" s="223"/>
      <c r="H10" s="223"/>
      <c r="I10" s="223"/>
      <c r="J10" s="223"/>
      <c r="K10" s="223">
        <v>50</v>
      </c>
    </row>
    <row r="11" spans="1:11">
      <c r="A11" s="223"/>
      <c r="B11" s="223"/>
      <c r="C11" s="223"/>
      <c r="D11" s="223"/>
      <c r="E11" s="223"/>
      <c r="F11" s="223"/>
      <c r="G11" s="223"/>
      <c r="H11" s="223"/>
      <c r="I11" s="223"/>
      <c r="J11" s="223"/>
      <c r="K11" s="223">
        <v>95</v>
      </c>
    </row>
    <row r="12" spans="1:11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>
        <v>100</v>
      </c>
    </row>
    <row r="13" spans="1:11">
      <c r="A13" s="223"/>
      <c r="B13" s="223"/>
      <c r="C13" s="223">
        <v>5470</v>
      </c>
      <c r="D13" s="223">
        <v>175</v>
      </c>
      <c r="E13" s="223">
        <v>4245</v>
      </c>
      <c r="F13" s="223"/>
      <c r="G13" s="223"/>
      <c r="H13" s="223"/>
      <c r="I13" s="223"/>
      <c r="J13" s="223"/>
      <c r="K13" s="223">
        <v>150</v>
      </c>
    </row>
    <row r="14" spans="1:11">
      <c r="A14" s="223"/>
      <c r="B14" s="223"/>
      <c r="C14" s="223"/>
      <c r="D14" s="223">
        <v>5645</v>
      </c>
      <c r="E14" s="223">
        <v>-4070</v>
      </c>
      <c r="F14" s="223"/>
      <c r="G14" s="223"/>
      <c r="H14" s="223"/>
      <c r="I14" s="223"/>
      <c r="J14" s="223"/>
      <c r="K14" s="223"/>
    </row>
    <row r="15" spans="1:11">
      <c r="A15" s="223"/>
      <c r="B15" s="223"/>
      <c r="C15" s="223"/>
      <c r="D15" s="223"/>
      <c r="E15" s="223"/>
      <c r="F15" s="223"/>
      <c r="G15" s="223"/>
      <c r="H15" s="223"/>
      <c r="I15" s="223">
        <v>1560</v>
      </c>
      <c r="J15" s="223">
        <v>10050</v>
      </c>
      <c r="K15" s="223">
        <v>3110</v>
      </c>
    </row>
    <row r="16" spans="1:11">
      <c r="A16" s="223"/>
      <c r="B16" s="223"/>
      <c r="C16" s="223"/>
      <c r="D16" s="223"/>
      <c r="E16" s="223"/>
      <c r="F16" s="223"/>
      <c r="G16" s="223"/>
      <c r="H16" s="223"/>
      <c r="I16" s="223"/>
      <c r="J16" s="223">
        <v>11610</v>
      </c>
      <c r="K16" s="223">
        <v>6940</v>
      </c>
    </row>
    <row r="19" spans="1:11">
      <c r="A19" s="224">
        <v>44595</v>
      </c>
      <c r="B19" s="223" t="s">
        <v>66</v>
      </c>
      <c r="C19" s="223">
        <v>300</v>
      </c>
      <c r="D19" s="223">
        <v>1950</v>
      </c>
      <c r="E19" s="223">
        <v>150</v>
      </c>
      <c r="F19" s="223"/>
      <c r="G19" s="224">
        <v>44596</v>
      </c>
      <c r="H19" s="223" t="s">
        <v>66</v>
      </c>
      <c r="I19" s="223">
        <v>1700</v>
      </c>
      <c r="J19" s="223">
        <v>1550</v>
      </c>
      <c r="K19" s="223">
        <v>50</v>
      </c>
    </row>
    <row r="20" spans="1:11">
      <c r="A20" s="223"/>
      <c r="B20" s="223"/>
      <c r="C20" s="223"/>
      <c r="D20" s="223">
        <v>2000</v>
      </c>
      <c r="E20" s="223">
        <v>500</v>
      </c>
      <c r="F20" s="223"/>
      <c r="G20" s="223"/>
      <c r="H20" s="223" t="s">
        <v>66</v>
      </c>
      <c r="I20" s="223">
        <v>3000</v>
      </c>
      <c r="J20" s="223">
        <v>2600</v>
      </c>
      <c r="K20" s="223">
        <v>50</v>
      </c>
    </row>
    <row r="21" spans="1:11">
      <c r="A21" s="223"/>
      <c r="B21" s="223"/>
      <c r="C21" s="223"/>
      <c r="D21" s="223">
        <v>50</v>
      </c>
      <c r="E21" s="223">
        <v>100</v>
      </c>
      <c r="F21" s="223"/>
      <c r="G21" s="223"/>
      <c r="H21" s="223"/>
      <c r="I21" s="223"/>
      <c r="J21" s="223">
        <v>400</v>
      </c>
      <c r="K21" s="223">
        <v>300</v>
      </c>
    </row>
    <row r="22" spans="1:11">
      <c r="A22" s="223"/>
      <c r="B22" s="223"/>
      <c r="C22" s="223"/>
      <c r="D22" s="223">
        <v>250</v>
      </c>
      <c r="E22" s="223">
        <v>150</v>
      </c>
      <c r="F22" s="223"/>
      <c r="G22" s="223"/>
      <c r="H22" s="223"/>
      <c r="I22" s="223"/>
      <c r="J22" s="223"/>
      <c r="K22" s="223">
        <v>100</v>
      </c>
    </row>
    <row r="23" spans="1:11">
      <c r="A23" s="223"/>
      <c r="B23" s="223"/>
      <c r="C23" s="223"/>
      <c r="D23" s="223">
        <v>850</v>
      </c>
      <c r="E23" s="223">
        <v>50</v>
      </c>
      <c r="F23" s="223"/>
      <c r="G23" s="223"/>
      <c r="H23" s="223"/>
      <c r="I23" s="223"/>
      <c r="J23" s="223"/>
      <c r="K23" s="223">
        <v>1170</v>
      </c>
    </row>
    <row r="24" spans="1:11">
      <c r="A24" s="223"/>
      <c r="B24" s="223"/>
      <c r="C24" s="223"/>
      <c r="D24" s="223">
        <v>400</v>
      </c>
      <c r="E24" s="223">
        <v>910</v>
      </c>
      <c r="F24" s="223"/>
      <c r="G24" s="223"/>
      <c r="H24" s="223"/>
      <c r="I24" s="223"/>
      <c r="J24" s="223"/>
      <c r="K24" s="223">
        <v>160</v>
      </c>
    </row>
    <row r="25" spans="1:11">
      <c r="A25" s="223"/>
      <c r="B25" s="223"/>
      <c r="C25" s="223"/>
      <c r="D25" s="223"/>
      <c r="E25" s="223">
        <v>45</v>
      </c>
      <c r="F25" s="223"/>
      <c r="G25" s="223"/>
      <c r="H25" s="223"/>
      <c r="I25" s="223"/>
      <c r="J25" s="223"/>
      <c r="K25" s="223">
        <v>1805</v>
      </c>
    </row>
    <row r="26" spans="1:11">
      <c r="A26" s="223"/>
      <c r="B26" s="223"/>
      <c r="C26" s="223"/>
      <c r="D26" s="223"/>
      <c r="E26" s="223">
        <v>120</v>
      </c>
      <c r="F26" s="223"/>
      <c r="G26" s="223"/>
      <c r="H26" s="223"/>
      <c r="I26" s="223"/>
      <c r="J26" s="223"/>
      <c r="K26" s="223">
        <v>550</v>
      </c>
    </row>
    <row r="27" spans="1:11">
      <c r="A27" s="223"/>
      <c r="B27" s="223"/>
      <c r="C27" s="223"/>
      <c r="D27" s="223"/>
      <c r="E27" s="223">
        <v>200</v>
      </c>
      <c r="F27" s="223"/>
      <c r="G27" s="223"/>
      <c r="H27" s="223"/>
      <c r="I27" s="223"/>
      <c r="J27" s="223"/>
      <c r="K27" s="223">
        <v>185</v>
      </c>
    </row>
    <row r="28" spans="1:11">
      <c r="A28" s="223"/>
      <c r="B28" s="223"/>
      <c r="C28" s="223"/>
      <c r="D28" s="223"/>
      <c r="E28" s="223">
        <v>35</v>
      </c>
      <c r="F28" s="223"/>
      <c r="G28" s="223"/>
      <c r="H28" s="223"/>
      <c r="I28" s="223"/>
      <c r="J28" s="223"/>
      <c r="K28" s="223"/>
    </row>
    <row r="34" spans="1:11">
      <c r="A34" s="223"/>
      <c r="B34" s="223"/>
      <c r="C34" s="223">
        <v>300</v>
      </c>
      <c r="D34" s="223">
        <v>5500</v>
      </c>
      <c r="E34" s="223">
        <v>2260</v>
      </c>
      <c r="F34" s="223"/>
      <c r="G34" s="223"/>
      <c r="H34" s="223"/>
      <c r="I34" s="223">
        <v>4700</v>
      </c>
      <c r="J34" s="223">
        <v>4550</v>
      </c>
      <c r="K34" s="223">
        <v>4370</v>
      </c>
    </row>
    <row r="35" spans="1:11">
      <c r="A35" s="223"/>
      <c r="B35" s="223"/>
      <c r="C35" s="223"/>
      <c r="D35" s="223">
        <v>5800</v>
      </c>
      <c r="E35" s="223">
        <v>3240</v>
      </c>
      <c r="F35" s="223"/>
      <c r="G35" s="223"/>
      <c r="H35" s="223"/>
      <c r="I35" s="223"/>
      <c r="J35" s="223">
        <v>9250</v>
      </c>
      <c r="K35" s="223">
        <v>180</v>
      </c>
    </row>
    <row r="39" spans="1:11">
      <c r="A39" s="224">
        <v>44597</v>
      </c>
      <c r="B39" s="223" t="s">
        <v>65</v>
      </c>
      <c r="C39" s="223">
        <v>2000</v>
      </c>
      <c r="D39" s="223">
        <v>2850</v>
      </c>
      <c r="E39" s="223">
        <v>280</v>
      </c>
      <c r="F39" s="223"/>
      <c r="G39" s="224">
        <v>44599</v>
      </c>
      <c r="H39" s="223" t="s">
        <v>74</v>
      </c>
      <c r="I39" s="223">
        <v>100</v>
      </c>
      <c r="J39" s="223">
        <v>180</v>
      </c>
      <c r="K39" s="223">
        <v>25</v>
      </c>
    </row>
    <row r="40" spans="1:11">
      <c r="A40" s="223"/>
      <c r="B40" s="223"/>
      <c r="C40" s="223"/>
      <c r="D40" s="223">
        <v>400</v>
      </c>
      <c r="E40" s="223">
        <v>315</v>
      </c>
      <c r="F40" s="223"/>
      <c r="G40" s="223"/>
      <c r="H40" s="223"/>
      <c r="I40" s="223"/>
      <c r="J40" s="223"/>
      <c r="K40" s="223">
        <v>135</v>
      </c>
    </row>
    <row r="41" spans="1:11">
      <c r="A41" s="223"/>
      <c r="B41" s="223"/>
      <c r="C41" s="223"/>
      <c r="D41" s="223"/>
      <c r="E41" s="223">
        <v>50</v>
      </c>
      <c r="F41" s="223"/>
      <c r="G41" s="223"/>
      <c r="H41" s="223"/>
      <c r="I41" s="223"/>
      <c r="J41" s="223"/>
      <c r="K41" s="223">
        <v>20</v>
      </c>
    </row>
    <row r="42" spans="1:11">
      <c r="A42" s="223"/>
      <c r="B42" s="223"/>
      <c r="C42" s="223"/>
      <c r="D42" s="223"/>
      <c r="E42" s="223">
        <v>1090</v>
      </c>
      <c r="F42" s="223"/>
      <c r="G42" s="223"/>
      <c r="H42" s="223"/>
      <c r="I42" s="223"/>
      <c r="J42" s="223"/>
      <c r="K42" s="223">
        <v>1210</v>
      </c>
    </row>
    <row r="43" spans="1:11">
      <c r="A43" s="223"/>
      <c r="B43" s="223"/>
      <c r="C43" s="223"/>
      <c r="D43" s="223"/>
      <c r="E43" s="223">
        <v>120</v>
      </c>
      <c r="F43" s="223"/>
      <c r="G43" s="223"/>
      <c r="H43" s="223"/>
      <c r="I43" s="223"/>
      <c r="J43" s="223"/>
      <c r="K43" s="223">
        <v>85</v>
      </c>
    </row>
    <row r="44" spans="1:11">
      <c r="A44" s="223"/>
      <c r="B44" s="223"/>
      <c r="C44" s="223"/>
      <c r="D44" s="223"/>
      <c r="E44" s="223">
        <v>50</v>
      </c>
      <c r="F44" s="223"/>
      <c r="G44" s="223"/>
      <c r="H44" s="223"/>
      <c r="I44" s="223"/>
      <c r="J44" s="223"/>
      <c r="K44" s="223">
        <v>40</v>
      </c>
    </row>
    <row r="45" spans="1:11">
      <c r="A45" s="223"/>
      <c r="B45" s="223"/>
      <c r="C45" s="223"/>
      <c r="D45" s="223"/>
      <c r="E45" s="223">
        <v>235</v>
      </c>
      <c r="F45" s="223"/>
      <c r="G45" s="223"/>
      <c r="H45" s="223"/>
      <c r="I45" s="223"/>
      <c r="J45" s="223"/>
      <c r="K45" s="223">
        <v>50</v>
      </c>
    </row>
    <row r="46" spans="1:11">
      <c r="A46" s="223"/>
      <c r="B46" s="223"/>
      <c r="C46" s="223"/>
      <c r="D46" s="223"/>
      <c r="E46" s="223">
        <v>70</v>
      </c>
      <c r="F46" s="223"/>
      <c r="G46" s="223"/>
      <c r="H46" s="223"/>
      <c r="I46" s="223"/>
      <c r="J46" s="223"/>
      <c r="K46" s="223">
        <v>140</v>
      </c>
    </row>
    <row r="51" spans="1:11">
      <c r="A51" s="223"/>
      <c r="B51" s="223"/>
      <c r="C51" s="223">
        <v>2000</v>
      </c>
      <c r="D51" s="223">
        <v>3250</v>
      </c>
      <c r="E51" s="223">
        <v>2210</v>
      </c>
      <c r="F51" s="223"/>
      <c r="G51" s="223"/>
      <c r="H51" s="223"/>
      <c r="I51" s="223">
        <v>100</v>
      </c>
      <c r="J51" s="223">
        <v>180</v>
      </c>
      <c r="K51" s="223">
        <v>1705</v>
      </c>
    </row>
    <row r="52" spans="1:11">
      <c r="A52" s="223"/>
      <c r="B52" s="223"/>
      <c r="C52" s="223"/>
      <c r="D52" s="223">
        <v>-1250</v>
      </c>
      <c r="E52" s="223">
        <v>1040</v>
      </c>
      <c r="F52" s="223"/>
      <c r="G52" s="223"/>
      <c r="H52" s="223"/>
      <c r="I52" s="223"/>
      <c r="J52" s="223">
        <v>280</v>
      </c>
      <c r="K52" s="223">
        <v>-1525</v>
      </c>
    </row>
    <row r="55" spans="1:11">
      <c r="A55" s="223"/>
      <c r="B55" s="223"/>
      <c r="C55" s="223"/>
      <c r="D55" s="223"/>
      <c r="E55" s="223"/>
      <c r="F55" s="223"/>
      <c r="G55" s="223"/>
      <c r="H55" s="223"/>
      <c r="I55" s="223">
        <v>3300</v>
      </c>
      <c r="J55" s="223"/>
      <c r="K55" s="223"/>
    </row>
    <row r="57" spans="1:11">
      <c r="A57" s="224">
        <v>44600</v>
      </c>
      <c r="B57" s="223" t="s">
        <v>66</v>
      </c>
      <c r="C57" s="223">
        <v>50</v>
      </c>
      <c r="D57" s="223">
        <v>3550</v>
      </c>
      <c r="E57" s="223">
        <v>390</v>
      </c>
      <c r="F57" s="223"/>
      <c r="G57" s="224">
        <v>44601</v>
      </c>
      <c r="H57" s="223" t="s">
        <v>65</v>
      </c>
      <c r="I57" s="223">
        <v>250</v>
      </c>
      <c r="J57" s="223">
        <v>450</v>
      </c>
      <c r="K57" s="223">
        <v>55</v>
      </c>
    </row>
    <row r="58" spans="1:11">
      <c r="A58" s="223"/>
      <c r="B58" s="223" t="s">
        <v>66</v>
      </c>
      <c r="C58" s="223">
        <v>170</v>
      </c>
      <c r="D58" s="223">
        <v>250</v>
      </c>
      <c r="E58" s="223">
        <v>25</v>
      </c>
      <c r="F58" s="223"/>
      <c r="G58" s="223"/>
      <c r="H58" s="223" t="s">
        <v>67</v>
      </c>
      <c r="I58" s="223">
        <v>1100</v>
      </c>
      <c r="J58" s="223">
        <v>30</v>
      </c>
      <c r="K58" s="223">
        <v>25</v>
      </c>
    </row>
    <row r="59" spans="1:11">
      <c r="A59" s="223"/>
      <c r="B59" s="223" t="s">
        <v>68</v>
      </c>
      <c r="C59" s="223">
        <v>300</v>
      </c>
      <c r="D59" s="223"/>
      <c r="E59" s="223">
        <v>100</v>
      </c>
      <c r="F59" s="223"/>
      <c r="G59" s="223"/>
      <c r="H59" s="223"/>
      <c r="I59" s="223"/>
      <c r="J59" s="223">
        <v>200</v>
      </c>
      <c r="K59" s="223">
        <v>190</v>
      </c>
    </row>
    <row r="60" spans="1:11">
      <c r="A60" s="223"/>
      <c r="B60" s="223" t="s">
        <v>68</v>
      </c>
      <c r="C60" s="223">
        <v>2200</v>
      </c>
      <c r="D60" s="223"/>
      <c r="E60" s="223">
        <v>95</v>
      </c>
      <c r="F60" s="223"/>
      <c r="G60" s="223"/>
      <c r="H60" s="223"/>
      <c r="I60" s="223"/>
      <c r="J60" s="223"/>
      <c r="K60" s="223">
        <v>55</v>
      </c>
    </row>
    <row r="61" spans="1:11">
      <c r="A61" s="223"/>
      <c r="B61" s="223" t="s">
        <v>74</v>
      </c>
      <c r="C61" s="223">
        <v>410</v>
      </c>
      <c r="D61" s="223"/>
      <c r="E61" s="223">
        <v>150</v>
      </c>
      <c r="F61" s="223"/>
      <c r="G61" s="223"/>
      <c r="H61" s="223"/>
      <c r="I61" s="223"/>
      <c r="J61" s="223"/>
      <c r="K61" s="223">
        <v>50</v>
      </c>
    </row>
    <row r="62" spans="1:11">
      <c r="A62" s="223"/>
      <c r="B62" s="223" t="s">
        <v>65</v>
      </c>
      <c r="C62" s="223">
        <v>600</v>
      </c>
      <c r="D62" s="223"/>
      <c r="E62" s="223">
        <v>200</v>
      </c>
      <c r="F62" s="223"/>
      <c r="G62" s="223"/>
      <c r="H62" s="223"/>
      <c r="I62" s="223"/>
      <c r="J62" s="223"/>
      <c r="K62" s="223">
        <v>1040</v>
      </c>
    </row>
    <row r="63" spans="1:11">
      <c r="A63" s="223"/>
      <c r="B63" s="223" t="s">
        <v>65</v>
      </c>
      <c r="C63" s="223">
        <v>2700</v>
      </c>
      <c r="D63" s="223"/>
      <c r="E63" s="223">
        <v>25</v>
      </c>
      <c r="F63" s="223"/>
      <c r="G63" s="223"/>
      <c r="H63" s="223"/>
      <c r="I63" s="223"/>
      <c r="J63" s="223"/>
      <c r="K63" s="223">
        <v>10</v>
      </c>
    </row>
    <row r="64" spans="1:11">
      <c r="A64" s="223"/>
      <c r="B64" s="223"/>
      <c r="C64" s="223"/>
      <c r="D64" s="223"/>
      <c r="E64" s="223">
        <v>40</v>
      </c>
      <c r="F64" s="223"/>
      <c r="G64" s="223"/>
      <c r="H64" s="223"/>
      <c r="I64" s="223"/>
      <c r="J64" s="223"/>
      <c r="K64" s="223">
        <v>105</v>
      </c>
    </row>
    <row r="65" spans="1:11">
      <c r="A65" s="223"/>
      <c r="B65" s="223"/>
      <c r="C65" s="223"/>
      <c r="D65" s="223"/>
      <c r="E65" s="223">
        <v>135</v>
      </c>
      <c r="F65" s="223"/>
      <c r="G65" s="223"/>
      <c r="H65" s="223"/>
      <c r="I65" s="223"/>
      <c r="J65" s="223"/>
      <c r="K65" s="223">
        <v>50</v>
      </c>
    </row>
    <row r="66" spans="1:11">
      <c r="A66" s="223"/>
      <c r="B66" s="223"/>
      <c r="C66" s="223"/>
      <c r="D66" s="223"/>
      <c r="E66" s="223">
        <v>65</v>
      </c>
      <c r="F66" s="223"/>
      <c r="G66" s="223"/>
      <c r="H66" s="223"/>
      <c r="I66" s="223"/>
      <c r="J66" s="223"/>
      <c r="K66" s="223">
        <v>10</v>
      </c>
    </row>
    <row r="67" spans="1:11">
      <c r="A67" s="223"/>
      <c r="B67" s="223"/>
      <c r="C67" s="223"/>
      <c r="D67" s="223"/>
      <c r="E67" s="223">
        <v>1060</v>
      </c>
      <c r="F67" s="223"/>
      <c r="G67" s="223"/>
      <c r="H67" s="223"/>
      <c r="I67" s="223"/>
      <c r="J67" s="223"/>
      <c r="K67" s="223">
        <v>65</v>
      </c>
    </row>
    <row r="68" spans="1:11">
      <c r="A68" s="223"/>
      <c r="B68" s="223"/>
      <c r="C68" s="223"/>
      <c r="D68" s="223"/>
      <c r="E68" s="223">
        <v>1000</v>
      </c>
      <c r="F68" s="223"/>
      <c r="G68" s="223"/>
      <c r="H68" s="223"/>
      <c r="I68" s="223"/>
      <c r="J68" s="223"/>
      <c r="K68" s="223"/>
    </row>
    <row r="71" spans="1:11">
      <c r="A71" s="223"/>
      <c r="B71" s="223"/>
      <c r="C71" s="223">
        <v>6430</v>
      </c>
      <c r="D71" s="223">
        <v>3800</v>
      </c>
      <c r="E71" s="223">
        <v>3285</v>
      </c>
      <c r="F71" s="223"/>
      <c r="G71" s="223"/>
      <c r="H71" s="223"/>
      <c r="I71" s="223">
        <v>1350</v>
      </c>
      <c r="J71" s="223">
        <v>680</v>
      </c>
      <c r="K71" s="223">
        <v>1655</v>
      </c>
    </row>
    <row r="72" spans="1:11">
      <c r="A72" s="223"/>
      <c r="B72" s="223"/>
      <c r="C72" s="223"/>
      <c r="D72" s="223">
        <v>10230</v>
      </c>
      <c r="E72" s="223">
        <v>515</v>
      </c>
      <c r="F72" s="223"/>
      <c r="G72" s="223"/>
      <c r="H72" s="223"/>
      <c r="I72" s="223"/>
      <c r="J72" s="223">
        <v>2030</v>
      </c>
      <c r="K72" s="223">
        <v>-975</v>
      </c>
    </row>
    <row r="74" spans="1:11">
      <c r="A74" s="224"/>
      <c r="B74" s="223"/>
      <c r="C74" s="223"/>
      <c r="D74" s="223"/>
      <c r="E74" s="223"/>
      <c r="F74" s="223"/>
      <c r="G74" s="223"/>
      <c r="H74" s="223"/>
      <c r="I74" s="223"/>
      <c r="J74" s="223"/>
      <c r="K74" s="2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K38"/>
  <sheetViews>
    <sheetView topLeftCell="B26" workbookViewId="0">
      <selection activeCell="F41" sqref="F41"/>
    </sheetView>
  </sheetViews>
  <sheetFormatPr defaultRowHeight="15"/>
  <cols>
    <col min="2" max="2" width="16.85546875" customWidth="1"/>
    <col min="3" max="3" width="20.140625" customWidth="1"/>
    <col min="4" max="4" width="22.5703125" customWidth="1"/>
    <col min="5" max="5" width="17.42578125" customWidth="1"/>
    <col min="6" max="6" width="15.42578125" customWidth="1"/>
    <col min="7" max="7" width="16.140625" customWidth="1"/>
    <col min="10" max="10" width="42.85546875" customWidth="1"/>
    <col min="11" max="11" width="22" customWidth="1"/>
  </cols>
  <sheetData>
    <row r="3" spans="1:11">
      <c r="A3" s="699" t="s">
        <v>75</v>
      </c>
      <c r="B3" s="700"/>
      <c r="C3" s="700"/>
      <c r="D3" s="700"/>
      <c r="E3" s="700"/>
      <c r="F3" s="225"/>
      <c r="G3" s="225"/>
      <c r="H3" s="225"/>
      <c r="I3" s="225"/>
      <c r="J3" s="225"/>
      <c r="K3" s="225"/>
    </row>
    <row r="4" spans="1:11">
      <c r="A4" s="701"/>
      <c r="B4" s="701"/>
      <c r="C4" s="701"/>
      <c r="D4" s="701"/>
      <c r="E4" s="701"/>
      <c r="F4" s="225"/>
      <c r="G4" s="225"/>
      <c r="H4" s="225"/>
      <c r="I4" s="225"/>
      <c r="J4" s="225"/>
      <c r="K4" s="225"/>
    </row>
    <row r="6" spans="1:11" ht="15.75">
      <c r="A6" s="702" t="s">
        <v>1</v>
      </c>
      <c r="B6" s="704" t="s">
        <v>2</v>
      </c>
      <c r="C6" s="705"/>
      <c r="D6" s="697" t="s">
        <v>3</v>
      </c>
      <c r="E6" s="694" t="s">
        <v>4</v>
      </c>
      <c r="F6" s="697" t="s">
        <v>5</v>
      </c>
      <c r="G6" s="694" t="s">
        <v>6</v>
      </c>
      <c r="H6" s="226"/>
      <c r="I6" s="227" t="s">
        <v>7</v>
      </c>
      <c r="J6" s="228"/>
      <c r="K6" s="229"/>
    </row>
    <row r="7" spans="1:11" ht="15.75">
      <c r="A7" s="703"/>
      <c r="B7" s="230" t="s">
        <v>8</v>
      </c>
      <c r="C7" s="231" t="s">
        <v>9</v>
      </c>
      <c r="D7" s="698"/>
      <c r="E7" s="695"/>
      <c r="F7" s="698"/>
      <c r="G7" s="695"/>
      <c r="H7" s="226"/>
      <c r="I7" s="232" t="s">
        <v>1</v>
      </c>
      <c r="J7" s="233" t="s">
        <v>10</v>
      </c>
      <c r="K7" s="234" t="s">
        <v>11</v>
      </c>
    </row>
    <row r="8" spans="1:11">
      <c r="A8" s="235">
        <v>44687</v>
      </c>
      <c r="B8" s="236">
        <v>1200000</v>
      </c>
      <c r="C8" s="236">
        <v>4760000</v>
      </c>
      <c r="D8" s="237">
        <v>5960000</v>
      </c>
      <c r="E8" s="238">
        <v>2520000</v>
      </c>
      <c r="F8" s="236">
        <v>3440000</v>
      </c>
      <c r="G8" s="239">
        <v>2240000</v>
      </c>
      <c r="H8" s="229"/>
      <c r="I8" s="235">
        <v>44690</v>
      </c>
      <c r="J8" s="240" t="s">
        <v>76</v>
      </c>
      <c r="K8" s="274">
        <v>22000000</v>
      </c>
    </row>
    <row r="9" spans="1:11">
      <c r="A9" s="290">
        <v>44688</v>
      </c>
      <c r="B9" s="291">
        <v>170000</v>
      </c>
      <c r="C9" s="291">
        <v>2300000</v>
      </c>
      <c r="D9" s="237">
        <v>2470000</v>
      </c>
      <c r="E9" s="238">
        <v>1245000</v>
      </c>
      <c r="F9" s="291">
        <v>1225000</v>
      </c>
      <c r="G9" s="239">
        <v>1055000</v>
      </c>
      <c r="H9" s="229"/>
      <c r="I9" s="241">
        <v>44692</v>
      </c>
      <c r="J9" s="242" t="s">
        <v>77</v>
      </c>
      <c r="K9" s="275">
        <v>7600000</v>
      </c>
    </row>
    <row r="10" spans="1:11">
      <c r="A10" s="270">
        <v>44689</v>
      </c>
      <c r="B10" s="271"/>
      <c r="C10" s="271"/>
      <c r="D10" s="271"/>
      <c r="E10" s="271"/>
      <c r="F10" s="271"/>
      <c r="G10" s="271"/>
      <c r="H10" s="244"/>
      <c r="I10" s="241">
        <v>44692</v>
      </c>
      <c r="J10" s="242" t="s">
        <v>78</v>
      </c>
      <c r="K10" s="275">
        <v>2150000</v>
      </c>
    </row>
    <row r="11" spans="1:11">
      <c r="A11" s="235">
        <v>44690</v>
      </c>
      <c r="B11" s="236">
        <v>3500000</v>
      </c>
      <c r="C11" s="236">
        <v>1550000</v>
      </c>
      <c r="D11" s="237">
        <v>5050000</v>
      </c>
      <c r="E11" s="238">
        <v>1945000</v>
      </c>
      <c r="F11" s="236">
        <v>3105000</v>
      </c>
      <c r="G11" s="239">
        <v>-395000</v>
      </c>
      <c r="H11" s="229"/>
      <c r="I11" s="245">
        <v>44692</v>
      </c>
      <c r="J11" s="240" t="s">
        <v>79</v>
      </c>
      <c r="K11" s="276">
        <v>25000000</v>
      </c>
    </row>
    <row r="12" spans="1:11">
      <c r="A12" s="235">
        <v>44691</v>
      </c>
      <c r="B12" s="236">
        <v>7475000</v>
      </c>
      <c r="C12" s="236">
        <v>400000</v>
      </c>
      <c r="D12" s="237">
        <v>7875000</v>
      </c>
      <c r="E12" s="238">
        <v>1290000</v>
      </c>
      <c r="F12" s="236">
        <v>6585000</v>
      </c>
      <c r="G12" s="239">
        <v>-890000</v>
      </c>
      <c r="H12" s="246"/>
      <c r="I12" s="245">
        <v>44693</v>
      </c>
      <c r="J12" s="247" t="s">
        <v>80</v>
      </c>
      <c r="K12" s="273">
        <v>1420000</v>
      </c>
    </row>
    <row r="13" spans="1:11">
      <c r="A13" s="235">
        <v>44692</v>
      </c>
      <c r="B13" s="236">
        <v>375000</v>
      </c>
      <c r="C13" s="236">
        <v>1530000</v>
      </c>
      <c r="D13" s="237">
        <v>1905000</v>
      </c>
      <c r="E13" s="238">
        <v>1845000</v>
      </c>
      <c r="F13" s="236">
        <v>60000</v>
      </c>
      <c r="G13" s="239">
        <v>-315000</v>
      </c>
      <c r="H13" s="246"/>
      <c r="I13" s="235">
        <v>44694</v>
      </c>
      <c r="J13" s="272" t="s">
        <v>81</v>
      </c>
      <c r="K13" s="274">
        <v>450000</v>
      </c>
    </row>
    <row r="14" spans="1:11">
      <c r="A14" s="235">
        <v>44693</v>
      </c>
      <c r="B14" s="236">
        <v>51300000</v>
      </c>
      <c r="C14" s="236">
        <v>6855000</v>
      </c>
      <c r="D14" s="237">
        <v>58155000</v>
      </c>
      <c r="E14" s="238">
        <v>3255000</v>
      </c>
      <c r="F14" s="236">
        <v>54900000</v>
      </c>
      <c r="G14" s="239">
        <v>3600000</v>
      </c>
      <c r="H14" s="229"/>
      <c r="I14" s="235">
        <v>44695</v>
      </c>
      <c r="J14" s="248" t="s">
        <v>82</v>
      </c>
      <c r="K14" s="277">
        <v>25000000</v>
      </c>
    </row>
    <row r="15" spans="1:11">
      <c r="A15" s="235">
        <v>44694</v>
      </c>
      <c r="B15" s="236">
        <v>2800000</v>
      </c>
      <c r="C15" s="236">
        <v>5145000</v>
      </c>
      <c r="D15" s="237">
        <v>7945000</v>
      </c>
      <c r="E15" s="238">
        <v>3975000</v>
      </c>
      <c r="F15" s="236">
        <v>3970000</v>
      </c>
      <c r="G15" s="239">
        <v>1170000</v>
      </c>
      <c r="H15" s="229"/>
      <c r="I15" s="235">
        <v>44700</v>
      </c>
      <c r="J15" s="247" t="s">
        <v>83</v>
      </c>
      <c r="K15" s="274">
        <v>25000000</v>
      </c>
    </row>
    <row r="16" spans="1:11">
      <c r="A16" s="235">
        <v>44695</v>
      </c>
      <c r="B16" s="236">
        <v>900000</v>
      </c>
      <c r="C16" s="236">
        <v>1070000</v>
      </c>
      <c r="D16" s="237">
        <v>1970000</v>
      </c>
      <c r="E16" s="238">
        <v>1095000</v>
      </c>
      <c r="F16" s="236">
        <v>875000</v>
      </c>
      <c r="G16" s="239">
        <v>-25000</v>
      </c>
      <c r="H16" s="229"/>
      <c r="I16" s="235">
        <v>44702</v>
      </c>
      <c r="J16" s="247" t="s">
        <v>83</v>
      </c>
      <c r="K16" s="274">
        <v>30000000</v>
      </c>
    </row>
    <row r="17" spans="1:11">
      <c r="A17" s="270">
        <v>44696</v>
      </c>
      <c r="B17" s="271"/>
      <c r="C17" s="271"/>
      <c r="D17" s="271"/>
      <c r="E17" s="271"/>
      <c r="F17" s="271"/>
      <c r="G17" s="271"/>
      <c r="H17" s="246"/>
      <c r="I17" s="249">
        <v>44702</v>
      </c>
      <c r="J17" s="251" t="s">
        <v>84</v>
      </c>
      <c r="K17" s="277">
        <v>1500000</v>
      </c>
    </row>
    <row r="18" spans="1:11">
      <c r="A18" s="235">
        <v>44697</v>
      </c>
      <c r="B18" s="278">
        <v>5500000</v>
      </c>
      <c r="C18" s="278">
        <v>5130000</v>
      </c>
      <c r="D18" s="237">
        <v>10630000</v>
      </c>
      <c r="E18" s="238">
        <v>3155000</v>
      </c>
      <c r="F18" s="236">
        <v>7475000</v>
      </c>
      <c r="G18" s="239">
        <v>1975000</v>
      </c>
      <c r="H18" s="250"/>
      <c r="I18" s="249">
        <v>44702</v>
      </c>
      <c r="J18" s="242" t="s">
        <v>85</v>
      </c>
      <c r="K18" s="277">
        <v>2500000</v>
      </c>
    </row>
    <row r="19" spans="1:11">
      <c r="A19" s="235">
        <v>44698</v>
      </c>
      <c r="B19" s="278">
        <v>15200000</v>
      </c>
      <c r="C19" s="278">
        <v>3920000</v>
      </c>
      <c r="D19" s="237">
        <v>19120000</v>
      </c>
      <c r="E19" s="238">
        <v>1545000</v>
      </c>
      <c r="F19" s="236">
        <v>17575000</v>
      </c>
      <c r="G19" s="239">
        <v>2375000</v>
      </c>
      <c r="H19" s="250"/>
      <c r="I19" s="249">
        <v>44705</v>
      </c>
      <c r="J19" s="272" t="s">
        <v>83</v>
      </c>
      <c r="K19" s="279">
        <v>15000000</v>
      </c>
    </row>
    <row r="20" spans="1:11">
      <c r="A20" s="235">
        <v>44699</v>
      </c>
      <c r="B20" s="278">
        <v>3385000</v>
      </c>
      <c r="C20" s="278">
        <v>7325000</v>
      </c>
      <c r="D20" s="237">
        <v>10710000</v>
      </c>
      <c r="E20" s="238">
        <v>4430000</v>
      </c>
      <c r="F20" s="236">
        <v>6280000</v>
      </c>
      <c r="G20" s="239">
        <v>2895000</v>
      </c>
      <c r="H20" s="225"/>
      <c r="I20" s="249">
        <v>44706</v>
      </c>
      <c r="J20" s="251" t="s">
        <v>86</v>
      </c>
      <c r="K20" s="277">
        <v>550000</v>
      </c>
    </row>
    <row r="21" spans="1:11">
      <c r="A21" s="235">
        <v>44700</v>
      </c>
      <c r="B21" s="278">
        <v>10325000</v>
      </c>
      <c r="C21" s="278">
        <v>3935000</v>
      </c>
      <c r="D21" s="237">
        <v>14260000</v>
      </c>
      <c r="E21" s="238">
        <v>2430000</v>
      </c>
      <c r="F21" s="236">
        <v>11830000</v>
      </c>
      <c r="G21" s="239">
        <v>1505000</v>
      </c>
      <c r="H21" s="225"/>
      <c r="I21" s="252">
        <v>44707</v>
      </c>
      <c r="J21" s="247" t="s">
        <v>87</v>
      </c>
      <c r="K21" s="274">
        <v>5500000</v>
      </c>
    </row>
    <row r="22" spans="1:11">
      <c r="A22" s="235">
        <v>44701</v>
      </c>
      <c r="B22" s="280">
        <v>2600000</v>
      </c>
      <c r="C22" s="281">
        <v>1055000</v>
      </c>
      <c r="D22" s="237">
        <v>3655000</v>
      </c>
      <c r="E22" s="282">
        <v>1570000</v>
      </c>
      <c r="F22" s="236">
        <v>2085000</v>
      </c>
      <c r="G22" s="239">
        <v>-515000</v>
      </c>
      <c r="H22" s="253"/>
      <c r="I22" s="249">
        <v>44708</v>
      </c>
      <c r="J22" s="251" t="s">
        <v>88</v>
      </c>
      <c r="K22" s="243">
        <v>12000000</v>
      </c>
    </row>
    <row r="23" spans="1:11">
      <c r="A23" s="235">
        <v>44702</v>
      </c>
      <c r="B23" s="278">
        <v>900000</v>
      </c>
      <c r="C23" s="278">
        <v>615000</v>
      </c>
      <c r="D23" s="237">
        <v>1515000</v>
      </c>
      <c r="E23" s="238">
        <v>1175000</v>
      </c>
      <c r="F23" s="236">
        <v>340000</v>
      </c>
      <c r="G23" s="239">
        <v>-560000</v>
      </c>
      <c r="H23" s="225"/>
      <c r="I23" s="249">
        <v>44708</v>
      </c>
      <c r="J23" s="251" t="s">
        <v>89</v>
      </c>
      <c r="K23" s="243">
        <v>5000000</v>
      </c>
    </row>
    <row r="24" spans="1:11">
      <c r="A24" s="270">
        <v>44703</v>
      </c>
      <c r="B24" s="292"/>
      <c r="C24" s="292"/>
      <c r="D24" s="271"/>
      <c r="E24" s="271"/>
      <c r="F24" s="271"/>
      <c r="G24" s="271"/>
      <c r="H24" s="225"/>
      <c r="I24" s="249">
        <v>44710</v>
      </c>
      <c r="J24" s="251" t="s">
        <v>90</v>
      </c>
      <c r="K24" s="243">
        <v>750000</v>
      </c>
    </row>
    <row r="25" spans="1:11">
      <c r="A25" s="245">
        <v>44704</v>
      </c>
      <c r="B25" s="281">
        <v>10225000</v>
      </c>
      <c r="C25" s="281">
        <v>4000000</v>
      </c>
      <c r="D25" s="237">
        <v>14225000</v>
      </c>
      <c r="E25" s="282">
        <v>3615000</v>
      </c>
      <c r="F25" s="236">
        <v>10610000</v>
      </c>
      <c r="G25" s="239">
        <v>385000</v>
      </c>
      <c r="H25" s="253"/>
      <c r="I25" s="249">
        <v>44711</v>
      </c>
      <c r="J25" s="251" t="s">
        <v>91</v>
      </c>
      <c r="K25" s="243">
        <v>1920000</v>
      </c>
    </row>
    <row r="26" spans="1:11">
      <c r="A26" s="235">
        <v>44705</v>
      </c>
      <c r="B26" s="278"/>
      <c r="C26" s="278">
        <v>2800000</v>
      </c>
      <c r="D26" s="237">
        <v>2800000</v>
      </c>
      <c r="E26" s="238">
        <v>1245000</v>
      </c>
      <c r="F26" s="236">
        <v>1555000</v>
      </c>
      <c r="G26" s="239">
        <v>1555000</v>
      </c>
      <c r="H26" s="225"/>
      <c r="I26" s="249">
        <v>44711</v>
      </c>
      <c r="J26" s="251" t="s">
        <v>92</v>
      </c>
      <c r="K26" s="243">
        <v>22000000</v>
      </c>
    </row>
    <row r="27" spans="1:11">
      <c r="A27" s="235">
        <v>44706</v>
      </c>
      <c r="B27" s="278">
        <v>17331000</v>
      </c>
      <c r="C27" s="278">
        <v>4275000</v>
      </c>
      <c r="D27" s="237">
        <v>21606000</v>
      </c>
      <c r="E27" s="238">
        <v>2340000</v>
      </c>
      <c r="F27" s="236">
        <v>19266000</v>
      </c>
      <c r="G27" s="239">
        <v>1935000</v>
      </c>
      <c r="H27" s="225"/>
      <c r="I27" s="249"/>
      <c r="J27" s="251"/>
      <c r="K27" s="243"/>
    </row>
    <row r="28" spans="1:11">
      <c r="A28" s="235">
        <v>44707</v>
      </c>
      <c r="B28" s="278">
        <v>2850000</v>
      </c>
      <c r="C28" s="278">
        <v>3900000</v>
      </c>
      <c r="D28" s="237">
        <v>6750000</v>
      </c>
      <c r="E28" s="238">
        <v>1275000</v>
      </c>
      <c r="F28" s="236">
        <v>5475000</v>
      </c>
      <c r="G28" s="239">
        <v>2625000</v>
      </c>
      <c r="H28" s="225"/>
      <c r="I28" s="249"/>
      <c r="J28" s="251"/>
      <c r="K28" s="243"/>
    </row>
    <row r="29" spans="1:11">
      <c r="A29" s="283">
        <v>44708</v>
      </c>
      <c r="B29" s="284">
        <v>12790000</v>
      </c>
      <c r="C29" s="284">
        <v>7325000</v>
      </c>
      <c r="D29" s="285">
        <v>20115000</v>
      </c>
      <c r="E29" s="286">
        <v>3055000</v>
      </c>
      <c r="F29" s="287">
        <v>17060000</v>
      </c>
      <c r="G29" s="288">
        <v>4270000</v>
      </c>
      <c r="H29" s="225"/>
      <c r="I29" s="249"/>
      <c r="J29" s="251"/>
      <c r="K29" s="243"/>
    </row>
    <row r="30" spans="1:11">
      <c r="A30" s="235">
        <v>44709</v>
      </c>
      <c r="B30" s="278">
        <v>3200000</v>
      </c>
      <c r="C30" s="278">
        <v>1590000</v>
      </c>
      <c r="D30" s="237">
        <v>4790000</v>
      </c>
      <c r="E30" s="238">
        <v>1110000</v>
      </c>
      <c r="F30" s="236">
        <v>3680000</v>
      </c>
      <c r="G30" s="239">
        <v>480000</v>
      </c>
      <c r="H30" s="225"/>
      <c r="I30" s="249"/>
      <c r="J30" s="251"/>
      <c r="K30" s="243"/>
    </row>
    <row r="31" spans="1:11">
      <c r="A31" s="270">
        <v>44710</v>
      </c>
      <c r="B31" s="292"/>
      <c r="C31" s="292"/>
      <c r="D31" s="271"/>
      <c r="E31" s="271"/>
      <c r="F31" s="271"/>
      <c r="G31" s="271"/>
      <c r="H31" s="225"/>
      <c r="I31" s="254"/>
      <c r="J31" s="247"/>
      <c r="K31" s="255">
        <v>205340000</v>
      </c>
    </row>
    <row r="32" spans="1:11">
      <c r="A32" s="235">
        <v>44711</v>
      </c>
      <c r="B32" s="278"/>
      <c r="C32" s="278">
        <v>1865000</v>
      </c>
      <c r="D32" s="237">
        <v>1865000</v>
      </c>
      <c r="E32" s="238">
        <v>1435000</v>
      </c>
      <c r="F32" s="236">
        <v>430000</v>
      </c>
      <c r="G32" s="239">
        <v>430000</v>
      </c>
      <c r="H32" s="225"/>
      <c r="I32" s="250"/>
      <c r="J32" s="225"/>
      <c r="K32" s="225"/>
    </row>
    <row r="33" spans="1:11" ht="15.75">
      <c r="A33" s="235">
        <v>44712</v>
      </c>
      <c r="B33" s="278">
        <v>13998000</v>
      </c>
      <c r="C33" s="278">
        <v>2165000</v>
      </c>
      <c r="D33" s="237">
        <v>16163000</v>
      </c>
      <c r="E33" s="238">
        <v>3290000</v>
      </c>
      <c r="F33" s="236">
        <v>12873000</v>
      </c>
      <c r="G33" s="239">
        <v>-1125000</v>
      </c>
      <c r="H33" s="225"/>
      <c r="I33" s="256" t="s">
        <v>27</v>
      </c>
      <c r="J33" s="257" t="s">
        <v>28</v>
      </c>
      <c r="K33" s="258">
        <v>239534000</v>
      </c>
    </row>
    <row r="34" spans="1:11" ht="15.75">
      <c r="A34" s="289"/>
      <c r="B34" s="278"/>
      <c r="C34" s="278"/>
      <c r="D34" s="237"/>
      <c r="E34" s="238"/>
      <c r="F34" s="236"/>
      <c r="G34" s="239"/>
      <c r="H34" s="225"/>
      <c r="I34" s="259"/>
      <c r="J34" s="260" t="s">
        <v>29</v>
      </c>
      <c r="K34" s="261">
        <v>48840000</v>
      </c>
    </row>
    <row r="35" spans="1:11" ht="15.75">
      <c r="A35" s="235"/>
      <c r="B35" s="265"/>
      <c r="C35" s="265">
        <v>73510000</v>
      </c>
      <c r="D35" s="266">
        <v>239534000</v>
      </c>
      <c r="E35" s="267">
        <v>48840000</v>
      </c>
      <c r="F35" s="268">
        <v>190694000</v>
      </c>
      <c r="G35" s="269">
        <f>SUM(G8:G34)</f>
        <v>24670000</v>
      </c>
      <c r="H35" s="262"/>
      <c r="I35" s="259"/>
      <c r="J35" s="260" t="s">
        <v>30</v>
      </c>
      <c r="K35" s="261">
        <v>205340000</v>
      </c>
    </row>
    <row r="36" spans="1:11" ht="15.75">
      <c r="A36" s="225"/>
      <c r="B36" s="225"/>
      <c r="C36" s="225"/>
      <c r="D36" s="225"/>
      <c r="E36" s="225"/>
      <c r="F36" s="225"/>
      <c r="G36" s="225"/>
      <c r="H36" s="225"/>
      <c r="I36" s="259"/>
      <c r="J36" s="260" t="s">
        <v>31</v>
      </c>
      <c r="K36" s="261">
        <v>254180000</v>
      </c>
    </row>
    <row r="37" spans="1:11" ht="15.75">
      <c r="A37" s="225"/>
      <c r="B37" s="225"/>
      <c r="C37" s="225"/>
      <c r="D37" s="225"/>
      <c r="E37" s="225"/>
      <c r="F37" s="225"/>
      <c r="G37" s="225"/>
      <c r="H37" s="225"/>
      <c r="I37" s="259"/>
      <c r="J37" s="263"/>
      <c r="K37" s="258"/>
    </row>
    <row r="38" spans="1:11" ht="18">
      <c r="A38" s="225"/>
      <c r="B38" s="225"/>
      <c r="C38" s="225"/>
      <c r="D38" s="225"/>
      <c r="E38" s="225"/>
      <c r="F38" s="225"/>
      <c r="G38" s="225"/>
      <c r="H38" s="225"/>
      <c r="I38" s="696" t="s">
        <v>182</v>
      </c>
      <c r="J38" s="696"/>
      <c r="K38" s="264">
        <v>-14646000</v>
      </c>
    </row>
  </sheetData>
  <mergeCells count="8">
    <mergeCell ref="G6:G7"/>
    <mergeCell ref="I38:J38"/>
    <mergeCell ref="A3:E4"/>
    <mergeCell ref="A6:A7"/>
    <mergeCell ref="B6:C6"/>
    <mergeCell ref="D6:D7"/>
    <mergeCell ref="E6:E7"/>
    <mergeCell ref="F6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7"/>
  <sheetViews>
    <sheetView topLeftCell="C25" workbookViewId="0">
      <selection activeCell="F46" sqref="F46"/>
    </sheetView>
  </sheetViews>
  <sheetFormatPr defaultRowHeight="15"/>
  <cols>
    <col min="2" max="2" width="15.5703125" customWidth="1"/>
    <col min="3" max="3" width="17.140625" customWidth="1"/>
    <col min="4" max="4" width="16.7109375" customWidth="1"/>
    <col min="5" max="5" width="15.7109375" customWidth="1"/>
    <col min="6" max="6" width="20.140625" customWidth="1"/>
    <col min="7" max="7" width="14.7109375" customWidth="1"/>
    <col min="10" max="10" width="31.140625" customWidth="1"/>
    <col min="11" max="11" width="21.5703125" customWidth="1"/>
  </cols>
  <sheetData>
    <row r="1" spans="1:12">
      <c r="A1" s="709" t="s">
        <v>93</v>
      </c>
      <c r="B1" s="710"/>
      <c r="C1" s="710"/>
      <c r="D1" s="710"/>
      <c r="E1" s="710"/>
      <c r="F1" s="293"/>
      <c r="G1" s="293"/>
      <c r="H1" s="293"/>
      <c r="I1" s="293"/>
      <c r="J1" s="293"/>
      <c r="K1" s="293"/>
      <c r="L1" s="293"/>
    </row>
    <row r="2" spans="1:12">
      <c r="A2" s="711"/>
      <c r="B2" s="711"/>
      <c r="C2" s="711"/>
      <c r="D2" s="711"/>
      <c r="E2" s="711"/>
      <c r="F2" s="293"/>
      <c r="G2" s="293"/>
      <c r="H2" s="293"/>
      <c r="I2" s="293"/>
      <c r="J2" s="293"/>
      <c r="K2" s="293"/>
      <c r="L2" s="293"/>
    </row>
    <row r="4" spans="1:12" ht="15.75">
      <c r="A4" s="712" t="s">
        <v>1</v>
      </c>
      <c r="B4" s="714" t="s">
        <v>2</v>
      </c>
      <c r="C4" s="715"/>
      <c r="D4" s="716" t="s">
        <v>3</v>
      </c>
      <c r="E4" s="706" t="s">
        <v>4</v>
      </c>
      <c r="F4" s="716" t="s">
        <v>5</v>
      </c>
      <c r="G4" s="706" t="s">
        <v>6</v>
      </c>
      <c r="H4" s="294"/>
      <c r="I4" s="295" t="s">
        <v>7</v>
      </c>
      <c r="J4" s="296"/>
      <c r="K4" s="297"/>
      <c r="L4" s="293"/>
    </row>
    <row r="5" spans="1:12" ht="15.75">
      <c r="A5" s="713"/>
      <c r="B5" s="298" t="s">
        <v>8</v>
      </c>
      <c r="C5" s="299" t="s">
        <v>9</v>
      </c>
      <c r="D5" s="717"/>
      <c r="E5" s="707"/>
      <c r="F5" s="717"/>
      <c r="G5" s="707"/>
      <c r="H5" s="294"/>
      <c r="I5" s="300" t="s">
        <v>1</v>
      </c>
      <c r="J5" s="301" t="s">
        <v>10</v>
      </c>
      <c r="K5" s="302" t="s">
        <v>11</v>
      </c>
      <c r="L5" s="293"/>
    </row>
    <row r="6" spans="1:12">
      <c r="A6" s="303">
        <v>44652</v>
      </c>
      <c r="B6" s="304">
        <v>850000</v>
      </c>
      <c r="C6" s="304">
        <v>2200000</v>
      </c>
      <c r="D6" s="305">
        <v>3050000</v>
      </c>
      <c r="E6" s="306">
        <v>6075000</v>
      </c>
      <c r="F6" s="304">
        <v>-3025000</v>
      </c>
      <c r="G6" s="307">
        <v>-3875000</v>
      </c>
      <c r="H6" s="297"/>
      <c r="I6" s="303">
        <v>44653</v>
      </c>
      <c r="J6" s="308" t="s">
        <v>94</v>
      </c>
      <c r="K6" s="342">
        <v>5000000</v>
      </c>
      <c r="L6" s="293"/>
    </row>
    <row r="7" spans="1:12">
      <c r="A7" s="338">
        <v>44653</v>
      </c>
      <c r="B7" s="339"/>
      <c r="C7" s="339"/>
      <c r="D7" s="339"/>
      <c r="E7" s="339"/>
      <c r="F7" s="339"/>
      <c r="G7" s="339"/>
      <c r="H7" s="297"/>
      <c r="I7" s="309">
        <v>44656</v>
      </c>
      <c r="J7" s="310" t="s">
        <v>95</v>
      </c>
      <c r="K7" s="343">
        <v>10000000</v>
      </c>
      <c r="L7" s="293"/>
    </row>
    <row r="8" spans="1:12">
      <c r="A8" s="338">
        <v>44654</v>
      </c>
      <c r="B8" s="339"/>
      <c r="C8" s="339"/>
      <c r="D8" s="339"/>
      <c r="E8" s="339"/>
      <c r="F8" s="339"/>
      <c r="G8" s="339"/>
      <c r="H8" s="312"/>
      <c r="I8" s="309">
        <v>44661</v>
      </c>
      <c r="J8" s="310" t="s">
        <v>94</v>
      </c>
      <c r="K8" s="343">
        <v>8600000</v>
      </c>
      <c r="L8" s="293"/>
    </row>
    <row r="9" spans="1:12">
      <c r="A9" s="303">
        <v>44655</v>
      </c>
      <c r="B9" s="304">
        <v>5700000</v>
      </c>
      <c r="C9" s="304">
        <v>3010000</v>
      </c>
      <c r="D9" s="305">
        <v>8710000</v>
      </c>
      <c r="E9" s="306">
        <v>2640000</v>
      </c>
      <c r="F9" s="304">
        <v>6070000</v>
      </c>
      <c r="G9" s="307">
        <v>370000</v>
      </c>
      <c r="H9" s="297"/>
      <c r="I9" s="313">
        <v>44662</v>
      </c>
      <c r="J9" s="308" t="s">
        <v>96</v>
      </c>
      <c r="K9" s="344">
        <v>4500000</v>
      </c>
      <c r="L9" s="293"/>
    </row>
    <row r="10" spans="1:12" ht="30">
      <c r="A10" s="303">
        <v>44656</v>
      </c>
      <c r="B10" s="304">
        <v>1350000</v>
      </c>
      <c r="C10" s="304">
        <v>3900000</v>
      </c>
      <c r="D10" s="305">
        <v>5250000</v>
      </c>
      <c r="E10" s="306">
        <v>3625000</v>
      </c>
      <c r="F10" s="304">
        <v>1625000</v>
      </c>
      <c r="G10" s="307">
        <v>275000</v>
      </c>
      <c r="H10" s="314"/>
      <c r="I10" s="313">
        <v>44663</v>
      </c>
      <c r="J10" s="315" t="s">
        <v>97</v>
      </c>
      <c r="K10" s="341">
        <v>2010000</v>
      </c>
      <c r="L10" s="293"/>
    </row>
    <row r="11" spans="1:12">
      <c r="A11" s="303">
        <v>44657</v>
      </c>
      <c r="B11" s="304">
        <v>3900000</v>
      </c>
      <c r="C11" s="304">
        <v>7425000</v>
      </c>
      <c r="D11" s="305">
        <v>11325000</v>
      </c>
      <c r="E11" s="306">
        <v>2450000</v>
      </c>
      <c r="F11" s="304">
        <v>8875000</v>
      </c>
      <c r="G11" s="307">
        <v>4975000</v>
      </c>
      <c r="H11" s="314"/>
      <c r="I11" s="303">
        <v>44665</v>
      </c>
      <c r="J11" s="340" t="s">
        <v>98</v>
      </c>
      <c r="K11" s="342">
        <v>19220000</v>
      </c>
      <c r="L11" s="293"/>
    </row>
    <row r="12" spans="1:12" ht="30">
      <c r="A12" s="303">
        <v>44658</v>
      </c>
      <c r="B12" s="304">
        <v>2650000</v>
      </c>
      <c r="C12" s="304">
        <v>1800000</v>
      </c>
      <c r="D12" s="305">
        <v>4450000</v>
      </c>
      <c r="E12" s="306">
        <v>1330000</v>
      </c>
      <c r="F12" s="304">
        <v>3120000</v>
      </c>
      <c r="G12" s="307">
        <v>470000</v>
      </c>
      <c r="H12" s="297"/>
      <c r="I12" s="303">
        <v>44665</v>
      </c>
      <c r="J12" s="316" t="s">
        <v>99</v>
      </c>
      <c r="K12" s="345">
        <v>950000</v>
      </c>
      <c r="L12" s="293"/>
    </row>
    <row r="13" spans="1:12" ht="30">
      <c r="A13" s="303">
        <v>44659</v>
      </c>
      <c r="B13" s="304">
        <v>20665000</v>
      </c>
      <c r="C13" s="304">
        <v>1505000</v>
      </c>
      <c r="D13" s="305">
        <v>22170000</v>
      </c>
      <c r="E13" s="306">
        <v>1835000</v>
      </c>
      <c r="F13" s="304">
        <v>20335000</v>
      </c>
      <c r="G13" s="307">
        <v>-330000</v>
      </c>
      <c r="H13" s="297"/>
      <c r="I13" s="303">
        <v>44665</v>
      </c>
      <c r="J13" s="315" t="s">
        <v>100</v>
      </c>
      <c r="K13" s="342">
        <v>950000</v>
      </c>
      <c r="L13" s="293"/>
    </row>
    <row r="14" spans="1:12" ht="30">
      <c r="A14" s="303">
        <v>44660</v>
      </c>
      <c r="B14" s="304">
        <v>2780000</v>
      </c>
      <c r="C14" s="304">
        <v>5490000</v>
      </c>
      <c r="D14" s="305">
        <v>8270000</v>
      </c>
      <c r="E14" s="306">
        <v>2375000</v>
      </c>
      <c r="F14" s="304">
        <v>5895000</v>
      </c>
      <c r="G14" s="307">
        <v>3115000</v>
      </c>
      <c r="H14" s="297"/>
      <c r="I14" s="303">
        <v>44670</v>
      </c>
      <c r="J14" s="315" t="s">
        <v>101</v>
      </c>
      <c r="K14" s="342">
        <v>50000000</v>
      </c>
      <c r="L14" s="293"/>
    </row>
    <row r="15" spans="1:12">
      <c r="A15" s="338">
        <v>44661</v>
      </c>
      <c r="B15" s="339"/>
      <c r="C15" s="339"/>
      <c r="D15" s="339"/>
      <c r="E15" s="339"/>
      <c r="F15" s="339"/>
      <c r="G15" s="339"/>
      <c r="H15" s="314"/>
      <c r="I15" s="317">
        <v>44671</v>
      </c>
      <c r="J15" s="319" t="s">
        <v>102</v>
      </c>
      <c r="K15" s="345">
        <v>550000</v>
      </c>
      <c r="L15" s="293"/>
    </row>
    <row r="16" spans="1:12">
      <c r="A16" s="303">
        <v>44662</v>
      </c>
      <c r="B16" s="346"/>
      <c r="C16" s="346">
        <v>1225000</v>
      </c>
      <c r="D16" s="305">
        <v>1225000</v>
      </c>
      <c r="E16" s="306">
        <v>2050000</v>
      </c>
      <c r="F16" s="304">
        <v>-825000</v>
      </c>
      <c r="G16" s="307">
        <v>-825000</v>
      </c>
      <c r="H16" s="318"/>
      <c r="I16" s="317">
        <v>44672</v>
      </c>
      <c r="J16" s="310" t="s">
        <v>103</v>
      </c>
      <c r="K16" s="345">
        <v>2067000</v>
      </c>
      <c r="L16" s="318" t="s">
        <v>73</v>
      </c>
    </row>
    <row r="17" spans="1:12">
      <c r="A17" s="303">
        <v>44663</v>
      </c>
      <c r="B17" s="346">
        <v>2700000</v>
      </c>
      <c r="C17" s="346">
        <v>3775000</v>
      </c>
      <c r="D17" s="305">
        <v>6475000</v>
      </c>
      <c r="E17" s="306">
        <v>3425000</v>
      </c>
      <c r="F17" s="304">
        <v>3050000</v>
      </c>
      <c r="G17" s="307">
        <v>350000</v>
      </c>
      <c r="H17" s="318"/>
      <c r="I17" s="317">
        <v>44673</v>
      </c>
      <c r="J17" s="340" t="s">
        <v>104</v>
      </c>
      <c r="K17" s="347">
        <v>21720000</v>
      </c>
      <c r="L17" s="318"/>
    </row>
    <row r="18" spans="1:12">
      <c r="A18" s="303">
        <v>44664</v>
      </c>
      <c r="B18" s="346">
        <v>3500000</v>
      </c>
      <c r="C18" s="346">
        <v>6920000</v>
      </c>
      <c r="D18" s="305">
        <v>10420000</v>
      </c>
      <c r="E18" s="306">
        <v>2840000</v>
      </c>
      <c r="F18" s="304">
        <v>7580000</v>
      </c>
      <c r="G18" s="307">
        <v>4080000</v>
      </c>
      <c r="H18" s="293"/>
      <c r="I18" s="317">
        <v>44674</v>
      </c>
      <c r="J18" s="319" t="s">
        <v>105</v>
      </c>
      <c r="K18" s="345">
        <v>30000000</v>
      </c>
      <c r="L18" s="293"/>
    </row>
    <row r="19" spans="1:12">
      <c r="A19" s="303">
        <v>44665</v>
      </c>
      <c r="B19" s="346">
        <v>4150000</v>
      </c>
      <c r="C19" s="346">
        <v>7975000</v>
      </c>
      <c r="D19" s="305">
        <v>12125000</v>
      </c>
      <c r="E19" s="306">
        <v>2045000</v>
      </c>
      <c r="F19" s="304">
        <v>10080000</v>
      </c>
      <c r="G19" s="307">
        <v>5930000</v>
      </c>
      <c r="H19" s="293"/>
      <c r="I19" s="320">
        <v>44674</v>
      </c>
      <c r="J19" s="315" t="s">
        <v>106</v>
      </c>
      <c r="K19" s="342">
        <v>1500000</v>
      </c>
      <c r="L19" s="293"/>
    </row>
    <row r="20" spans="1:12">
      <c r="A20" s="303">
        <v>44666</v>
      </c>
      <c r="B20" s="348">
        <v>2400000</v>
      </c>
      <c r="C20" s="349">
        <v>2750000</v>
      </c>
      <c r="D20" s="305">
        <v>5150000</v>
      </c>
      <c r="E20" s="350">
        <v>1240000</v>
      </c>
      <c r="F20" s="304">
        <v>3910000</v>
      </c>
      <c r="G20" s="307">
        <v>1510000</v>
      </c>
      <c r="H20" s="321"/>
      <c r="I20" s="317">
        <v>44674</v>
      </c>
      <c r="J20" s="319" t="s">
        <v>107</v>
      </c>
      <c r="K20" s="311">
        <v>2787000</v>
      </c>
      <c r="L20" s="293"/>
    </row>
    <row r="21" spans="1:12">
      <c r="A21" s="303">
        <v>44667</v>
      </c>
      <c r="B21" s="346">
        <v>4950000</v>
      </c>
      <c r="C21" s="346">
        <v>4650000</v>
      </c>
      <c r="D21" s="305">
        <v>9600000</v>
      </c>
      <c r="E21" s="306">
        <v>2670000</v>
      </c>
      <c r="F21" s="304">
        <v>6930000</v>
      </c>
      <c r="G21" s="307">
        <v>1980000</v>
      </c>
      <c r="H21" s="293"/>
      <c r="I21" s="317">
        <v>44676</v>
      </c>
      <c r="J21" s="319" t="s">
        <v>46</v>
      </c>
      <c r="K21" s="311">
        <v>5500000</v>
      </c>
      <c r="L21" s="293"/>
    </row>
    <row r="22" spans="1:12">
      <c r="A22" s="338">
        <v>44668</v>
      </c>
      <c r="B22" s="358"/>
      <c r="C22" s="358"/>
      <c r="D22" s="339"/>
      <c r="E22" s="339"/>
      <c r="F22" s="339"/>
      <c r="G22" s="339"/>
      <c r="H22" s="293"/>
      <c r="I22" s="317">
        <v>44676</v>
      </c>
      <c r="J22" s="319" t="s">
        <v>108</v>
      </c>
      <c r="K22" s="311">
        <v>22280500</v>
      </c>
      <c r="L22" s="293"/>
    </row>
    <row r="23" spans="1:12">
      <c r="A23" s="313">
        <v>44669</v>
      </c>
      <c r="B23" s="349">
        <v>10800000</v>
      </c>
      <c r="C23" s="349">
        <v>2930000</v>
      </c>
      <c r="D23" s="305">
        <v>13730000</v>
      </c>
      <c r="E23" s="350">
        <v>2590000</v>
      </c>
      <c r="F23" s="304">
        <v>11140000</v>
      </c>
      <c r="G23" s="307">
        <v>340000</v>
      </c>
      <c r="H23" s="321"/>
      <c r="I23" s="317">
        <v>44676</v>
      </c>
      <c r="J23" s="319" t="s">
        <v>109</v>
      </c>
      <c r="K23" s="311">
        <v>890000</v>
      </c>
      <c r="L23" s="321"/>
    </row>
    <row r="24" spans="1:12">
      <c r="A24" s="303">
        <v>44670</v>
      </c>
      <c r="B24" s="346">
        <v>6550000</v>
      </c>
      <c r="C24" s="346">
        <v>5235000</v>
      </c>
      <c r="D24" s="305">
        <v>11785000</v>
      </c>
      <c r="E24" s="306">
        <v>3515000</v>
      </c>
      <c r="F24" s="304">
        <v>8270000</v>
      </c>
      <c r="G24" s="307">
        <v>1720000</v>
      </c>
      <c r="H24" s="293"/>
      <c r="I24" s="317">
        <v>44676</v>
      </c>
      <c r="J24" s="319" t="s">
        <v>110</v>
      </c>
      <c r="K24" s="311">
        <v>1100000</v>
      </c>
      <c r="L24" s="293"/>
    </row>
    <row r="25" spans="1:12">
      <c r="A25" s="303">
        <v>44671</v>
      </c>
      <c r="B25" s="346">
        <v>2600000</v>
      </c>
      <c r="C25" s="346">
        <v>9085000</v>
      </c>
      <c r="D25" s="305">
        <v>11685000</v>
      </c>
      <c r="E25" s="306">
        <v>2270000</v>
      </c>
      <c r="F25" s="304">
        <v>9415000</v>
      </c>
      <c r="G25" s="307">
        <v>6815000</v>
      </c>
      <c r="H25" s="293"/>
      <c r="I25" s="317">
        <v>44678</v>
      </c>
      <c r="J25" s="319" t="s">
        <v>111</v>
      </c>
      <c r="K25" s="311">
        <v>10000000</v>
      </c>
      <c r="L25" s="293"/>
    </row>
    <row r="26" spans="1:12">
      <c r="A26" s="303">
        <v>44672</v>
      </c>
      <c r="B26" s="346">
        <v>3630000</v>
      </c>
      <c r="C26" s="346">
        <v>695000</v>
      </c>
      <c r="D26" s="305">
        <v>4325000</v>
      </c>
      <c r="E26" s="306">
        <v>3105000</v>
      </c>
      <c r="F26" s="304">
        <v>1220000</v>
      </c>
      <c r="G26" s="307">
        <v>-2410000</v>
      </c>
      <c r="H26" s="293"/>
      <c r="I26" s="317">
        <v>44678</v>
      </c>
      <c r="J26" s="319" t="s">
        <v>112</v>
      </c>
      <c r="K26" s="311">
        <v>1700000</v>
      </c>
      <c r="L26" s="293"/>
    </row>
    <row r="27" spans="1:12">
      <c r="A27" s="351">
        <v>44673</v>
      </c>
      <c r="B27" s="352">
        <v>48987000</v>
      </c>
      <c r="C27" s="352">
        <v>1825000</v>
      </c>
      <c r="D27" s="353">
        <v>50812000</v>
      </c>
      <c r="E27" s="354">
        <v>1640000</v>
      </c>
      <c r="F27" s="355">
        <v>49172000</v>
      </c>
      <c r="G27" s="356">
        <v>185000</v>
      </c>
      <c r="H27" s="293"/>
      <c r="I27" s="317">
        <v>44678</v>
      </c>
      <c r="J27" s="319" t="s">
        <v>113</v>
      </c>
      <c r="K27" s="311">
        <v>7900000</v>
      </c>
      <c r="L27" s="293"/>
    </row>
    <row r="28" spans="1:12">
      <c r="A28" s="303">
        <v>44674</v>
      </c>
      <c r="B28" s="346">
        <v>12350000</v>
      </c>
      <c r="C28" s="346">
        <v>2385000</v>
      </c>
      <c r="D28" s="305">
        <v>14735000</v>
      </c>
      <c r="E28" s="306">
        <v>3775000</v>
      </c>
      <c r="F28" s="304">
        <v>10960000</v>
      </c>
      <c r="G28" s="307">
        <v>-1390000</v>
      </c>
      <c r="H28" s="293"/>
      <c r="I28" s="317">
        <v>44678</v>
      </c>
      <c r="J28" s="319" t="s">
        <v>114</v>
      </c>
      <c r="K28" s="311">
        <v>3800000</v>
      </c>
      <c r="L28" s="293"/>
    </row>
    <row r="29" spans="1:12">
      <c r="A29" s="338">
        <v>44675</v>
      </c>
      <c r="B29" s="358"/>
      <c r="C29" s="358"/>
      <c r="D29" s="339"/>
      <c r="E29" s="339"/>
      <c r="F29" s="339"/>
      <c r="G29" s="339"/>
      <c r="H29" s="293"/>
      <c r="I29" s="317">
        <v>44678</v>
      </c>
      <c r="J29" s="319" t="s">
        <v>115</v>
      </c>
      <c r="K29" s="311">
        <v>1000000</v>
      </c>
      <c r="L29" s="293"/>
    </row>
    <row r="30" spans="1:12">
      <c r="A30" s="303">
        <v>44676</v>
      </c>
      <c r="B30" s="346">
        <v>1200000</v>
      </c>
      <c r="C30" s="346">
        <v>6350000</v>
      </c>
      <c r="D30" s="305">
        <v>7550000</v>
      </c>
      <c r="E30" s="306">
        <v>5900000</v>
      </c>
      <c r="F30" s="304">
        <v>1650000</v>
      </c>
      <c r="G30" s="307">
        <v>450000</v>
      </c>
      <c r="H30" s="293"/>
      <c r="I30" s="317">
        <v>44678</v>
      </c>
      <c r="J30" s="319" t="s">
        <v>116</v>
      </c>
      <c r="K30" s="311">
        <v>700000</v>
      </c>
      <c r="L30" s="293"/>
    </row>
    <row r="31" spans="1:12">
      <c r="A31" s="303">
        <v>44677</v>
      </c>
      <c r="B31" s="346">
        <v>5650000</v>
      </c>
      <c r="C31" s="346">
        <v>2595000</v>
      </c>
      <c r="D31" s="305">
        <v>8245000</v>
      </c>
      <c r="E31" s="306">
        <v>2525000</v>
      </c>
      <c r="F31" s="304">
        <v>5720000</v>
      </c>
      <c r="G31" s="307">
        <v>70000</v>
      </c>
      <c r="H31" s="293"/>
      <c r="I31" s="317">
        <v>44680</v>
      </c>
      <c r="J31" s="319" t="s">
        <v>117</v>
      </c>
      <c r="K31" s="311">
        <v>5000000</v>
      </c>
      <c r="L31" s="293"/>
    </row>
    <row r="32" spans="1:12">
      <c r="A32" s="303">
        <v>44678</v>
      </c>
      <c r="B32" s="346">
        <v>22778000</v>
      </c>
      <c r="C32" s="346">
        <v>3760000</v>
      </c>
      <c r="D32" s="305">
        <v>26538000</v>
      </c>
      <c r="E32" s="306">
        <v>2685000</v>
      </c>
      <c r="F32" s="304">
        <v>23853000</v>
      </c>
      <c r="G32" s="307">
        <v>1075000</v>
      </c>
      <c r="H32" s="293"/>
      <c r="I32" s="317"/>
      <c r="J32" s="319"/>
      <c r="K32" s="311"/>
      <c r="L32" s="293"/>
    </row>
    <row r="33" spans="1:12">
      <c r="A33" s="303">
        <v>44679</v>
      </c>
      <c r="B33" s="346">
        <v>30340000</v>
      </c>
      <c r="C33" s="346">
        <v>10400000</v>
      </c>
      <c r="D33" s="305">
        <v>40740000</v>
      </c>
      <c r="E33" s="306">
        <v>3450000</v>
      </c>
      <c r="F33" s="304">
        <v>37290000</v>
      </c>
      <c r="G33" s="307">
        <v>6950000</v>
      </c>
      <c r="H33" s="293"/>
      <c r="I33" s="317"/>
      <c r="J33" s="319"/>
      <c r="K33" s="311"/>
      <c r="L33" s="293"/>
    </row>
    <row r="34" spans="1:12">
      <c r="A34" s="303">
        <v>44680</v>
      </c>
      <c r="B34" s="346">
        <v>10235000</v>
      </c>
      <c r="C34" s="346">
        <v>2660000</v>
      </c>
      <c r="D34" s="305">
        <v>12895000</v>
      </c>
      <c r="E34" s="306">
        <v>2430000</v>
      </c>
      <c r="F34" s="304">
        <v>10465000</v>
      </c>
      <c r="G34" s="307">
        <v>230000</v>
      </c>
      <c r="H34" s="293"/>
      <c r="I34" s="317"/>
      <c r="J34" s="319"/>
      <c r="K34" s="311"/>
      <c r="L34" s="293"/>
    </row>
    <row r="35" spans="1:12">
      <c r="A35" s="303">
        <v>44681</v>
      </c>
      <c r="B35" s="346">
        <v>5500000</v>
      </c>
      <c r="C35" s="346">
        <v>9750000</v>
      </c>
      <c r="D35" s="305">
        <v>15250000</v>
      </c>
      <c r="E35" s="306">
        <v>4760000</v>
      </c>
      <c r="F35" s="304">
        <v>10490000</v>
      </c>
      <c r="G35" s="307">
        <v>4990000</v>
      </c>
      <c r="H35" s="293"/>
      <c r="I35" s="322"/>
      <c r="J35" s="315"/>
      <c r="K35" s="323">
        <v>219724500</v>
      </c>
      <c r="L35" s="293"/>
    </row>
    <row r="36" spans="1:12">
      <c r="A36" s="303"/>
      <c r="B36" s="346"/>
      <c r="C36" s="346"/>
      <c r="D36" s="305"/>
      <c r="E36" s="306"/>
      <c r="F36" s="304"/>
      <c r="G36" s="307"/>
      <c r="H36" s="293"/>
      <c r="I36" s="318"/>
      <c r="J36" s="293"/>
      <c r="K36" s="293"/>
      <c r="L36" s="293"/>
    </row>
    <row r="37" spans="1:12" ht="15.75">
      <c r="A37" s="357"/>
      <c r="B37" s="346"/>
      <c r="C37" s="346"/>
      <c r="D37" s="305"/>
      <c r="E37" s="306"/>
      <c r="F37" s="304"/>
      <c r="G37" s="307"/>
      <c r="H37" s="293"/>
      <c r="I37" s="324" t="s">
        <v>27</v>
      </c>
      <c r="J37" s="325" t="s">
        <v>28</v>
      </c>
      <c r="K37" s="326">
        <v>326510000</v>
      </c>
      <c r="L37" s="293"/>
    </row>
    <row r="38" spans="1:12" ht="15.75">
      <c r="A38" s="303"/>
      <c r="B38" s="333">
        <v>216215000</v>
      </c>
      <c r="C38" s="333">
        <v>110295000</v>
      </c>
      <c r="D38" s="334">
        <v>326510000</v>
      </c>
      <c r="E38" s="335">
        <v>73245000</v>
      </c>
      <c r="F38" s="336">
        <v>253265000</v>
      </c>
      <c r="G38" s="337">
        <v>37050000</v>
      </c>
      <c r="H38" s="293"/>
      <c r="I38" s="324"/>
      <c r="J38" s="325"/>
      <c r="K38" s="326"/>
      <c r="L38" s="293"/>
    </row>
    <row r="39" spans="1:12" ht="15.75">
      <c r="A39" s="293"/>
      <c r="B39" s="293"/>
      <c r="C39" s="293"/>
      <c r="D39" s="293"/>
      <c r="E39" s="293"/>
      <c r="F39" s="293"/>
      <c r="G39" s="293"/>
      <c r="H39" s="293"/>
      <c r="I39" s="324"/>
      <c r="J39" s="325"/>
      <c r="K39" s="326"/>
      <c r="L39" s="293"/>
    </row>
    <row r="40" spans="1:12" ht="15.75">
      <c r="A40" s="293"/>
      <c r="B40" s="293"/>
      <c r="C40" s="293"/>
      <c r="D40" s="293"/>
      <c r="E40" s="293"/>
      <c r="F40" s="293"/>
      <c r="G40" s="293"/>
      <c r="H40" s="293"/>
      <c r="I40" s="324"/>
      <c r="J40" s="325"/>
      <c r="K40" s="326"/>
      <c r="L40" s="293"/>
    </row>
    <row r="41" spans="1:12" ht="15.75">
      <c r="A41" s="293"/>
      <c r="B41" s="293"/>
      <c r="C41" s="293"/>
      <c r="D41" s="293"/>
      <c r="E41" s="293"/>
      <c r="F41" s="293"/>
      <c r="G41" s="293"/>
      <c r="H41" s="293"/>
      <c r="I41" s="324"/>
      <c r="J41" s="325"/>
      <c r="K41" s="326"/>
      <c r="L41" s="293"/>
    </row>
    <row r="42" spans="1:12" ht="15.75">
      <c r="A42" s="293"/>
      <c r="B42" s="293"/>
      <c r="C42" s="293"/>
      <c r="D42" s="293"/>
      <c r="E42" s="293"/>
      <c r="F42" s="293"/>
      <c r="G42" s="293"/>
      <c r="H42" s="293"/>
      <c r="I42" s="324"/>
      <c r="J42" s="325"/>
      <c r="K42" s="326"/>
      <c r="L42" s="293"/>
    </row>
    <row r="43" spans="1:12" ht="15.75">
      <c r="A43" s="293"/>
      <c r="B43" s="293"/>
      <c r="C43" s="293"/>
      <c r="D43" s="293"/>
      <c r="E43" s="293"/>
      <c r="F43" s="293"/>
      <c r="G43" s="293"/>
      <c r="H43" s="293"/>
      <c r="I43" s="327"/>
      <c r="J43" s="328" t="s">
        <v>29</v>
      </c>
      <c r="K43" s="329">
        <v>73245000</v>
      </c>
      <c r="L43" s="293"/>
    </row>
    <row r="44" spans="1:12" ht="15.75">
      <c r="A44" s="293"/>
      <c r="B44" s="293"/>
      <c r="C44" s="293"/>
      <c r="D44" s="293"/>
      <c r="E44" s="293"/>
      <c r="F44" s="293"/>
      <c r="G44" s="293"/>
      <c r="H44" s="330"/>
      <c r="I44" s="327"/>
      <c r="J44" s="328" t="s">
        <v>30</v>
      </c>
      <c r="K44" s="329">
        <v>219724500</v>
      </c>
      <c r="L44" s="330"/>
    </row>
    <row r="45" spans="1:12" ht="15.75">
      <c r="A45" s="293"/>
      <c r="B45" s="293"/>
      <c r="C45" s="293"/>
      <c r="D45" s="293"/>
      <c r="E45" s="293"/>
      <c r="F45" s="293"/>
      <c r="G45" s="293"/>
      <c r="H45" s="293"/>
      <c r="I45" s="327"/>
      <c r="J45" s="328" t="s">
        <v>31</v>
      </c>
      <c r="K45" s="329">
        <v>292969500</v>
      </c>
      <c r="L45" s="293"/>
    </row>
    <row r="46" spans="1:12" ht="15.75">
      <c r="A46" s="293"/>
      <c r="B46" s="293"/>
      <c r="C46" s="293"/>
      <c r="D46" s="293"/>
      <c r="E46" s="293"/>
      <c r="F46" s="293"/>
      <c r="G46" s="293"/>
      <c r="H46" s="293"/>
      <c r="I46" s="327"/>
      <c r="J46" s="331"/>
      <c r="K46" s="326"/>
      <c r="L46" s="293"/>
    </row>
    <row r="47" spans="1:12" ht="18">
      <c r="A47" s="293"/>
      <c r="B47" s="293"/>
      <c r="C47" s="293"/>
      <c r="D47" s="293"/>
      <c r="E47" s="293"/>
      <c r="F47" s="293"/>
      <c r="G47" s="293"/>
      <c r="H47" s="293"/>
      <c r="I47" s="708" t="s">
        <v>183</v>
      </c>
      <c r="J47" s="708"/>
      <c r="K47" s="332">
        <v>33540500</v>
      </c>
      <c r="L47" s="293"/>
    </row>
  </sheetData>
  <mergeCells count="8">
    <mergeCell ref="G4:G5"/>
    <mergeCell ref="I47:J47"/>
    <mergeCell ref="A1:E2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38"/>
  <sheetViews>
    <sheetView topLeftCell="C7" workbookViewId="0">
      <selection activeCell="I4" sqref="I4"/>
    </sheetView>
  </sheetViews>
  <sheetFormatPr defaultRowHeight="15"/>
  <cols>
    <col min="2" max="2" width="18.42578125" customWidth="1"/>
    <col min="3" max="3" width="15.5703125" customWidth="1"/>
    <col min="4" max="4" width="19" customWidth="1"/>
    <col min="5" max="5" width="18.28515625" customWidth="1"/>
    <col min="6" max="6" width="17.7109375" customWidth="1"/>
    <col min="7" max="7" width="16.28515625" customWidth="1"/>
    <col min="11" max="11" width="37.85546875" customWidth="1"/>
    <col min="12" max="12" width="21.140625" customWidth="1"/>
    <col min="15" max="15" width="15.42578125" customWidth="1"/>
  </cols>
  <sheetData>
    <row r="1" spans="1:12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2">
      <c r="A2" s="721" t="s">
        <v>118</v>
      </c>
      <c r="B2" s="722"/>
      <c r="C2" s="722"/>
      <c r="D2" s="722"/>
      <c r="E2" s="722"/>
      <c r="F2" s="414"/>
      <c r="G2" s="359"/>
      <c r="H2" s="359"/>
      <c r="I2" s="359"/>
      <c r="J2" s="359"/>
      <c r="K2" s="359"/>
      <c r="L2" s="359"/>
    </row>
    <row r="3" spans="1:12">
      <c r="A3" s="723"/>
      <c r="B3" s="723"/>
      <c r="C3" s="723"/>
      <c r="D3" s="723"/>
      <c r="E3" s="723"/>
      <c r="F3" s="414"/>
      <c r="G3" s="359"/>
      <c r="H3" s="359"/>
      <c r="I3" s="359"/>
      <c r="J3" s="359"/>
      <c r="K3" s="359"/>
      <c r="L3" s="359"/>
    </row>
    <row r="4" spans="1:12" ht="15.75">
      <c r="A4" s="724" t="s">
        <v>1</v>
      </c>
      <c r="B4" s="726" t="s">
        <v>2</v>
      </c>
      <c r="C4" s="727"/>
      <c r="D4" s="728" t="s">
        <v>3</v>
      </c>
      <c r="E4" s="718" t="s">
        <v>4</v>
      </c>
      <c r="F4" s="728" t="s">
        <v>5</v>
      </c>
      <c r="G4" s="718" t="s">
        <v>6</v>
      </c>
      <c r="H4" s="360"/>
      <c r="I4" s="361"/>
      <c r="J4" s="362" t="s">
        <v>7</v>
      </c>
      <c r="K4" s="363"/>
      <c r="L4" s="364"/>
    </row>
    <row r="5" spans="1:12" ht="15.75">
      <c r="A5" s="725"/>
      <c r="B5" s="365" t="s">
        <v>8</v>
      </c>
      <c r="C5" s="366" t="s">
        <v>9</v>
      </c>
      <c r="D5" s="729"/>
      <c r="E5" s="719"/>
      <c r="F5" s="729"/>
      <c r="G5" s="719"/>
      <c r="H5" s="360"/>
      <c r="I5" s="361"/>
      <c r="J5" s="367" t="s">
        <v>1</v>
      </c>
      <c r="K5" s="368" t="s">
        <v>10</v>
      </c>
      <c r="L5" s="369" t="s">
        <v>11</v>
      </c>
    </row>
    <row r="6" spans="1:12">
      <c r="A6" s="433">
        <v>44621</v>
      </c>
      <c r="B6" s="426">
        <v>770000</v>
      </c>
      <c r="C6" s="430">
        <v>7080000</v>
      </c>
      <c r="D6" s="371">
        <v>7850000</v>
      </c>
      <c r="E6" s="372">
        <v>3260000</v>
      </c>
      <c r="F6" s="423">
        <v>4590000</v>
      </c>
      <c r="G6" s="373">
        <v>3820000</v>
      </c>
      <c r="H6" s="374"/>
      <c r="I6" s="364"/>
      <c r="J6" s="370">
        <v>44622</v>
      </c>
      <c r="K6" s="375" t="s">
        <v>119</v>
      </c>
      <c r="L6" s="376">
        <v>1000000</v>
      </c>
    </row>
    <row r="7" spans="1:12">
      <c r="A7" s="433">
        <v>44622</v>
      </c>
      <c r="B7" s="426">
        <v>400000</v>
      </c>
      <c r="C7" s="430">
        <v>1520000</v>
      </c>
      <c r="D7" s="371">
        <v>1920000</v>
      </c>
      <c r="E7" s="372">
        <v>1755000</v>
      </c>
      <c r="F7" s="423">
        <v>165000</v>
      </c>
      <c r="G7" s="373">
        <v>-235000</v>
      </c>
      <c r="H7" s="374"/>
      <c r="I7" s="364"/>
      <c r="J7" s="377">
        <v>44629</v>
      </c>
      <c r="K7" s="378" t="s">
        <v>120</v>
      </c>
      <c r="L7" s="379">
        <v>2000000</v>
      </c>
    </row>
    <row r="8" spans="1:12">
      <c r="A8" s="433">
        <v>44623</v>
      </c>
      <c r="B8" s="426"/>
      <c r="C8" s="430">
        <v>230000</v>
      </c>
      <c r="D8" s="371">
        <v>230000</v>
      </c>
      <c r="E8" s="372">
        <v>810000</v>
      </c>
      <c r="F8" s="423">
        <v>-580000</v>
      </c>
      <c r="G8" s="373">
        <v>-580000</v>
      </c>
      <c r="H8" s="374"/>
      <c r="I8" s="380"/>
      <c r="J8" s="377">
        <v>44631</v>
      </c>
      <c r="K8" s="378" t="s">
        <v>121</v>
      </c>
      <c r="L8" s="379">
        <v>4500000</v>
      </c>
    </row>
    <row r="9" spans="1:12">
      <c r="A9" s="433">
        <v>44624</v>
      </c>
      <c r="B9" s="426">
        <v>4800000</v>
      </c>
      <c r="C9" s="430"/>
      <c r="D9" s="371">
        <v>4800000</v>
      </c>
      <c r="E9" s="372">
        <v>1440000</v>
      </c>
      <c r="F9" s="423">
        <v>3360000</v>
      </c>
      <c r="G9" s="373">
        <v>-1440000</v>
      </c>
      <c r="H9" s="374"/>
      <c r="I9" s="364"/>
      <c r="J9" s="381">
        <v>44634</v>
      </c>
      <c r="K9" s="382" t="s">
        <v>41</v>
      </c>
      <c r="L9" s="379">
        <v>1300000</v>
      </c>
    </row>
    <row r="10" spans="1:12">
      <c r="A10" s="433">
        <v>44625</v>
      </c>
      <c r="B10" s="426">
        <v>3830000</v>
      </c>
      <c r="C10" s="430">
        <v>4650000</v>
      </c>
      <c r="D10" s="371">
        <v>8480000</v>
      </c>
      <c r="E10" s="372">
        <v>3115000</v>
      </c>
      <c r="F10" s="423">
        <v>5365000</v>
      </c>
      <c r="G10" s="373">
        <v>1535000</v>
      </c>
      <c r="H10" s="374"/>
      <c r="I10" s="416"/>
      <c r="J10" s="381">
        <v>44636</v>
      </c>
      <c r="K10" s="384" t="s">
        <v>122</v>
      </c>
      <c r="L10" s="379">
        <v>4000000</v>
      </c>
    </row>
    <row r="11" spans="1:12">
      <c r="A11" s="410"/>
      <c r="B11" s="412"/>
      <c r="C11" s="411"/>
      <c r="D11" s="411"/>
      <c r="E11" s="411"/>
      <c r="F11" s="413"/>
      <c r="G11" s="413"/>
      <c r="H11" s="417"/>
      <c r="I11" s="383"/>
      <c r="J11" s="370">
        <v>44636</v>
      </c>
      <c r="K11" s="378" t="s">
        <v>123</v>
      </c>
      <c r="L11" s="379">
        <v>14900000</v>
      </c>
    </row>
    <row r="12" spans="1:12">
      <c r="A12" s="433">
        <v>44627</v>
      </c>
      <c r="B12" s="426">
        <v>2100000</v>
      </c>
      <c r="C12" s="430">
        <v>7580000</v>
      </c>
      <c r="D12" s="371">
        <v>9680000</v>
      </c>
      <c r="E12" s="372">
        <v>2730000</v>
      </c>
      <c r="F12" s="423">
        <v>6950000</v>
      </c>
      <c r="G12" s="373">
        <v>4850000</v>
      </c>
      <c r="H12" s="374"/>
      <c r="I12" s="364"/>
      <c r="J12" s="370">
        <v>44630</v>
      </c>
      <c r="K12" s="382" t="s">
        <v>124</v>
      </c>
      <c r="L12" s="379">
        <v>375000</v>
      </c>
    </row>
    <row r="13" spans="1:12">
      <c r="A13" s="433">
        <v>44628</v>
      </c>
      <c r="B13" s="426">
        <v>600000</v>
      </c>
      <c r="C13" s="430">
        <v>9110000</v>
      </c>
      <c r="D13" s="371">
        <v>9710000</v>
      </c>
      <c r="E13" s="372">
        <v>4410000</v>
      </c>
      <c r="F13" s="423">
        <v>5300000</v>
      </c>
      <c r="G13" s="373">
        <v>4700000</v>
      </c>
      <c r="H13" s="374"/>
      <c r="I13" s="364"/>
      <c r="J13" s="370">
        <v>44638</v>
      </c>
      <c r="K13" s="375" t="s">
        <v>125</v>
      </c>
      <c r="L13" s="379">
        <v>270000</v>
      </c>
    </row>
    <row r="14" spans="1:12">
      <c r="A14" s="433">
        <v>44629</v>
      </c>
      <c r="B14" s="427">
        <v>5600000</v>
      </c>
      <c r="C14" s="430">
        <v>100000</v>
      </c>
      <c r="D14" s="371">
        <v>5700000</v>
      </c>
      <c r="E14" s="372">
        <v>3880000</v>
      </c>
      <c r="F14" s="423">
        <v>1820000</v>
      </c>
      <c r="G14" s="373">
        <v>-3780000</v>
      </c>
      <c r="H14" s="385"/>
      <c r="I14" s="364"/>
      <c r="J14" s="370">
        <v>44641</v>
      </c>
      <c r="K14" s="386" t="s">
        <v>126</v>
      </c>
      <c r="L14" s="379">
        <v>40000000</v>
      </c>
    </row>
    <row r="15" spans="1:12">
      <c r="A15" s="433">
        <v>44630</v>
      </c>
      <c r="B15" s="427">
        <v>3200000</v>
      </c>
      <c r="C15" s="430">
        <v>9975000</v>
      </c>
      <c r="D15" s="371">
        <v>13175000</v>
      </c>
      <c r="E15" s="372">
        <v>2830000</v>
      </c>
      <c r="F15" s="423">
        <v>10345000</v>
      </c>
      <c r="G15" s="373">
        <v>7145000</v>
      </c>
      <c r="H15" s="385"/>
      <c r="I15" s="383"/>
      <c r="J15" s="370">
        <v>44641</v>
      </c>
      <c r="K15" s="386" t="s">
        <v>126</v>
      </c>
      <c r="L15" s="379">
        <v>46500000</v>
      </c>
    </row>
    <row r="16" spans="1:12">
      <c r="A16" s="433">
        <v>44631</v>
      </c>
      <c r="B16" s="427">
        <v>3750000</v>
      </c>
      <c r="C16" s="430">
        <v>6570000</v>
      </c>
      <c r="D16" s="371">
        <v>10320000</v>
      </c>
      <c r="E16" s="372">
        <v>4605000</v>
      </c>
      <c r="F16" s="423">
        <v>5715000</v>
      </c>
      <c r="G16" s="373">
        <v>1965000</v>
      </c>
      <c r="H16" s="385"/>
      <c r="I16" s="387"/>
      <c r="J16" s="388">
        <v>44642</v>
      </c>
      <c r="K16" s="386" t="s">
        <v>127</v>
      </c>
      <c r="L16" s="379">
        <v>4155000</v>
      </c>
    </row>
    <row r="17" spans="1:15">
      <c r="A17" s="433">
        <v>44632</v>
      </c>
      <c r="B17" s="427">
        <v>7050000</v>
      </c>
      <c r="C17" s="430">
        <v>2920000</v>
      </c>
      <c r="D17" s="371">
        <v>9970000</v>
      </c>
      <c r="E17" s="372">
        <v>1725000</v>
      </c>
      <c r="F17" s="423">
        <v>8245000</v>
      </c>
      <c r="G17" s="373">
        <v>1195000</v>
      </c>
      <c r="H17" s="385"/>
      <c r="I17" s="387"/>
      <c r="J17" s="370">
        <v>44646</v>
      </c>
      <c r="K17" s="390" t="s">
        <v>128</v>
      </c>
      <c r="L17" s="379">
        <v>18000000</v>
      </c>
      <c r="M17" s="359"/>
      <c r="N17" s="359"/>
      <c r="O17" s="359"/>
    </row>
    <row r="18" spans="1:15">
      <c r="A18" s="410"/>
      <c r="B18" s="411"/>
      <c r="C18" s="411"/>
      <c r="D18" s="411"/>
      <c r="E18" s="411"/>
      <c r="F18" s="413"/>
      <c r="G18" s="411"/>
      <c r="H18" s="385"/>
      <c r="I18" s="391"/>
      <c r="J18" s="388">
        <v>44646</v>
      </c>
      <c r="K18" s="392" t="s">
        <v>129</v>
      </c>
      <c r="L18" s="379">
        <v>2150000</v>
      </c>
      <c r="M18" s="359"/>
      <c r="N18" s="359"/>
      <c r="O18" s="359"/>
    </row>
    <row r="19" spans="1:15">
      <c r="A19" s="433">
        <v>44634</v>
      </c>
      <c r="B19" s="427">
        <v>300000</v>
      </c>
      <c r="C19" s="430">
        <v>3835000</v>
      </c>
      <c r="D19" s="371">
        <v>4135000</v>
      </c>
      <c r="E19" s="372">
        <v>1510000</v>
      </c>
      <c r="F19" s="423">
        <v>2625000</v>
      </c>
      <c r="G19" s="373">
        <v>2325000</v>
      </c>
      <c r="H19" s="385"/>
      <c r="I19" s="391"/>
      <c r="J19" s="394">
        <v>44646</v>
      </c>
      <c r="K19" s="384" t="s">
        <v>130</v>
      </c>
      <c r="L19" s="379">
        <v>300000</v>
      </c>
      <c r="M19" s="359"/>
      <c r="N19" s="359"/>
      <c r="O19" s="359"/>
    </row>
    <row r="20" spans="1:15">
      <c r="A20" s="433">
        <v>44635</v>
      </c>
      <c r="B20" s="427">
        <v>3450000</v>
      </c>
      <c r="C20" s="430">
        <v>12555000</v>
      </c>
      <c r="D20" s="371">
        <v>16005000</v>
      </c>
      <c r="E20" s="372">
        <v>2405000</v>
      </c>
      <c r="F20" s="423">
        <v>13600000</v>
      </c>
      <c r="G20" s="373">
        <v>10150000</v>
      </c>
      <c r="H20" s="385"/>
      <c r="I20" s="393"/>
      <c r="J20" s="388">
        <v>44648</v>
      </c>
      <c r="K20" s="392" t="s">
        <v>131</v>
      </c>
      <c r="L20" s="379">
        <v>4100000</v>
      </c>
      <c r="M20" s="359"/>
      <c r="N20" s="359"/>
      <c r="O20" s="409">
        <v>86500000</v>
      </c>
    </row>
    <row r="21" spans="1:15">
      <c r="A21" s="433">
        <v>44636</v>
      </c>
      <c r="B21" s="427">
        <v>7850000</v>
      </c>
      <c r="C21" s="430">
        <v>1900000</v>
      </c>
      <c r="D21" s="371">
        <v>9750000</v>
      </c>
      <c r="E21" s="372">
        <v>2170000</v>
      </c>
      <c r="F21" s="423">
        <v>7580000</v>
      </c>
      <c r="G21" s="373">
        <v>-270000</v>
      </c>
      <c r="H21" s="374"/>
      <c r="I21" s="391"/>
      <c r="J21" s="388">
        <v>44649</v>
      </c>
      <c r="K21" s="392" t="s">
        <v>132</v>
      </c>
      <c r="L21" s="379">
        <v>5500000</v>
      </c>
      <c r="M21" s="359"/>
      <c r="N21" s="359"/>
      <c r="O21" s="359"/>
    </row>
    <row r="22" spans="1:15">
      <c r="A22" s="433">
        <v>44637</v>
      </c>
      <c r="B22" s="427">
        <v>11850000</v>
      </c>
      <c r="C22" s="430">
        <v>7620000</v>
      </c>
      <c r="D22" s="371">
        <v>19470000</v>
      </c>
      <c r="E22" s="372">
        <v>3090000</v>
      </c>
      <c r="F22" s="423">
        <v>16380000</v>
      </c>
      <c r="G22" s="373">
        <v>4530000</v>
      </c>
      <c r="H22" s="374"/>
      <c r="I22" s="359"/>
      <c r="J22" s="388">
        <v>44649</v>
      </c>
      <c r="K22" s="392" t="s">
        <v>133</v>
      </c>
      <c r="L22" s="418">
        <v>1175000</v>
      </c>
      <c r="M22" s="359"/>
      <c r="N22" s="359"/>
      <c r="O22" s="359"/>
    </row>
    <row r="23" spans="1:15">
      <c r="A23" s="433">
        <v>44638</v>
      </c>
      <c r="B23" s="427">
        <v>18475000</v>
      </c>
      <c r="C23" s="430">
        <v>3125000</v>
      </c>
      <c r="D23" s="371">
        <v>21600000</v>
      </c>
      <c r="E23" s="372">
        <v>2400000</v>
      </c>
      <c r="F23" s="423">
        <v>19200000</v>
      </c>
      <c r="G23" s="373">
        <v>725000</v>
      </c>
      <c r="H23" s="374"/>
      <c r="I23" s="391"/>
      <c r="J23" s="396"/>
      <c r="K23" s="384"/>
      <c r="L23" s="397">
        <v>150225000</v>
      </c>
      <c r="M23" s="359"/>
      <c r="N23" s="359"/>
      <c r="O23" s="359"/>
    </row>
    <row r="24" spans="1:15">
      <c r="A24" s="433">
        <v>44639</v>
      </c>
      <c r="B24" s="427">
        <v>8350000</v>
      </c>
      <c r="C24" s="430">
        <v>4800000</v>
      </c>
      <c r="D24" s="371">
        <v>13150000</v>
      </c>
      <c r="E24" s="372">
        <v>4730000</v>
      </c>
      <c r="F24" s="423">
        <v>8420000</v>
      </c>
      <c r="G24" s="373">
        <v>70000</v>
      </c>
      <c r="H24" s="374"/>
      <c r="I24" s="391"/>
      <c r="J24" s="389"/>
      <c r="K24" s="359"/>
      <c r="L24" s="359"/>
      <c r="M24" s="359"/>
      <c r="N24" s="359"/>
      <c r="O24" s="359"/>
    </row>
    <row r="25" spans="1:15" ht="15.75">
      <c r="A25" s="410"/>
      <c r="B25" s="411"/>
      <c r="C25" s="411"/>
      <c r="D25" s="411"/>
      <c r="E25" s="411"/>
      <c r="F25" s="413"/>
      <c r="G25" s="411"/>
      <c r="H25" s="395"/>
      <c r="I25" s="391"/>
      <c r="J25" s="398" t="s">
        <v>27</v>
      </c>
      <c r="K25" s="399" t="s">
        <v>28</v>
      </c>
      <c r="L25" s="400">
        <v>344320000</v>
      </c>
      <c r="M25" s="359"/>
      <c r="N25" s="359"/>
      <c r="O25" s="359"/>
    </row>
    <row r="26" spans="1:15" ht="15.75">
      <c r="A26" s="433">
        <v>44641</v>
      </c>
      <c r="B26" s="427">
        <v>2530000</v>
      </c>
      <c r="C26" s="430">
        <v>4380000</v>
      </c>
      <c r="D26" s="371">
        <v>6910000</v>
      </c>
      <c r="E26" s="372">
        <v>4120000</v>
      </c>
      <c r="F26" s="423">
        <v>2790000</v>
      </c>
      <c r="G26" s="373">
        <v>260000</v>
      </c>
      <c r="H26" s="374"/>
      <c r="I26" s="391"/>
      <c r="J26" s="402"/>
      <c r="K26" s="403" t="s">
        <v>29</v>
      </c>
      <c r="L26" s="404">
        <v>78895000</v>
      </c>
      <c r="M26" s="359"/>
      <c r="N26" s="359"/>
      <c r="O26" s="359"/>
    </row>
    <row r="27" spans="1:15" ht="15.75">
      <c r="A27" s="433">
        <v>44642</v>
      </c>
      <c r="B27" s="427">
        <v>200000</v>
      </c>
      <c r="C27" s="430">
        <v>8575000</v>
      </c>
      <c r="D27" s="371">
        <v>8775000</v>
      </c>
      <c r="E27" s="372">
        <v>3165000</v>
      </c>
      <c r="F27" s="423">
        <v>5610000</v>
      </c>
      <c r="G27" s="373">
        <v>5410000</v>
      </c>
      <c r="H27" s="374"/>
      <c r="I27" s="391"/>
      <c r="J27" s="402"/>
      <c r="K27" s="403" t="s">
        <v>30</v>
      </c>
      <c r="L27" s="404">
        <v>150225000</v>
      </c>
      <c r="M27" s="359"/>
      <c r="N27" s="359"/>
      <c r="O27" s="359"/>
    </row>
    <row r="28" spans="1:15" ht="15.75">
      <c r="A28" s="433">
        <v>44643</v>
      </c>
      <c r="B28" s="427">
        <v>500000</v>
      </c>
      <c r="C28" s="430">
        <v>2400000</v>
      </c>
      <c r="D28" s="371">
        <v>2900000</v>
      </c>
      <c r="E28" s="372">
        <v>4655000</v>
      </c>
      <c r="F28" s="423">
        <v>-1755000</v>
      </c>
      <c r="G28" s="373">
        <v>-2255000</v>
      </c>
      <c r="H28" s="374"/>
      <c r="I28" s="391"/>
      <c r="J28" s="402"/>
      <c r="K28" s="403" t="s">
        <v>31</v>
      </c>
      <c r="L28" s="404">
        <v>229120000</v>
      </c>
      <c r="M28" s="359"/>
      <c r="N28" s="359"/>
      <c r="O28" s="359"/>
    </row>
    <row r="29" spans="1:15" ht="15.75">
      <c r="A29" s="433">
        <v>44644</v>
      </c>
      <c r="B29" s="427">
        <v>100000</v>
      </c>
      <c r="C29" s="430">
        <v>13370000</v>
      </c>
      <c r="D29" s="371">
        <v>13470000</v>
      </c>
      <c r="E29" s="372">
        <v>2630000</v>
      </c>
      <c r="F29" s="423">
        <v>10840000</v>
      </c>
      <c r="G29" s="373">
        <v>10740000</v>
      </c>
      <c r="H29" s="374"/>
      <c r="I29" s="391"/>
      <c r="J29" s="402"/>
      <c r="K29" s="405"/>
      <c r="L29" s="400"/>
      <c r="M29" s="359"/>
      <c r="N29" s="359"/>
      <c r="O29" s="359"/>
    </row>
    <row r="30" spans="1:15" ht="18">
      <c r="A30" s="433">
        <v>44645</v>
      </c>
      <c r="B30" s="427">
        <v>14950000</v>
      </c>
      <c r="C30" s="430">
        <v>21800000</v>
      </c>
      <c r="D30" s="371">
        <v>36750000</v>
      </c>
      <c r="E30" s="372">
        <v>4495000</v>
      </c>
      <c r="F30" s="423">
        <v>32255000</v>
      </c>
      <c r="G30" s="373">
        <v>17305000</v>
      </c>
      <c r="H30" s="374"/>
      <c r="I30" s="391"/>
      <c r="J30" s="720" t="s">
        <v>134</v>
      </c>
      <c r="K30" s="720"/>
      <c r="L30" s="406">
        <v>115200000</v>
      </c>
      <c r="M30" s="359"/>
      <c r="N30" s="359"/>
      <c r="O30" s="359"/>
    </row>
    <row r="31" spans="1:15">
      <c r="A31" s="433">
        <v>44646</v>
      </c>
      <c r="B31" s="427">
        <v>5935000</v>
      </c>
      <c r="C31" s="430">
        <v>4255000</v>
      </c>
      <c r="D31" s="371">
        <v>10190000</v>
      </c>
      <c r="E31" s="372">
        <v>2660000</v>
      </c>
      <c r="F31" s="423">
        <v>7530000</v>
      </c>
      <c r="G31" s="373">
        <v>1595000</v>
      </c>
      <c r="H31" s="374"/>
      <c r="I31" s="391"/>
      <c r="J31" s="391"/>
      <c r="K31" s="391"/>
      <c r="L31" s="359"/>
      <c r="M31" s="359"/>
      <c r="N31" s="359"/>
      <c r="O31" s="359"/>
    </row>
    <row r="32" spans="1:15">
      <c r="A32" s="410"/>
      <c r="B32" s="411"/>
      <c r="C32" s="411"/>
      <c r="D32" s="411"/>
      <c r="E32" s="411"/>
      <c r="F32" s="413"/>
      <c r="G32" s="411"/>
      <c r="H32" s="374"/>
      <c r="I32" s="391"/>
      <c r="J32" s="359"/>
      <c r="K32" s="359"/>
      <c r="L32" s="359"/>
      <c r="M32" s="359"/>
      <c r="N32" s="359"/>
      <c r="O32" s="359"/>
    </row>
    <row r="33" spans="1:12">
      <c r="A33" s="433">
        <v>44648</v>
      </c>
      <c r="B33" s="427">
        <v>22100000</v>
      </c>
      <c r="C33" s="430">
        <v>10525000</v>
      </c>
      <c r="D33" s="371">
        <v>32625000</v>
      </c>
      <c r="E33" s="372">
        <v>4670000</v>
      </c>
      <c r="F33" s="423">
        <v>27955000</v>
      </c>
      <c r="G33" s="373">
        <v>5855000</v>
      </c>
      <c r="H33" s="374"/>
      <c r="I33" s="401"/>
      <c r="J33" s="359"/>
      <c r="K33" s="359"/>
      <c r="L33" s="359"/>
    </row>
    <row r="34" spans="1:12">
      <c r="A34" s="433">
        <v>44649</v>
      </c>
      <c r="B34" s="428">
        <v>1100000</v>
      </c>
      <c r="C34" s="431">
        <v>6075000</v>
      </c>
      <c r="D34" s="407">
        <v>7175000</v>
      </c>
      <c r="E34" s="408">
        <v>2065000</v>
      </c>
      <c r="F34" s="424">
        <v>5110000</v>
      </c>
      <c r="G34" s="415">
        <v>4010000</v>
      </c>
      <c r="H34" s="374"/>
      <c r="I34" s="391"/>
      <c r="J34" s="359"/>
      <c r="K34" s="359"/>
      <c r="L34" s="409"/>
    </row>
    <row r="35" spans="1:12">
      <c r="A35" s="434">
        <v>44650</v>
      </c>
      <c r="B35" s="435">
        <v>10100000</v>
      </c>
      <c r="C35" s="436">
        <v>3570000</v>
      </c>
      <c r="D35" s="437">
        <v>13670000</v>
      </c>
      <c r="E35" s="438">
        <v>2375000</v>
      </c>
      <c r="F35" s="439">
        <v>11295000</v>
      </c>
      <c r="G35" s="440">
        <v>1195000</v>
      </c>
      <c r="H35" s="374"/>
      <c r="I35" s="391"/>
      <c r="J35" s="359"/>
      <c r="K35" s="359"/>
      <c r="L35" s="359"/>
    </row>
    <row r="36" spans="1:12">
      <c r="A36" s="442">
        <v>44651</v>
      </c>
      <c r="B36" s="435">
        <v>45710000</v>
      </c>
      <c r="C36" s="436">
        <v>200000</v>
      </c>
      <c r="D36" s="437">
        <v>45910000</v>
      </c>
      <c r="E36" s="438">
        <v>1195000</v>
      </c>
      <c r="F36" s="441">
        <v>44715000</v>
      </c>
      <c r="G36" s="440">
        <v>-995000</v>
      </c>
      <c r="H36" s="374"/>
      <c r="I36" s="391"/>
      <c r="J36" s="359"/>
      <c r="K36" s="359"/>
      <c r="L36" s="359"/>
    </row>
    <row r="37" spans="1:12">
      <c r="A37" s="422"/>
      <c r="B37" s="435"/>
      <c r="C37" s="436"/>
      <c r="D37" s="437"/>
      <c r="E37" s="438"/>
      <c r="F37" s="439"/>
      <c r="G37" s="440"/>
      <c r="H37" s="359"/>
      <c r="I37" s="359"/>
      <c r="J37" s="359"/>
      <c r="K37" s="359"/>
      <c r="L37" s="359"/>
    </row>
    <row r="38" spans="1:12">
      <c r="A38" s="422"/>
      <c r="B38" s="429">
        <v>185600000</v>
      </c>
      <c r="C38" s="432">
        <v>158720000</v>
      </c>
      <c r="D38" s="419">
        <v>344320000</v>
      </c>
      <c r="E38" s="420">
        <v>78895000</v>
      </c>
      <c r="F38" s="425">
        <v>265425000</v>
      </c>
      <c r="G38" s="421">
        <v>79825000</v>
      </c>
      <c r="H38" s="359"/>
      <c r="I38" s="359"/>
      <c r="J38" s="359"/>
      <c r="K38" s="359"/>
      <c r="L38" s="359"/>
    </row>
  </sheetData>
  <mergeCells count="8">
    <mergeCell ref="G4:G5"/>
    <mergeCell ref="J30:K30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8"/>
  <sheetViews>
    <sheetView topLeftCell="E22" workbookViewId="0">
      <selection activeCell="H25" sqref="H25"/>
    </sheetView>
  </sheetViews>
  <sheetFormatPr defaultRowHeight="15"/>
  <cols>
    <col min="2" max="2" width="17.5703125" customWidth="1"/>
    <col min="3" max="3" width="15.85546875" customWidth="1"/>
    <col min="4" max="4" width="15.140625" customWidth="1"/>
    <col min="5" max="5" width="17.5703125" customWidth="1"/>
    <col min="6" max="6" width="17.28515625" customWidth="1"/>
    <col min="7" max="7" width="15" customWidth="1"/>
    <col min="10" max="10" width="15.28515625" customWidth="1"/>
    <col min="11" max="11" width="38.140625" customWidth="1"/>
    <col min="12" max="12" width="28.85546875" customWidth="1"/>
  </cols>
  <sheetData>
    <row r="1" spans="1:13">
      <c r="A1" s="491"/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</row>
    <row r="2" spans="1:13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</row>
    <row r="3" spans="1:13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</row>
    <row r="4" spans="1:13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</row>
    <row r="5" spans="1:13" ht="18.75">
      <c r="A5" s="510" t="s">
        <v>135</v>
      </c>
      <c r="B5" s="511"/>
      <c r="C5" s="511"/>
      <c r="D5" s="511"/>
      <c r="E5" s="511"/>
      <c r="F5" s="443"/>
      <c r="G5" s="443"/>
      <c r="H5" s="443"/>
      <c r="I5" s="443"/>
      <c r="J5" s="443"/>
      <c r="K5" s="443"/>
      <c r="L5" s="443"/>
      <c r="M5" s="443"/>
    </row>
    <row r="6" spans="1:13">
      <c r="A6" s="512"/>
      <c r="B6" s="512"/>
      <c r="C6" s="512"/>
      <c r="D6" s="512"/>
      <c r="E6" s="512"/>
      <c r="F6" s="443"/>
      <c r="G6" s="443"/>
      <c r="H6" s="443"/>
      <c r="I6" s="443"/>
      <c r="J6" s="443"/>
      <c r="K6" s="443"/>
      <c r="L6" s="443"/>
      <c r="M6" s="474"/>
    </row>
    <row r="7" spans="1:13" ht="31.5">
      <c r="A7" s="513" t="s">
        <v>1</v>
      </c>
      <c r="B7" s="515" t="s">
        <v>2</v>
      </c>
      <c r="C7" s="450"/>
      <c r="D7" s="516" t="s">
        <v>3</v>
      </c>
      <c r="E7" s="508" t="s">
        <v>4</v>
      </c>
      <c r="F7" s="518" t="s">
        <v>5</v>
      </c>
      <c r="G7" s="508" t="s">
        <v>6</v>
      </c>
      <c r="H7" s="444"/>
      <c r="I7" s="445"/>
      <c r="J7" s="446" t="s">
        <v>7</v>
      </c>
      <c r="K7" s="447"/>
      <c r="L7" s="448"/>
      <c r="M7" s="474"/>
    </row>
    <row r="8" spans="1:13" ht="15.75">
      <c r="A8" s="514"/>
      <c r="B8" s="449" t="s">
        <v>8</v>
      </c>
      <c r="C8" s="450" t="s">
        <v>9</v>
      </c>
      <c r="D8" s="517"/>
      <c r="E8" s="509"/>
      <c r="F8" s="519"/>
      <c r="G8" s="509"/>
      <c r="H8" s="444"/>
      <c r="I8" s="445"/>
      <c r="J8" s="451" t="s">
        <v>1</v>
      </c>
      <c r="K8" s="452" t="s">
        <v>10</v>
      </c>
      <c r="L8" s="453" t="s">
        <v>11</v>
      </c>
      <c r="M8" s="443"/>
    </row>
    <row r="9" spans="1:13">
      <c r="A9" s="454">
        <v>44593</v>
      </c>
      <c r="B9" s="500">
        <v>5470000</v>
      </c>
      <c r="C9" s="455">
        <v>175000</v>
      </c>
      <c r="D9" s="456">
        <v>5470000</v>
      </c>
      <c r="E9" s="457">
        <v>4245000</v>
      </c>
      <c r="F9" s="500">
        <v>1225000</v>
      </c>
      <c r="G9" s="458">
        <v>-4070000</v>
      </c>
      <c r="H9" s="459"/>
      <c r="I9" s="448"/>
      <c r="J9" s="454">
        <v>44594</v>
      </c>
      <c r="K9" s="460" t="s">
        <v>136</v>
      </c>
      <c r="L9" s="461">
        <v>7300000</v>
      </c>
      <c r="M9" s="443"/>
    </row>
    <row r="10" spans="1:13">
      <c r="A10" s="454">
        <v>44594</v>
      </c>
      <c r="B10" s="500">
        <v>1560000</v>
      </c>
      <c r="C10" s="455">
        <v>10050000</v>
      </c>
      <c r="D10" s="456">
        <v>11610000</v>
      </c>
      <c r="E10" s="457">
        <v>3110000</v>
      </c>
      <c r="F10" s="500">
        <v>8500000</v>
      </c>
      <c r="G10" s="458">
        <v>6940000</v>
      </c>
      <c r="H10" s="459"/>
      <c r="I10" s="448"/>
      <c r="J10" s="462">
        <v>44599</v>
      </c>
      <c r="K10" s="463" t="s">
        <v>137</v>
      </c>
      <c r="L10" s="464">
        <v>4500000</v>
      </c>
      <c r="M10" s="443"/>
    </row>
    <row r="11" spans="1:13">
      <c r="A11" s="454">
        <v>44595</v>
      </c>
      <c r="B11" s="500">
        <v>300000</v>
      </c>
      <c r="C11" s="455">
        <v>5500000</v>
      </c>
      <c r="D11" s="456">
        <v>5800000</v>
      </c>
      <c r="E11" s="457">
        <v>2260000</v>
      </c>
      <c r="F11" s="500">
        <v>3540000</v>
      </c>
      <c r="G11" s="458">
        <v>3240000</v>
      </c>
      <c r="H11" s="459"/>
      <c r="I11" s="465"/>
      <c r="J11" s="462">
        <v>44599</v>
      </c>
      <c r="K11" s="463" t="s">
        <v>138</v>
      </c>
      <c r="L11" s="464">
        <v>10000000</v>
      </c>
      <c r="M11" s="443"/>
    </row>
    <row r="12" spans="1:13">
      <c r="A12" s="454">
        <v>44596</v>
      </c>
      <c r="B12" s="500">
        <v>4700000</v>
      </c>
      <c r="C12" s="455">
        <v>4550000</v>
      </c>
      <c r="D12" s="456">
        <v>9250000</v>
      </c>
      <c r="E12" s="457">
        <v>4370000</v>
      </c>
      <c r="F12" s="500">
        <v>4880000</v>
      </c>
      <c r="G12" s="458">
        <v>180000</v>
      </c>
      <c r="H12" s="459"/>
      <c r="I12" s="448"/>
      <c r="J12" s="466">
        <v>44599</v>
      </c>
      <c r="K12" s="467" t="s">
        <v>139</v>
      </c>
      <c r="L12" s="464">
        <v>900000</v>
      </c>
      <c r="M12" s="443"/>
    </row>
    <row r="13" spans="1:13">
      <c r="A13" s="454">
        <v>44597</v>
      </c>
      <c r="B13" s="500">
        <v>2000000</v>
      </c>
      <c r="C13" s="455">
        <v>3250000</v>
      </c>
      <c r="D13" s="456">
        <v>5250000</v>
      </c>
      <c r="E13" s="457">
        <v>2210000</v>
      </c>
      <c r="F13" s="500">
        <v>3040000</v>
      </c>
      <c r="G13" s="458">
        <v>1040000</v>
      </c>
      <c r="H13" s="459"/>
      <c r="I13" s="504"/>
      <c r="J13" s="466">
        <v>44601</v>
      </c>
      <c r="K13" s="469" t="s">
        <v>140</v>
      </c>
      <c r="L13" s="464">
        <v>1700000</v>
      </c>
      <c r="M13" s="480"/>
    </row>
    <row r="14" spans="1:13">
      <c r="A14" s="498">
        <v>44598</v>
      </c>
      <c r="B14" s="501"/>
      <c r="C14" s="499"/>
      <c r="D14" s="499">
        <v>0</v>
      </c>
      <c r="E14" s="499"/>
      <c r="F14" s="501">
        <v>0</v>
      </c>
      <c r="G14" s="506">
        <v>0</v>
      </c>
      <c r="H14" s="505"/>
      <c r="I14" s="468"/>
      <c r="J14" s="454">
        <v>44604</v>
      </c>
      <c r="K14" s="463" t="s">
        <v>141</v>
      </c>
      <c r="L14" s="464">
        <v>1521500</v>
      </c>
      <c r="M14" s="443"/>
    </row>
    <row r="15" spans="1:13">
      <c r="A15" s="454">
        <v>44599</v>
      </c>
      <c r="B15" s="500">
        <v>100000</v>
      </c>
      <c r="C15" s="455">
        <v>180000</v>
      </c>
      <c r="D15" s="456">
        <v>280000</v>
      </c>
      <c r="E15" s="457">
        <v>1705000</v>
      </c>
      <c r="F15" s="500">
        <v>-1425000</v>
      </c>
      <c r="G15" s="458">
        <v>-1525000</v>
      </c>
      <c r="H15" s="459"/>
      <c r="I15" s="448"/>
      <c r="J15" s="454">
        <v>44606</v>
      </c>
      <c r="K15" s="467" t="s">
        <v>142</v>
      </c>
      <c r="L15" s="464">
        <v>40000000</v>
      </c>
      <c r="M15" s="443"/>
    </row>
    <row r="16" spans="1:13">
      <c r="A16" s="454">
        <v>44600</v>
      </c>
      <c r="B16" s="500" t="s">
        <v>143</v>
      </c>
      <c r="C16" s="455">
        <v>3800000</v>
      </c>
      <c r="D16" s="456">
        <v>10230000</v>
      </c>
      <c r="E16" s="457">
        <v>3285000</v>
      </c>
      <c r="F16" s="500">
        <v>6945000</v>
      </c>
      <c r="G16" s="458">
        <v>515000</v>
      </c>
      <c r="H16" s="459"/>
      <c r="I16" s="448"/>
      <c r="J16" s="454">
        <v>44608</v>
      </c>
      <c r="K16" s="460" t="s">
        <v>144</v>
      </c>
      <c r="L16" s="464">
        <v>1100000</v>
      </c>
      <c r="M16" s="443"/>
    </row>
    <row r="17" spans="1:13">
      <c r="A17" s="454">
        <v>44601</v>
      </c>
      <c r="B17" s="455" t="s">
        <v>145</v>
      </c>
      <c r="C17" s="455">
        <v>680000</v>
      </c>
      <c r="D17" s="456">
        <v>2030000</v>
      </c>
      <c r="E17" s="457">
        <v>1655000</v>
      </c>
      <c r="F17" s="500">
        <v>375000</v>
      </c>
      <c r="G17" s="458">
        <v>-975000</v>
      </c>
      <c r="H17" s="470"/>
      <c r="I17" s="448"/>
      <c r="J17" s="454">
        <v>44609</v>
      </c>
      <c r="K17" s="471" t="s">
        <v>146</v>
      </c>
      <c r="L17" s="464">
        <v>650000</v>
      </c>
      <c r="M17" s="443"/>
    </row>
    <row r="18" spans="1:13" ht="30">
      <c r="A18" s="454">
        <v>44602</v>
      </c>
      <c r="B18" s="455" t="s">
        <v>147</v>
      </c>
      <c r="C18" s="455">
        <v>4225000</v>
      </c>
      <c r="D18" s="456">
        <v>16240000</v>
      </c>
      <c r="E18" s="457">
        <v>6130000</v>
      </c>
      <c r="F18" s="500">
        <v>10110000</v>
      </c>
      <c r="G18" s="458">
        <v>-1905000</v>
      </c>
      <c r="H18" s="470"/>
      <c r="I18" s="468"/>
      <c r="J18" s="454">
        <v>44613</v>
      </c>
      <c r="K18" s="471" t="s">
        <v>148</v>
      </c>
      <c r="L18" s="464">
        <v>33500000</v>
      </c>
      <c r="M18" s="443"/>
    </row>
    <row r="19" spans="1:13" ht="30">
      <c r="A19" s="454">
        <v>44603</v>
      </c>
      <c r="B19" s="455" t="s">
        <v>149</v>
      </c>
      <c r="C19" s="455">
        <v>14030000</v>
      </c>
      <c r="D19" s="456">
        <v>32334000</v>
      </c>
      <c r="E19" s="457">
        <v>2955000</v>
      </c>
      <c r="F19" s="500">
        <v>29379000</v>
      </c>
      <c r="G19" s="458">
        <v>11075000</v>
      </c>
      <c r="H19" s="470"/>
      <c r="I19" s="472"/>
      <c r="J19" s="473">
        <v>44615</v>
      </c>
      <c r="K19" s="471" t="s">
        <v>148</v>
      </c>
      <c r="L19" s="464">
        <v>10000000</v>
      </c>
      <c r="M19" s="443"/>
    </row>
    <row r="20" spans="1:13">
      <c r="A20" s="454">
        <v>44604</v>
      </c>
      <c r="B20" s="455">
        <v>1150000</v>
      </c>
      <c r="C20" s="455">
        <v>8600000</v>
      </c>
      <c r="D20" s="456">
        <v>9750000</v>
      </c>
      <c r="E20" s="457">
        <v>2205000</v>
      </c>
      <c r="F20" s="500">
        <v>7545000</v>
      </c>
      <c r="G20" s="458">
        <v>6395000</v>
      </c>
      <c r="H20" s="470"/>
      <c r="I20" s="472"/>
      <c r="J20" s="454">
        <v>44615</v>
      </c>
      <c r="K20" s="475" t="s">
        <v>150</v>
      </c>
      <c r="L20" s="464">
        <v>1000000</v>
      </c>
      <c r="M20" s="443"/>
    </row>
    <row r="21" spans="1:13">
      <c r="A21" s="498">
        <v>44605</v>
      </c>
      <c r="B21" s="499"/>
      <c r="C21" s="499"/>
      <c r="D21" s="499">
        <v>0</v>
      </c>
      <c r="E21" s="499"/>
      <c r="F21" s="501">
        <v>0</v>
      </c>
      <c r="G21" s="499">
        <v>0</v>
      </c>
      <c r="H21" s="470"/>
      <c r="I21" s="476"/>
      <c r="J21" s="473">
        <v>44617</v>
      </c>
      <c r="K21" s="477" t="s">
        <v>151</v>
      </c>
      <c r="L21" s="464">
        <v>5500000</v>
      </c>
      <c r="M21" s="443"/>
    </row>
    <row r="22" spans="1:13">
      <c r="A22" s="454">
        <v>44606</v>
      </c>
      <c r="B22" s="455">
        <v>9725000</v>
      </c>
      <c r="C22" s="455">
        <v>4900000</v>
      </c>
      <c r="D22" s="456">
        <v>14625000</v>
      </c>
      <c r="E22" s="457">
        <v>3355000</v>
      </c>
      <c r="F22" s="500">
        <v>11270000</v>
      </c>
      <c r="G22" s="458">
        <v>1545000</v>
      </c>
      <c r="H22" s="470"/>
      <c r="I22" s="476"/>
      <c r="J22" s="479">
        <v>44618</v>
      </c>
      <c r="K22" s="469" t="s">
        <v>152</v>
      </c>
      <c r="L22" s="464">
        <v>3800000</v>
      </c>
      <c r="M22" s="443"/>
    </row>
    <row r="23" spans="1:13">
      <c r="A23" s="454">
        <v>44607</v>
      </c>
      <c r="B23" s="455">
        <v>2500000</v>
      </c>
      <c r="C23" s="455">
        <v>3370000</v>
      </c>
      <c r="D23" s="456">
        <v>5870000</v>
      </c>
      <c r="E23" s="457">
        <v>2675000</v>
      </c>
      <c r="F23" s="500">
        <v>3195000</v>
      </c>
      <c r="G23" s="458">
        <v>695000</v>
      </c>
      <c r="H23" s="470"/>
      <c r="I23" s="478"/>
      <c r="J23" s="473">
        <v>44618</v>
      </c>
      <c r="K23" s="477" t="s">
        <v>148</v>
      </c>
      <c r="L23" s="464">
        <v>21500000</v>
      </c>
      <c r="M23" s="491"/>
    </row>
    <row r="24" spans="1:13">
      <c r="A24" s="454">
        <v>44608</v>
      </c>
      <c r="B24" s="455">
        <v>2800000</v>
      </c>
      <c r="C24" s="455">
        <v>3320000</v>
      </c>
      <c r="D24" s="456">
        <v>6120000</v>
      </c>
      <c r="E24" s="457">
        <v>1740000</v>
      </c>
      <c r="F24" s="500">
        <v>4380000</v>
      </c>
      <c r="G24" s="458">
        <v>1580000</v>
      </c>
      <c r="H24" s="459"/>
      <c r="I24" s="476"/>
      <c r="J24" s="473">
        <v>44620</v>
      </c>
      <c r="K24" s="477" t="s">
        <v>153</v>
      </c>
      <c r="L24" s="464">
        <v>8500000</v>
      </c>
      <c r="M24" s="443"/>
    </row>
    <row r="25" spans="1:13">
      <c r="A25" s="454">
        <v>44609</v>
      </c>
      <c r="B25" s="455">
        <v>6310000</v>
      </c>
      <c r="C25" s="455">
        <v>3325000</v>
      </c>
      <c r="D25" s="456">
        <v>9635000</v>
      </c>
      <c r="E25" s="457">
        <v>1675000</v>
      </c>
      <c r="F25" s="500">
        <v>7960000</v>
      </c>
      <c r="G25" s="458">
        <v>1650000</v>
      </c>
      <c r="H25" s="459"/>
      <c r="I25" s="443"/>
      <c r="J25" s="473"/>
      <c r="K25" s="477"/>
      <c r="L25" s="507"/>
      <c r="M25" s="443"/>
    </row>
    <row r="26" spans="1:13">
      <c r="A26" s="454">
        <v>44610</v>
      </c>
      <c r="B26" s="455">
        <v>170000</v>
      </c>
      <c r="C26" s="455">
        <v>470000</v>
      </c>
      <c r="D26" s="456">
        <v>640000</v>
      </c>
      <c r="E26" s="457">
        <v>3310000</v>
      </c>
      <c r="F26" s="500">
        <v>-2670000</v>
      </c>
      <c r="G26" s="458">
        <v>-2840000</v>
      </c>
      <c r="H26" s="459"/>
      <c r="I26" s="476"/>
      <c r="J26" s="482"/>
      <c r="K26" s="469"/>
      <c r="L26" s="483">
        <v>151471500</v>
      </c>
      <c r="M26" s="443"/>
    </row>
    <row r="27" spans="1:13">
      <c r="A27" s="454">
        <v>44611</v>
      </c>
      <c r="B27" s="455">
        <v>4650000</v>
      </c>
      <c r="C27" s="455">
        <v>2865000</v>
      </c>
      <c r="D27" s="456">
        <v>7515000</v>
      </c>
      <c r="E27" s="457">
        <v>3810000</v>
      </c>
      <c r="F27" s="500">
        <v>3705000</v>
      </c>
      <c r="G27" s="458">
        <v>-945000</v>
      </c>
      <c r="H27" s="459"/>
      <c r="I27" s="476"/>
      <c r="J27" s="474"/>
      <c r="K27" s="443"/>
      <c r="L27" s="443"/>
      <c r="M27" s="443"/>
    </row>
    <row r="28" spans="1:13" ht="15.75">
      <c r="A28" s="498">
        <v>44612</v>
      </c>
      <c r="B28" s="499"/>
      <c r="C28" s="499"/>
      <c r="D28" s="499">
        <v>0</v>
      </c>
      <c r="E28" s="499"/>
      <c r="F28" s="501">
        <v>0</v>
      </c>
      <c r="G28" s="499">
        <v>0</v>
      </c>
      <c r="H28" s="481"/>
      <c r="I28" s="476"/>
      <c r="J28" s="484" t="s">
        <v>27</v>
      </c>
      <c r="K28" s="485" t="s">
        <v>28</v>
      </c>
      <c r="L28" s="486">
        <v>230011000</v>
      </c>
      <c r="M28" s="443"/>
    </row>
    <row r="29" spans="1:13" ht="15.75">
      <c r="A29" s="454">
        <v>44613</v>
      </c>
      <c r="B29" s="455">
        <v>2150000</v>
      </c>
      <c r="C29" s="455">
        <v>3375000</v>
      </c>
      <c r="D29" s="456">
        <v>5525000</v>
      </c>
      <c r="E29" s="457">
        <v>2810000</v>
      </c>
      <c r="F29" s="500">
        <v>2715000</v>
      </c>
      <c r="G29" s="458">
        <v>565000</v>
      </c>
      <c r="H29" s="459"/>
      <c r="I29" s="476"/>
      <c r="J29" s="488"/>
      <c r="K29" s="489" t="s">
        <v>29</v>
      </c>
      <c r="L29" s="490">
        <v>73220000</v>
      </c>
      <c r="M29" s="443"/>
    </row>
    <row r="30" spans="1:13" ht="15.75">
      <c r="A30" s="454">
        <v>44614</v>
      </c>
      <c r="B30" s="455">
        <v>7510000</v>
      </c>
      <c r="C30" s="455">
        <v>2800000</v>
      </c>
      <c r="D30" s="456">
        <v>10310000</v>
      </c>
      <c r="E30" s="457">
        <v>1630000</v>
      </c>
      <c r="F30" s="500">
        <v>8680000</v>
      </c>
      <c r="G30" s="458">
        <v>1170000</v>
      </c>
      <c r="H30" s="459"/>
      <c r="I30" s="476"/>
      <c r="J30" s="488"/>
      <c r="K30" s="489" t="s">
        <v>30</v>
      </c>
      <c r="L30" s="490">
        <v>151471500</v>
      </c>
      <c r="M30" s="443"/>
    </row>
    <row r="31" spans="1:13" ht="15.75">
      <c r="A31" s="454">
        <v>44615</v>
      </c>
      <c r="B31" s="455">
        <v>2400000</v>
      </c>
      <c r="C31" s="455">
        <v>3525000</v>
      </c>
      <c r="D31" s="456">
        <v>5925000</v>
      </c>
      <c r="E31" s="457">
        <v>3140000</v>
      </c>
      <c r="F31" s="500">
        <v>2785000</v>
      </c>
      <c r="G31" s="458">
        <v>385000</v>
      </c>
      <c r="H31" s="459"/>
      <c r="I31" s="476"/>
      <c r="J31" s="488"/>
      <c r="K31" s="489" t="s">
        <v>31</v>
      </c>
      <c r="L31" s="490">
        <v>224691500</v>
      </c>
      <c r="M31" s="443"/>
    </row>
    <row r="32" spans="1:13" ht="15.75">
      <c r="A32" s="454">
        <v>44616</v>
      </c>
      <c r="B32" s="455">
        <v>16694000</v>
      </c>
      <c r="C32" s="455">
        <v>50000</v>
      </c>
      <c r="D32" s="456">
        <v>16744000</v>
      </c>
      <c r="E32" s="457">
        <v>9310000</v>
      </c>
      <c r="F32" s="500">
        <v>7434000</v>
      </c>
      <c r="G32" s="458">
        <v>-9260000</v>
      </c>
      <c r="H32" s="459"/>
      <c r="I32" s="476"/>
      <c r="J32" s="488"/>
      <c r="K32" s="492"/>
      <c r="L32" s="486"/>
      <c r="M32" s="443"/>
    </row>
    <row r="33" spans="1:12" ht="18">
      <c r="A33" s="454">
        <v>44617</v>
      </c>
      <c r="B33" s="455">
        <v>20508000</v>
      </c>
      <c r="C33" s="455">
        <v>1000000</v>
      </c>
      <c r="D33" s="456">
        <v>21508000</v>
      </c>
      <c r="E33" s="457">
        <v>2135000</v>
      </c>
      <c r="F33" s="500">
        <v>19373000</v>
      </c>
      <c r="G33" s="458">
        <v>-1135000</v>
      </c>
      <c r="H33" s="459"/>
      <c r="I33" s="476"/>
      <c r="J33" s="730" t="s">
        <v>154</v>
      </c>
      <c r="K33" s="730"/>
      <c r="L33" s="493">
        <v>5319500</v>
      </c>
    </row>
    <row r="34" spans="1:12">
      <c r="A34" s="454">
        <v>44618</v>
      </c>
      <c r="B34" s="455">
        <v>11025000</v>
      </c>
      <c r="C34" s="455">
        <v>5825000</v>
      </c>
      <c r="D34" s="456">
        <v>16850000</v>
      </c>
      <c r="E34" s="457">
        <v>2430000</v>
      </c>
      <c r="F34" s="500">
        <v>14420000</v>
      </c>
      <c r="G34" s="458">
        <v>3395000</v>
      </c>
      <c r="H34" s="459"/>
      <c r="I34" s="476"/>
      <c r="J34" s="476"/>
      <c r="K34" s="476"/>
      <c r="L34" s="443"/>
    </row>
    <row r="35" spans="1:12">
      <c r="A35" s="498">
        <v>44619</v>
      </c>
      <c r="B35" s="499"/>
      <c r="C35" s="499"/>
      <c r="D35" s="499">
        <v>0</v>
      </c>
      <c r="E35" s="499"/>
      <c r="F35" s="501">
        <v>0</v>
      </c>
      <c r="G35" s="499">
        <v>0</v>
      </c>
      <c r="H35" s="459"/>
      <c r="I35" s="476"/>
      <c r="J35" s="443"/>
      <c r="K35" s="443"/>
      <c r="L35" s="443"/>
    </row>
    <row r="36" spans="1:12">
      <c r="A36" s="454">
        <v>44620</v>
      </c>
      <c r="B36" s="455">
        <v>500000</v>
      </c>
      <c r="C36" s="455"/>
      <c r="D36" s="456">
        <v>500000</v>
      </c>
      <c r="E36" s="457">
        <v>1070000</v>
      </c>
      <c r="F36" s="500">
        <v>-570000</v>
      </c>
      <c r="G36" s="458">
        <v>-1070000</v>
      </c>
      <c r="H36" s="459"/>
      <c r="I36" s="487"/>
      <c r="J36" s="443"/>
      <c r="K36" s="443"/>
      <c r="L36" s="443"/>
    </row>
    <row r="37" spans="1:12">
      <c r="A37" s="454"/>
      <c r="B37" s="494"/>
      <c r="C37" s="494"/>
      <c r="D37" s="495">
        <v>230011000</v>
      </c>
      <c r="E37" s="496">
        <v>73220000</v>
      </c>
      <c r="F37" s="502">
        <v>156791000</v>
      </c>
      <c r="G37" s="503">
        <v>16645000</v>
      </c>
      <c r="H37" s="459"/>
      <c r="I37" s="476"/>
      <c r="J37" s="443"/>
      <c r="K37" s="443"/>
      <c r="L37" s="497"/>
    </row>
    <row r="38" spans="1:12">
      <c r="A38" s="443"/>
      <c r="B38" s="443"/>
      <c r="C38" s="443"/>
      <c r="D38" s="497"/>
      <c r="E38" s="443"/>
      <c r="F38" s="443"/>
      <c r="G38" s="443"/>
      <c r="H38" s="459"/>
      <c r="I38" s="476"/>
      <c r="J38" s="443"/>
      <c r="K38" s="443"/>
      <c r="L38" s="443"/>
    </row>
    <row r="41" spans="1:12">
      <c r="A41" s="443"/>
      <c r="B41" s="443"/>
      <c r="C41" s="443"/>
      <c r="D41" s="443"/>
      <c r="E41" s="443"/>
      <c r="F41" s="443"/>
      <c r="G41" s="443"/>
      <c r="H41" s="443"/>
      <c r="I41" s="443"/>
      <c r="J41" s="443"/>
      <c r="K41" s="443"/>
      <c r="L41" s="443"/>
    </row>
    <row r="42" spans="1:12">
      <c r="A42" s="443"/>
      <c r="B42" s="443"/>
      <c r="C42" s="443"/>
      <c r="D42" s="443"/>
      <c r="E42" s="443"/>
      <c r="F42" s="443"/>
      <c r="G42" s="443"/>
      <c r="H42" s="443"/>
      <c r="I42" s="443"/>
      <c r="J42" s="443"/>
      <c r="K42" s="443"/>
      <c r="L42" s="443"/>
    </row>
    <row r="48" spans="1:12">
      <c r="A48" s="443"/>
      <c r="B48" s="443"/>
      <c r="C48" s="443"/>
      <c r="D48" s="443"/>
      <c r="E48" s="443"/>
      <c r="F48" s="443"/>
      <c r="G48" s="443"/>
      <c r="H48" s="459"/>
      <c r="I48" s="476"/>
      <c r="J48" s="443"/>
      <c r="K48" s="443"/>
      <c r="L48" s="443"/>
    </row>
  </sheetData>
  <mergeCells count="1">
    <mergeCell ref="J33:K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0"/>
  <sheetViews>
    <sheetView topLeftCell="B22" workbookViewId="0">
      <selection activeCell="C46" sqref="C46"/>
    </sheetView>
  </sheetViews>
  <sheetFormatPr defaultRowHeight="15"/>
  <cols>
    <col min="1" max="1" width="9.140625" customWidth="1"/>
    <col min="2" max="2" width="14.85546875" customWidth="1"/>
    <col min="3" max="3" width="16" customWidth="1"/>
    <col min="4" max="4" width="15" customWidth="1"/>
    <col min="5" max="5" width="14.7109375" customWidth="1"/>
    <col min="6" max="7" width="15" customWidth="1"/>
    <col min="10" max="10" width="9.42578125" customWidth="1"/>
    <col min="11" max="11" width="55.140625" customWidth="1"/>
    <col min="12" max="12" width="16.28515625" customWidth="1"/>
  </cols>
  <sheetData>
    <row r="1" spans="1:13">
      <c r="A1" s="734" t="s">
        <v>155</v>
      </c>
      <c r="B1" s="735"/>
      <c r="C1" s="735"/>
      <c r="D1" s="735"/>
      <c r="E1" s="735"/>
      <c r="F1" s="520"/>
      <c r="G1" s="520"/>
      <c r="H1" s="520"/>
      <c r="I1" s="520"/>
      <c r="J1" s="520"/>
      <c r="K1" s="520"/>
      <c r="L1" s="520"/>
      <c r="M1" s="520"/>
    </row>
    <row r="2" spans="1:13">
      <c r="A2" s="736"/>
      <c r="B2" s="736"/>
      <c r="C2" s="736"/>
      <c r="D2" s="736"/>
      <c r="E2" s="736"/>
      <c r="F2" s="520"/>
      <c r="G2" s="520"/>
      <c r="H2" s="520"/>
      <c r="I2" s="520"/>
      <c r="J2" s="520"/>
      <c r="K2" s="520"/>
      <c r="L2" s="520"/>
      <c r="M2" s="520"/>
    </row>
    <row r="3" spans="1:13" ht="15.75">
      <c r="A3" s="737" t="s">
        <v>1</v>
      </c>
      <c r="B3" s="739" t="s">
        <v>2</v>
      </c>
      <c r="C3" s="740"/>
      <c r="D3" s="741" t="s">
        <v>3</v>
      </c>
      <c r="E3" s="731" t="s">
        <v>4</v>
      </c>
      <c r="F3" s="741" t="s">
        <v>5</v>
      </c>
      <c r="G3" s="731" t="s">
        <v>6</v>
      </c>
      <c r="H3" s="521"/>
      <c r="I3" s="522"/>
      <c r="J3" s="523" t="s">
        <v>7</v>
      </c>
      <c r="K3" s="524"/>
      <c r="L3" s="525"/>
      <c r="M3" s="520"/>
    </row>
    <row r="4" spans="1:13" ht="15.75">
      <c r="A4" s="738"/>
      <c r="B4" s="526" t="s">
        <v>8</v>
      </c>
      <c r="C4" s="527" t="s">
        <v>9</v>
      </c>
      <c r="D4" s="742"/>
      <c r="E4" s="732"/>
      <c r="F4" s="742"/>
      <c r="G4" s="732"/>
      <c r="H4" s="521"/>
      <c r="I4" s="522"/>
      <c r="J4" s="528" t="s">
        <v>1</v>
      </c>
      <c r="K4" s="529" t="s">
        <v>10</v>
      </c>
      <c r="L4" s="530" t="s">
        <v>11</v>
      </c>
      <c r="M4" s="520"/>
    </row>
    <row r="5" spans="1:13">
      <c r="A5" s="576">
        <v>44562</v>
      </c>
      <c r="B5" s="579"/>
      <c r="C5" s="579"/>
      <c r="D5" s="579"/>
      <c r="E5" s="579"/>
      <c r="F5" s="579"/>
      <c r="G5" s="579"/>
      <c r="H5" s="577"/>
      <c r="I5" s="525"/>
      <c r="J5" s="531">
        <v>44565</v>
      </c>
      <c r="K5" s="537" t="s">
        <v>156</v>
      </c>
      <c r="L5" s="538">
        <v>5300000</v>
      </c>
      <c r="M5" s="520"/>
    </row>
    <row r="6" spans="1:13">
      <c r="A6" s="576">
        <v>44563</v>
      </c>
      <c r="B6" s="578"/>
      <c r="C6" s="578"/>
      <c r="D6" s="578"/>
      <c r="E6" s="578"/>
      <c r="F6" s="578"/>
      <c r="G6" s="578"/>
      <c r="H6" s="577"/>
      <c r="I6" s="525"/>
      <c r="J6" s="539">
        <v>44567</v>
      </c>
      <c r="K6" s="540" t="s">
        <v>157</v>
      </c>
      <c r="L6" s="541">
        <v>4892000</v>
      </c>
      <c r="M6" s="520"/>
    </row>
    <row r="7" spans="1:13">
      <c r="A7" s="531">
        <v>44564</v>
      </c>
      <c r="B7" s="532">
        <v>1200000</v>
      </c>
      <c r="C7" s="532">
        <v>5975000</v>
      </c>
      <c r="D7" s="533">
        <v>7175000</v>
      </c>
      <c r="E7" s="534">
        <v>3605000</v>
      </c>
      <c r="F7" s="532" t="s">
        <v>158</v>
      </c>
      <c r="G7" s="535">
        <v>2370000</v>
      </c>
      <c r="H7" s="536"/>
      <c r="I7" s="542"/>
      <c r="J7" s="539">
        <v>44567</v>
      </c>
      <c r="K7" s="540" t="s">
        <v>159</v>
      </c>
      <c r="L7" s="541">
        <v>1000000</v>
      </c>
      <c r="M7" s="520"/>
    </row>
    <row r="8" spans="1:13">
      <c r="A8" s="531">
        <v>44565</v>
      </c>
      <c r="B8" s="532">
        <v>10430000</v>
      </c>
      <c r="C8" s="532">
        <v>4470000</v>
      </c>
      <c r="D8" s="533">
        <v>14900000</v>
      </c>
      <c r="E8" s="534">
        <v>3350000</v>
      </c>
      <c r="F8" s="532">
        <v>11550000</v>
      </c>
      <c r="G8" s="535">
        <v>1120000</v>
      </c>
      <c r="H8" s="536"/>
      <c r="I8" s="525"/>
      <c r="J8" s="543">
        <v>44571</v>
      </c>
      <c r="K8" s="544" t="s">
        <v>160</v>
      </c>
      <c r="L8" s="541">
        <v>24600000</v>
      </c>
      <c r="M8" s="520"/>
    </row>
    <row r="9" spans="1:13">
      <c r="A9" s="531">
        <v>44566</v>
      </c>
      <c r="B9" s="532">
        <v>350000</v>
      </c>
      <c r="C9" s="532">
        <v>10770000</v>
      </c>
      <c r="D9" s="533">
        <v>11120000</v>
      </c>
      <c r="E9" s="534">
        <v>2590000</v>
      </c>
      <c r="F9" s="532">
        <v>8530000</v>
      </c>
      <c r="G9" s="535">
        <v>8180000</v>
      </c>
      <c r="H9" s="536"/>
      <c r="I9" s="545"/>
      <c r="J9" s="543">
        <v>44572</v>
      </c>
      <c r="K9" s="581" t="s">
        <v>161</v>
      </c>
      <c r="L9" s="541">
        <v>450000</v>
      </c>
      <c r="M9" s="520"/>
    </row>
    <row r="10" spans="1:13">
      <c r="A10" s="531">
        <v>44567</v>
      </c>
      <c r="B10" s="532">
        <v>750000</v>
      </c>
      <c r="C10" s="532">
        <v>6810000</v>
      </c>
      <c r="D10" s="533">
        <v>7560000</v>
      </c>
      <c r="E10" s="534">
        <v>1945000</v>
      </c>
      <c r="F10" s="532">
        <v>5615000</v>
      </c>
      <c r="G10" s="535">
        <v>4865000</v>
      </c>
      <c r="H10" s="536"/>
      <c r="I10" s="545"/>
      <c r="J10" s="531">
        <v>44574</v>
      </c>
      <c r="K10" s="540" t="s">
        <v>162</v>
      </c>
      <c r="L10" s="541">
        <v>1100000</v>
      </c>
      <c r="M10" s="520"/>
    </row>
    <row r="11" spans="1:13">
      <c r="A11" s="531">
        <v>44568</v>
      </c>
      <c r="B11" s="532">
        <v>1360000</v>
      </c>
      <c r="C11" s="532">
        <v>1065000</v>
      </c>
      <c r="D11" s="533">
        <v>2425000</v>
      </c>
      <c r="E11" s="534">
        <v>1570000</v>
      </c>
      <c r="F11" s="532">
        <v>855000</v>
      </c>
      <c r="G11" s="535">
        <v>-505000</v>
      </c>
      <c r="H11" s="536"/>
      <c r="I11" s="525"/>
      <c r="J11" s="531">
        <v>44580</v>
      </c>
      <c r="K11" s="544" t="s">
        <v>163</v>
      </c>
      <c r="L11" s="541">
        <v>50000000</v>
      </c>
      <c r="M11" s="520"/>
    </row>
    <row r="12" spans="1:13">
      <c r="A12" s="531">
        <v>44569</v>
      </c>
      <c r="B12" s="532">
        <v>13150000</v>
      </c>
      <c r="C12" s="532">
        <v>5400000</v>
      </c>
      <c r="D12" s="533">
        <v>18550000</v>
      </c>
      <c r="E12" s="534">
        <v>4115000</v>
      </c>
      <c r="F12" s="532">
        <v>14435000</v>
      </c>
      <c r="G12" s="535">
        <v>1285000</v>
      </c>
      <c r="H12" s="536"/>
      <c r="I12" s="525"/>
      <c r="J12" s="531">
        <v>44585</v>
      </c>
      <c r="K12" s="537" t="s">
        <v>164</v>
      </c>
      <c r="L12" s="541">
        <v>5500000</v>
      </c>
      <c r="M12" s="520"/>
    </row>
    <row r="13" spans="1:13">
      <c r="A13" s="576">
        <v>44570</v>
      </c>
      <c r="B13" s="578"/>
      <c r="C13" s="578"/>
      <c r="D13" s="578">
        <v>0</v>
      </c>
      <c r="E13" s="578"/>
      <c r="F13" s="578">
        <v>0</v>
      </c>
      <c r="G13" s="578">
        <v>0</v>
      </c>
      <c r="H13" s="580"/>
      <c r="I13" s="525"/>
      <c r="J13" s="531">
        <v>44587</v>
      </c>
      <c r="K13" s="548" t="s">
        <v>163</v>
      </c>
      <c r="L13" s="541">
        <v>10000000</v>
      </c>
      <c r="M13" s="520"/>
    </row>
    <row r="14" spans="1:13">
      <c r="A14" s="531">
        <v>44571</v>
      </c>
      <c r="B14" s="532">
        <v>900000</v>
      </c>
      <c r="C14" s="532">
        <v>1200000</v>
      </c>
      <c r="D14" s="533">
        <v>2100000</v>
      </c>
      <c r="E14" s="534">
        <v>2015000</v>
      </c>
      <c r="F14" s="532">
        <v>85000</v>
      </c>
      <c r="G14" s="535">
        <v>-815000</v>
      </c>
      <c r="H14" s="547"/>
      <c r="I14" s="545"/>
      <c r="J14" s="531">
        <v>44587</v>
      </c>
      <c r="K14" s="548" t="s">
        <v>163</v>
      </c>
      <c r="L14" s="541">
        <v>10000000</v>
      </c>
      <c r="M14" s="520"/>
    </row>
    <row r="15" spans="1:13" ht="30">
      <c r="A15" s="531">
        <v>44572</v>
      </c>
      <c r="B15" s="532">
        <v>1700000</v>
      </c>
      <c r="C15" s="532">
        <v>5920000</v>
      </c>
      <c r="D15" s="533">
        <v>7620000</v>
      </c>
      <c r="E15" s="534">
        <v>3185000</v>
      </c>
      <c r="F15" s="532">
        <v>4435000</v>
      </c>
      <c r="G15" s="535">
        <v>2735000</v>
      </c>
      <c r="H15" s="547"/>
      <c r="I15" s="549"/>
      <c r="J15" s="550">
        <v>44587</v>
      </c>
      <c r="K15" s="582" t="s">
        <v>165</v>
      </c>
      <c r="L15" s="583">
        <v>1100000</v>
      </c>
      <c r="M15" s="551"/>
    </row>
    <row r="16" spans="1:13">
      <c r="A16" s="531">
        <v>44573</v>
      </c>
      <c r="B16" s="532">
        <v>7075000</v>
      </c>
      <c r="C16" s="532">
        <v>5125000</v>
      </c>
      <c r="D16" s="533">
        <v>12200000</v>
      </c>
      <c r="E16" s="534">
        <v>3865000</v>
      </c>
      <c r="F16" s="532">
        <v>8335000</v>
      </c>
      <c r="G16" s="535">
        <v>1260000</v>
      </c>
      <c r="H16" s="547"/>
      <c r="I16" s="549"/>
      <c r="J16" s="531">
        <v>44588</v>
      </c>
      <c r="K16" s="548" t="s">
        <v>163</v>
      </c>
      <c r="L16" s="541">
        <v>10000000</v>
      </c>
      <c r="M16" s="551"/>
    </row>
    <row r="17" spans="1:14">
      <c r="A17" s="531">
        <v>44574</v>
      </c>
      <c r="B17" s="532">
        <v>200000</v>
      </c>
      <c r="C17" s="532">
        <v>4525000</v>
      </c>
      <c r="D17" s="533">
        <v>4725000</v>
      </c>
      <c r="E17" s="534">
        <v>1680000</v>
      </c>
      <c r="F17" s="532">
        <v>3045000</v>
      </c>
      <c r="G17" s="535">
        <v>2845000</v>
      </c>
      <c r="H17" s="547"/>
      <c r="I17" s="552"/>
      <c r="J17" s="531">
        <v>44589</v>
      </c>
      <c r="K17" s="546" t="s">
        <v>166</v>
      </c>
      <c r="L17" s="541">
        <v>430000</v>
      </c>
      <c r="M17" s="520"/>
      <c r="N17" s="520"/>
    </row>
    <row r="18" spans="1:14">
      <c r="A18" s="531">
        <v>44575</v>
      </c>
      <c r="B18" s="532">
        <v>4400000</v>
      </c>
      <c r="C18" s="532">
        <v>4575000</v>
      </c>
      <c r="D18" s="533">
        <v>8975000</v>
      </c>
      <c r="E18" s="534">
        <v>1700000</v>
      </c>
      <c r="F18" s="532">
        <v>7275000</v>
      </c>
      <c r="G18" s="535">
        <v>2875000</v>
      </c>
      <c r="H18" s="547"/>
      <c r="I18" s="552"/>
      <c r="J18" s="550">
        <v>44590</v>
      </c>
      <c r="K18" s="553" t="s">
        <v>163</v>
      </c>
      <c r="L18" s="541">
        <v>18000000</v>
      </c>
      <c r="M18" s="520"/>
      <c r="N18" s="520"/>
    </row>
    <row r="19" spans="1:14">
      <c r="A19" s="531">
        <v>44576</v>
      </c>
      <c r="B19" s="532">
        <v>9970000</v>
      </c>
      <c r="C19" s="532">
        <v>2835000</v>
      </c>
      <c r="D19" s="533">
        <v>12805000</v>
      </c>
      <c r="E19" s="534">
        <v>2390000</v>
      </c>
      <c r="F19" s="532">
        <v>10415000</v>
      </c>
      <c r="G19" s="535">
        <v>445000</v>
      </c>
      <c r="H19" s="547"/>
      <c r="I19" s="554"/>
      <c r="J19" s="555"/>
      <c r="K19" s="546"/>
      <c r="L19" s="541"/>
      <c r="M19" s="520"/>
      <c r="N19" s="520"/>
    </row>
    <row r="20" spans="1:14">
      <c r="A20" s="576">
        <v>44577</v>
      </c>
      <c r="B20" s="578"/>
      <c r="C20" s="578"/>
      <c r="D20" s="578">
        <v>0</v>
      </c>
      <c r="E20" s="578"/>
      <c r="F20" s="578">
        <v>0</v>
      </c>
      <c r="G20" s="578">
        <v>0</v>
      </c>
      <c r="H20" s="577"/>
      <c r="I20" s="552"/>
      <c r="J20" s="550"/>
      <c r="K20" s="553"/>
      <c r="L20" s="541"/>
      <c r="M20" s="520"/>
      <c r="N20" s="520"/>
    </row>
    <row r="21" spans="1:14">
      <c r="A21" s="531">
        <v>44578</v>
      </c>
      <c r="B21" s="532">
        <v>6610000</v>
      </c>
      <c r="C21" s="532">
        <v>3300000</v>
      </c>
      <c r="D21" s="533">
        <v>9910000</v>
      </c>
      <c r="E21" s="534">
        <v>3590000</v>
      </c>
      <c r="F21" s="532">
        <v>6320000</v>
      </c>
      <c r="G21" s="535">
        <v>-290000</v>
      </c>
      <c r="H21" s="536"/>
      <c r="I21" s="552"/>
      <c r="J21" s="550"/>
      <c r="K21" s="553"/>
      <c r="L21" s="541"/>
      <c r="M21" s="520"/>
      <c r="N21" s="520"/>
    </row>
    <row r="22" spans="1:14">
      <c r="A22" s="531">
        <v>44579</v>
      </c>
      <c r="B22" s="532">
        <v>3850000</v>
      </c>
      <c r="C22" s="532">
        <v>6900000</v>
      </c>
      <c r="D22" s="533">
        <v>10750000</v>
      </c>
      <c r="E22" s="534">
        <v>1880000</v>
      </c>
      <c r="F22" s="532">
        <v>8870000</v>
      </c>
      <c r="G22" s="535">
        <v>5020000</v>
      </c>
      <c r="H22" s="536"/>
      <c r="I22" s="554"/>
      <c r="J22" s="550"/>
      <c r="K22" s="553"/>
      <c r="L22" s="541"/>
      <c r="M22" s="556"/>
      <c r="N22" s="520"/>
    </row>
    <row r="23" spans="1:14">
      <c r="A23" s="531">
        <v>44580</v>
      </c>
      <c r="B23" s="532">
        <v>10625000</v>
      </c>
      <c r="C23" s="532">
        <v>925000</v>
      </c>
      <c r="D23" s="533">
        <v>11550000</v>
      </c>
      <c r="E23" s="534">
        <v>1625000</v>
      </c>
      <c r="F23" s="532">
        <v>9925000</v>
      </c>
      <c r="G23" s="535">
        <v>-700000</v>
      </c>
      <c r="H23" s="536"/>
      <c r="I23" s="552"/>
      <c r="J23" s="550"/>
      <c r="K23" s="553"/>
      <c r="L23" s="541"/>
      <c r="M23" s="520"/>
      <c r="N23" s="520"/>
    </row>
    <row r="24" spans="1:14">
      <c r="A24" s="531">
        <v>44581</v>
      </c>
      <c r="B24" s="532">
        <v>950000</v>
      </c>
      <c r="C24" s="532">
        <v>250000</v>
      </c>
      <c r="D24" s="533">
        <v>1200000</v>
      </c>
      <c r="E24" s="534">
        <v>3855000</v>
      </c>
      <c r="F24" s="532">
        <v>-2655000</v>
      </c>
      <c r="G24" s="535">
        <v>-3605000</v>
      </c>
      <c r="H24" s="557"/>
      <c r="I24" s="552"/>
      <c r="J24" s="550"/>
      <c r="K24" s="553"/>
      <c r="L24" s="541"/>
      <c r="M24" s="520"/>
      <c r="N24" s="520"/>
    </row>
    <row r="25" spans="1:14">
      <c r="A25" s="531">
        <v>44582</v>
      </c>
      <c r="B25" s="532">
        <v>4800000</v>
      </c>
      <c r="C25" s="532">
        <v>150000</v>
      </c>
      <c r="D25" s="533">
        <v>4950000</v>
      </c>
      <c r="E25" s="534">
        <v>1555000</v>
      </c>
      <c r="F25" s="532">
        <v>3395000</v>
      </c>
      <c r="G25" s="535">
        <v>-1405000</v>
      </c>
      <c r="H25" s="536"/>
      <c r="I25" s="552"/>
      <c r="J25" s="550"/>
      <c r="K25" s="553"/>
      <c r="L25" s="541"/>
      <c r="M25" s="520"/>
      <c r="N25" s="575">
        <v>98000000</v>
      </c>
    </row>
    <row r="26" spans="1:14">
      <c r="A26" s="531">
        <v>44583</v>
      </c>
      <c r="B26" s="532">
        <v>5020000</v>
      </c>
      <c r="C26" s="532">
        <v>11065000</v>
      </c>
      <c r="D26" s="533">
        <v>16085000</v>
      </c>
      <c r="E26" s="534">
        <v>4400000</v>
      </c>
      <c r="F26" s="532">
        <v>11685000</v>
      </c>
      <c r="G26" s="535">
        <v>6665000</v>
      </c>
      <c r="H26" s="536"/>
      <c r="I26" s="552"/>
      <c r="J26" s="550"/>
      <c r="K26" s="553"/>
      <c r="L26" s="541"/>
      <c r="M26" s="520"/>
      <c r="N26" s="520"/>
    </row>
    <row r="27" spans="1:14">
      <c r="A27" s="576">
        <v>44584</v>
      </c>
      <c r="B27" s="578"/>
      <c r="C27" s="578"/>
      <c r="D27" s="578">
        <v>0</v>
      </c>
      <c r="E27" s="578"/>
      <c r="F27" s="578">
        <v>0</v>
      </c>
      <c r="G27" s="578">
        <v>0</v>
      </c>
      <c r="H27" s="577"/>
      <c r="I27" s="552"/>
      <c r="J27" s="550"/>
      <c r="K27" s="553"/>
      <c r="L27" s="541"/>
      <c r="M27" s="520"/>
      <c r="N27" s="520"/>
    </row>
    <row r="28" spans="1:14">
      <c r="A28" s="531">
        <v>44585</v>
      </c>
      <c r="B28" s="532">
        <v>4900000</v>
      </c>
      <c r="C28" s="532">
        <v>3350000</v>
      </c>
      <c r="D28" s="533">
        <v>8250000</v>
      </c>
      <c r="E28" s="534">
        <v>4470000</v>
      </c>
      <c r="F28" s="532">
        <v>3780000</v>
      </c>
      <c r="G28" s="535">
        <v>-1120000</v>
      </c>
      <c r="H28" s="536"/>
      <c r="I28" s="552"/>
      <c r="J28" s="550"/>
      <c r="K28" s="553"/>
      <c r="L28" s="541"/>
      <c r="M28" s="520"/>
      <c r="N28" s="520"/>
    </row>
    <row r="29" spans="1:14">
      <c r="A29" s="531">
        <v>44586</v>
      </c>
      <c r="B29" s="532"/>
      <c r="C29" s="532">
        <v>5225000</v>
      </c>
      <c r="D29" s="533">
        <v>5225000</v>
      </c>
      <c r="E29" s="534">
        <v>4335000</v>
      </c>
      <c r="F29" s="532">
        <v>890000</v>
      </c>
      <c r="G29" s="535">
        <v>890000</v>
      </c>
      <c r="H29" s="536"/>
      <c r="I29" s="552"/>
      <c r="J29" s="558"/>
      <c r="K29" s="546"/>
      <c r="L29" s="559">
        <v>142372000</v>
      </c>
      <c r="M29" s="520"/>
      <c r="N29" s="575"/>
    </row>
    <row r="30" spans="1:14">
      <c r="A30" s="531">
        <v>44587</v>
      </c>
      <c r="B30" s="532">
        <v>10000000</v>
      </c>
      <c r="C30" s="532">
        <v>3350000</v>
      </c>
      <c r="D30" s="533">
        <v>13350000</v>
      </c>
      <c r="E30" s="534">
        <v>4075000</v>
      </c>
      <c r="F30" s="532">
        <v>9275000</v>
      </c>
      <c r="G30" s="535">
        <v>-725000</v>
      </c>
      <c r="H30" s="536"/>
      <c r="I30" s="552"/>
      <c r="J30" s="551"/>
      <c r="K30" s="520"/>
      <c r="L30" s="520"/>
      <c r="M30" s="520"/>
      <c r="N30" s="520"/>
    </row>
    <row r="31" spans="1:14" ht="15.75">
      <c r="A31" s="531">
        <v>44588</v>
      </c>
      <c r="B31" s="532">
        <v>2330000</v>
      </c>
      <c r="C31" s="532">
        <v>2975000</v>
      </c>
      <c r="D31" s="533">
        <v>5305000</v>
      </c>
      <c r="E31" s="534">
        <v>4660000</v>
      </c>
      <c r="F31" s="532">
        <v>645000</v>
      </c>
      <c r="G31" s="535">
        <v>-1685000</v>
      </c>
      <c r="H31" s="536"/>
      <c r="I31" s="552"/>
      <c r="J31" s="560" t="s">
        <v>27</v>
      </c>
      <c r="K31" s="561" t="s">
        <v>28</v>
      </c>
      <c r="L31" s="562">
        <v>229570000</v>
      </c>
      <c r="M31" s="520"/>
      <c r="N31" s="520"/>
    </row>
    <row r="32" spans="1:14" ht="15.75">
      <c r="A32" s="531">
        <v>44589</v>
      </c>
      <c r="B32" s="532">
        <v>10715000</v>
      </c>
      <c r="C32" s="532">
        <v>5370000</v>
      </c>
      <c r="D32" s="533">
        <v>16085000</v>
      </c>
      <c r="E32" s="534">
        <v>2805000</v>
      </c>
      <c r="F32" s="532">
        <v>13280000</v>
      </c>
      <c r="G32" s="535">
        <v>2565000</v>
      </c>
      <c r="H32" s="536"/>
      <c r="I32" s="563"/>
      <c r="J32" s="564"/>
      <c r="K32" s="565" t="s">
        <v>29</v>
      </c>
      <c r="L32" s="566">
        <v>73485000</v>
      </c>
      <c r="M32" s="567"/>
      <c r="N32" s="520"/>
    </row>
    <row r="33" spans="1:12" ht="15.75">
      <c r="A33" s="531">
        <v>44590</v>
      </c>
      <c r="B33" s="532">
        <v>4475000</v>
      </c>
      <c r="C33" s="532">
        <v>12280000</v>
      </c>
      <c r="D33" s="533">
        <v>16755000</v>
      </c>
      <c r="E33" s="534">
        <v>4225000</v>
      </c>
      <c r="F33" s="532">
        <v>12530000</v>
      </c>
      <c r="G33" s="535">
        <v>8055000</v>
      </c>
      <c r="H33" s="536"/>
      <c r="I33" s="552"/>
      <c r="J33" s="564"/>
      <c r="K33" s="565" t="s">
        <v>30</v>
      </c>
      <c r="L33" s="566">
        <v>142372000</v>
      </c>
    </row>
    <row r="34" spans="1:12" ht="15.75">
      <c r="A34" s="576">
        <v>44591</v>
      </c>
      <c r="B34" s="578"/>
      <c r="C34" s="578"/>
      <c r="D34" s="578">
        <v>0</v>
      </c>
      <c r="E34" s="578"/>
      <c r="F34" s="578">
        <v>0</v>
      </c>
      <c r="G34" s="578">
        <v>0</v>
      </c>
      <c r="H34" s="577"/>
      <c r="I34" s="552"/>
      <c r="J34" s="564"/>
      <c r="K34" s="565" t="s">
        <v>31</v>
      </c>
      <c r="L34" s="566">
        <v>215857000</v>
      </c>
    </row>
    <row r="35" spans="1:12" ht="15.75">
      <c r="A35" s="531">
        <v>44592</v>
      </c>
      <c r="B35" s="532"/>
      <c r="C35" s="532"/>
      <c r="D35" s="533">
        <v>0</v>
      </c>
      <c r="E35" s="534"/>
      <c r="F35" s="532">
        <v>0</v>
      </c>
      <c r="G35" s="535">
        <v>0</v>
      </c>
      <c r="H35" s="536"/>
      <c r="I35" s="552"/>
      <c r="J35" s="564"/>
      <c r="K35" s="568"/>
      <c r="L35" s="562"/>
    </row>
    <row r="36" spans="1:12" ht="18">
      <c r="A36" s="531"/>
      <c r="B36" s="532"/>
      <c r="C36" s="532"/>
      <c r="D36" s="533">
        <v>0</v>
      </c>
      <c r="E36" s="534"/>
      <c r="F36" s="532">
        <v>0</v>
      </c>
      <c r="G36" s="535">
        <v>0</v>
      </c>
      <c r="H36" s="536"/>
      <c r="I36" s="552"/>
      <c r="J36" s="733" t="s">
        <v>167</v>
      </c>
      <c r="K36" s="733"/>
      <c r="L36" s="569">
        <v>13713000</v>
      </c>
    </row>
    <row r="37" spans="1:12">
      <c r="A37" s="531"/>
      <c r="B37" s="532"/>
      <c r="C37" s="532"/>
      <c r="D37" s="533">
        <v>0</v>
      </c>
      <c r="E37" s="534"/>
      <c r="F37" s="532">
        <v>0</v>
      </c>
      <c r="G37" s="535">
        <v>0</v>
      </c>
      <c r="H37" s="536"/>
      <c r="I37" s="520"/>
      <c r="J37" s="552"/>
      <c r="K37" s="552"/>
      <c r="L37" s="520"/>
    </row>
    <row r="38" spans="1:12">
      <c r="A38" s="531"/>
      <c r="B38" s="570"/>
      <c r="C38" s="570"/>
      <c r="D38" s="571">
        <v>229570000</v>
      </c>
      <c r="E38" s="572">
        <v>73485000</v>
      </c>
      <c r="F38" s="573">
        <v>152515000</v>
      </c>
      <c r="G38" s="574">
        <v>40325000</v>
      </c>
      <c r="H38" s="552"/>
      <c r="I38" s="520"/>
      <c r="J38" s="520"/>
      <c r="K38" s="520"/>
      <c r="L38" s="520"/>
    </row>
    <row r="39" spans="1:12">
      <c r="A39" s="520"/>
      <c r="B39" s="520"/>
      <c r="C39" s="520"/>
      <c r="D39" s="575"/>
      <c r="E39" s="520"/>
      <c r="F39" s="520"/>
      <c r="G39" s="520"/>
      <c r="H39" s="552"/>
      <c r="I39" s="520"/>
      <c r="J39" s="520"/>
      <c r="K39" s="520"/>
      <c r="L39" s="520"/>
    </row>
    <row r="40" spans="1:12">
      <c r="A40" s="520"/>
      <c r="B40" s="520"/>
      <c r="C40" s="520"/>
      <c r="D40" s="520"/>
      <c r="E40" s="520"/>
      <c r="F40" s="520"/>
      <c r="G40" s="520"/>
      <c r="H40" s="552"/>
      <c r="I40" s="520"/>
      <c r="J40" s="520"/>
      <c r="K40" s="520"/>
      <c r="L40" s="575"/>
    </row>
  </sheetData>
  <mergeCells count="8">
    <mergeCell ref="G3:G4"/>
    <mergeCell ref="J36:K36"/>
    <mergeCell ref="A1:E2"/>
    <mergeCell ref="A3:A4"/>
    <mergeCell ref="B3:C3"/>
    <mergeCell ref="D3:D4"/>
    <mergeCell ref="E3:E4"/>
    <mergeCell ref="F3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L45"/>
  <sheetViews>
    <sheetView topLeftCell="B22" workbookViewId="0">
      <selection activeCell="J30" sqref="J30"/>
    </sheetView>
  </sheetViews>
  <sheetFormatPr defaultRowHeight="15"/>
  <cols>
    <col min="2" max="2" width="15.85546875" customWidth="1"/>
    <col min="3" max="3" width="15.7109375" customWidth="1"/>
    <col min="4" max="5" width="15.140625" customWidth="1"/>
    <col min="6" max="6" width="14.85546875" customWidth="1"/>
    <col min="7" max="7" width="16.42578125" customWidth="1"/>
    <col min="9" max="9" width="9" customWidth="1"/>
    <col min="10" max="10" width="49.7109375" customWidth="1"/>
    <col min="11" max="11" width="19.5703125" customWidth="1"/>
  </cols>
  <sheetData>
    <row r="2" spans="1:11" ht="21">
      <c r="A2" s="586" t="s">
        <v>169</v>
      </c>
      <c r="B2" s="586"/>
      <c r="C2" s="585"/>
    </row>
    <row r="4" spans="1:11" ht="15.75">
      <c r="A4" s="662" t="s">
        <v>1</v>
      </c>
      <c r="B4" s="664" t="s">
        <v>2</v>
      </c>
      <c r="C4" s="665"/>
      <c r="D4" s="666" t="s">
        <v>3</v>
      </c>
      <c r="E4" s="656" t="s">
        <v>4</v>
      </c>
      <c r="F4" s="666" t="s">
        <v>5</v>
      </c>
      <c r="G4" s="656" t="s">
        <v>6</v>
      </c>
      <c r="H4" s="2"/>
      <c r="I4" s="3" t="s">
        <v>7</v>
      </c>
      <c r="J4" s="4"/>
      <c r="K4" s="5"/>
    </row>
    <row r="5" spans="1:11" ht="15.75">
      <c r="A5" s="663"/>
      <c r="B5" s="6" t="s">
        <v>8</v>
      </c>
      <c r="C5" s="584" t="s">
        <v>9</v>
      </c>
      <c r="D5" s="667"/>
      <c r="E5" s="657"/>
      <c r="F5" s="667"/>
      <c r="G5" s="657"/>
      <c r="H5" s="2"/>
      <c r="I5" s="610" t="s">
        <v>1</v>
      </c>
      <c r="J5" s="611" t="s">
        <v>10</v>
      </c>
      <c r="K5" s="612" t="s">
        <v>11</v>
      </c>
    </row>
    <row r="6" spans="1:11">
      <c r="A6" s="11">
        <v>44805</v>
      </c>
      <c r="B6" s="12"/>
      <c r="C6" s="12">
        <v>5400000</v>
      </c>
      <c r="D6" s="13">
        <v>5400000</v>
      </c>
      <c r="E6" s="14">
        <v>3605000</v>
      </c>
      <c r="F6" s="12">
        <f>D6-E6</f>
        <v>1795000</v>
      </c>
      <c r="G6" s="15">
        <f>C6-E6</f>
        <v>1795000</v>
      </c>
      <c r="H6" s="5"/>
      <c r="I6" s="11">
        <v>44805</v>
      </c>
      <c r="J6" s="16" t="s">
        <v>172</v>
      </c>
      <c r="K6" s="50">
        <v>2500000</v>
      </c>
    </row>
    <row r="7" spans="1:11">
      <c r="A7" s="66">
        <v>44806</v>
      </c>
      <c r="B7" s="67">
        <v>980000</v>
      </c>
      <c r="C7" s="67">
        <v>7850000</v>
      </c>
      <c r="D7" s="13">
        <f>B7+C7</f>
        <v>8830000</v>
      </c>
      <c r="E7" s="14">
        <v>3870000</v>
      </c>
      <c r="F7" s="67">
        <f>D7</f>
        <v>8830000</v>
      </c>
      <c r="G7" s="15">
        <f>C7-E7</f>
        <v>3980000</v>
      </c>
      <c r="H7" s="5"/>
      <c r="I7" s="17">
        <v>44807</v>
      </c>
      <c r="J7" s="589" t="s">
        <v>20</v>
      </c>
      <c r="K7" s="51">
        <v>5000000</v>
      </c>
    </row>
    <row r="8" spans="1:11" ht="15.75" customHeight="1">
      <c r="A8" s="66">
        <v>44807</v>
      </c>
      <c r="B8" s="67"/>
      <c r="C8" s="67">
        <v>2300000</v>
      </c>
      <c r="D8" s="13">
        <v>2300000</v>
      </c>
      <c r="E8" s="14">
        <v>1690000</v>
      </c>
      <c r="F8" s="67">
        <f>D8-E8</f>
        <v>610000</v>
      </c>
      <c r="G8" s="15">
        <f>C8-E8</f>
        <v>610000</v>
      </c>
      <c r="H8" s="20"/>
      <c r="I8" s="17">
        <v>44809</v>
      </c>
      <c r="J8" s="591" t="s">
        <v>179</v>
      </c>
      <c r="K8" s="51">
        <v>1000000</v>
      </c>
    </row>
    <row r="9" spans="1:11">
      <c r="A9" s="46">
        <v>44808</v>
      </c>
      <c r="B9" s="47"/>
      <c r="C9" s="47"/>
      <c r="D9" s="47"/>
      <c r="E9" s="47"/>
      <c r="F9" s="47"/>
      <c r="G9" s="47"/>
      <c r="H9" s="5"/>
      <c r="I9" s="21">
        <v>44811</v>
      </c>
      <c r="J9" s="16" t="s">
        <v>20</v>
      </c>
      <c r="K9" s="52">
        <v>10000000</v>
      </c>
    </row>
    <row r="10" spans="1:11">
      <c r="A10" s="11">
        <v>44809</v>
      </c>
      <c r="B10" s="12">
        <v>450000</v>
      </c>
      <c r="C10" s="12">
        <v>7545000</v>
      </c>
      <c r="D10" s="13">
        <f>B10+C10</f>
        <v>7995000</v>
      </c>
      <c r="E10" s="14">
        <v>2185000</v>
      </c>
      <c r="F10" s="12">
        <f>D10-E10</f>
        <v>5810000</v>
      </c>
      <c r="G10" s="15">
        <f t="shared" ref="G10:G15" si="0">C10-E10</f>
        <v>5360000</v>
      </c>
      <c r="H10" s="22"/>
      <c r="I10" s="21">
        <v>44814</v>
      </c>
      <c r="J10" s="23" t="s">
        <v>180</v>
      </c>
      <c r="K10" s="49">
        <v>250000</v>
      </c>
    </row>
    <row r="11" spans="1:11">
      <c r="A11" s="11">
        <v>44810</v>
      </c>
      <c r="B11" s="12"/>
      <c r="C11" s="12">
        <v>1100000</v>
      </c>
      <c r="D11" s="13">
        <v>1100000</v>
      </c>
      <c r="E11" s="14">
        <v>1820000</v>
      </c>
      <c r="F11" s="12"/>
      <c r="G11" s="15">
        <f t="shared" si="0"/>
        <v>-720000</v>
      </c>
      <c r="H11" s="22"/>
      <c r="I11" s="11">
        <v>44815</v>
      </c>
      <c r="J11" s="588" t="s">
        <v>181</v>
      </c>
      <c r="K11" s="50">
        <v>4500000</v>
      </c>
    </row>
    <row r="12" spans="1:11">
      <c r="A12" s="66">
        <v>44811</v>
      </c>
      <c r="B12" s="67">
        <v>5350000</v>
      </c>
      <c r="C12" s="67">
        <v>4500000</v>
      </c>
      <c r="D12" s="13">
        <f>B12+C12</f>
        <v>9850000</v>
      </c>
      <c r="E12" s="14">
        <v>3230000</v>
      </c>
      <c r="F12" s="67">
        <f>D12-E12</f>
        <v>6620000</v>
      </c>
      <c r="G12" s="587">
        <f t="shared" si="0"/>
        <v>1270000</v>
      </c>
      <c r="H12" s="5"/>
      <c r="I12" s="11">
        <v>44815</v>
      </c>
      <c r="J12" s="24" t="s">
        <v>20</v>
      </c>
      <c r="K12" s="53">
        <v>15000000</v>
      </c>
    </row>
    <row r="13" spans="1:11">
      <c r="A13" s="11">
        <v>44812</v>
      </c>
      <c r="B13" s="12">
        <v>350000</v>
      </c>
      <c r="C13" s="12">
        <v>295000</v>
      </c>
      <c r="D13" s="13">
        <f>B13+C13</f>
        <v>645000</v>
      </c>
      <c r="E13" s="14">
        <v>2405000</v>
      </c>
      <c r="F13" s="12">
        <f>D13-E13</f>
        <v>-1760000</v>
      </c>
      <c r="G13" s="15">
        <f t="shared" si="0"/>
        <v>-2110000</v>
      </c>
      <c r="H13" s="5"/>
      <c r="I13" s="11">
        <v>44817</v>
      </c>
      <c r="J13" s="23" t="s">
        <v>20</v>
      </c>
      <c r="K13" s="50">
        <v>10000000</v>
      </c>
    </row>
    <row r="14" spans="1:11">
      <c r="A14" s="11">
        <v>44813</v>
      </c>
      <c r="B14" s="12">
        <v>3750000</v>
      </c>
      <c r="C14" s="12">
        <v>9800000</v>
      </c>
      <c r="D14" s="13">
        <f>B14+C14</f>
        <v>13550000</v>
      </c>
      <c r="E14" s="14">
        <v>2760000</v>
      </c>
      <c r="F14" s="12">
        <f>D14-E14</f>
        <v>10790000</v>
      </c>
      <c r="G14" s="15">
        <f t="shared" si="0"/>
        <v>7040000</v>
      </c>
      <c r="H14" s="5"/>
      <c r="I14" s="11">
        <v>44817</v>
      </c>
      <c r="J14" s="23" t="s">
        <v>184</v>
      </c>
      <c r="K14" s="50">
        <v>1925000</v>
      </c>
    </row>
    <row r="15" spans="1:11">
      <c r="A15" s="11">
        <v>44814</v>
      </c>
      <c r="B15" s="12">
        <v>1900000</v>
      </c>
      <c r="C15" s="12">
        <v>8900000</v>
      </c>
      <c r="D15" s="13">
        <f>B15+C15</f>
        <v>10800000</v>
      </c>
      <c r="E15" s="14">
        <v>915000</v>
      </c>
      <c r="F15" s="12">
        <f>D15-E15</f>
        <v>9885000</v>
      </c>
      <c r="G15" s="15">
        <f t="shared" si="0"/>
        <v>7985000</v>
      </c>
      <c r="H15" s="22"/>
      <c r="I15" s="25">
        <v>44817</v>
      </c>
      <c r="J15" s="27" t="s">
        <v>120</v>
      </c>
      <c r="K15" s="53">
        <v>1000000</v>
      </c>
    </row>
    <row r="16" spans="1:11">
      <c r="A16" s="46">
        <v>44815</v>
      </c>
      <c r="B16" s="68"/>
      <c r="C16" s="68"/>
      <c r="D16" s="47"/>
      <c r="E16" s="47"/>
      <c r="F16" s="47"/>
      <c r="G16" s="47"/>
      <c r="H16" s="26"/>
      <c r="I16" s="25">
        <v>44817</v>
      </c>
      <c r="J16" s="593" t="s">
        <v>20</v>
      </c>
      <c r="K16" s="53">
        <v>5000000</v>
      </c>
    </row>
    <row r="17" spans="1:12">
      <c r="A17" s="11">
        <v>44816</v>
      </c>
      <c r="B17" s="54">
        <v>8400000</v>
      </c>
      <c r="C17" s="54">
        <v>3250000</v>
      </c>
      <c r="D17" s="13">
        <f t="shared" ref="D17:D22" si="1">B17+C17</f>
        <v>11650000</v>
      </c>
      <c r="E17" s="14">
        <v>935000</v>
      </c>
      <c r="F17" s="12">
        <f t="shared" ref="F17:F22" si="2">D17-E17</f>
        <v>10715000</v>
      </c>
      <c r="G17" s="15">
        <f t="shared" ref="G17:G22" si="3">C17-E17</f>
        <v>2315000</v>
      </c>
      <c r="H17" s="26"/>
      <c r="I17" s="25">
        <v>44823</v>
      </c>
      <c r="J17" s="48" t="s">
        <v>20</v>
      </c>
      <c r="K17" s="55">
        <v>20000000</v>
      </c>
    </row>
    <row r="18" spans="1:12">
      <c r="A18" s="11">
        <v>44817</v>
      </c>
      <c r="B18" s="54">
        <v>3540000</v>
      </c>
      <c r="C18" s="54">
        <v>2375000</v>
      </c>
      <c r="D18" s="13">
        <f t="shared" si="1"/>
        <v>5915000</v>
      </c>
      <c r="E18" s="14">
        <v>1115000</v>
      </c>
      <c r="F18" s="12">
        <f t="shared" si="2"/>
        <v>4800000</v>
      </c>
      <c r="G18" s="15">
        <f t="shared" si="3"/>
        <v>1260000</v>
      </c>
      <c r="H18" s="1"/>
      <c r="I18" s="25">
        <v>44823</v>
      </c>
      <c r="J18" s="27" t="s">
        <v>41</v>
      </c>
      <c r="K18" s="53">
        <v>1500000</v>
      </c>
    </row>
    <row r="19" spans="1:12">
      <c r="A19" s="66">
        <v>44818</v>
      </c>
      <c r="B19" s="590">
        <v>5070000</v>
      </c>
      <c r="C19" s="590">
        <v>555000</v>
      </c>
      <c r="D19" s="13">
        <f t="shared" si="1"/>
        <v>5625000</v>
      </c>
      <c r="E19" s="14">
        <v>900000</v>
      </c>
      <c r="F19" s="67">
        <f t="shared" si="2"/>
        <v>4725000</v>
      </c>
      <c r="G19" s="587">
        <f t="shared" si="3"/>
        <v>-345000</v>
      </c>
      <c r="H19" s="1"/>
      <c r="I19" s="28">
        <v>44824</v>
      </c>
      <c r="J19" s="23" t="s">
        <v>186</v>
      </c>
      <c r="K19" s="50">
        <v>1500000</v>
      </c>
    </row>
    <row r="20" spans="1:12">
      <c r="A20" s="11">
        <v>44819</v>
      </c>
      <c r="B20" s="56">
        <v>5300000</v>
      </c>
      <c r="C20" s="57">
        <v>4030000</v>
      </c>
      <c r="D20" s="13">
        <f t="shared" si="1"/>
        <v>9330000</v>
      </c>
      <c r="E20" s="58">
        <v>1780000</v>
      </c>
      <c r="F20" s="12">
        <f t="shared" si="2"/>
        <v>7550000</v>
      </c>
      <c r="G20" s="15">
        <f t="shared" si="3"/>
        <v>2250000</v>
      </c>
      <c r="H20" s="29"/>
      <c r="I20" s="25">
        <v>44825</v>
      </c>
      <c r="J20" s="27" t="s">
        <v>187</v>
      </c>
      <c r="K20" s="19">
        <v>5500000</v>
      </c>
    </row>
    <row r="21" spans="1:12">
      <c r="A21" s="11">
        <v>44820</v>
      </c>
      <c r="B21" s="54">
        <v>4100000</v>
      </c>
      <c r="C21" s="54">
        <v>7620000</v>
      </c>
      <c r="D21" s="13">
        <f t="shared" si="1"/>
        <v>11720000</v>
      </c>
      <c r="E21" s="14">
        <v>2350000</v>
      </c>
      <c r="F21" s="12">
        <f t="shared" si="2"/>
        <v>9370000</v>
      </c>
      <c r="G21" s="15">
        <f t="shared" si="3"/>
        <v>5270000</v>
      </c>
      <c r="H21" s="1"/>
      <c r="I21" s="25">
        <v>44825</v>
      </c>
      <c r="J21" s="27" t="s">
        <v>188</v>
      </c>
      <c r="K21" s="19">
        <v>750000</v>
      </c>
    </row>
    <row r="22" spans="1:12">
      <c r="A22" s="66">
        <v>44821</v>
      </c>
      <c r="B22" s="590">
        <v>6100000</v>
      </c>
      <c r="C22" s="590">
        <v>13320000</v>
      </c>
      <c r="D22" s="13">
        <f t="shared" si="1"/>
        <v>19420000</v>
      </c>
      <c r="E22" s="14">
        <v>3690000</v>
      </c>
      <c r="F22" s="67">
        <f t="shared" si="2"/>
        <v>15730000</v>
      </c>
      <c r="G22" s="587">
        <f t="shared" si="3"/>
        <v>9630000</v>
      </c>
      <c r="H22" s="1"/>
      <c r="I22" s="25">
        <v>44826</v>
      </c>
      <c r="J22" s="27" t="s">
        <v>189</v>
      </c>
      <c r="K22" s="19"/>
    </row>
    <row r="23" spans="1:12">
      <c r="A23" s="600">
        <v>44822</v>
      </c>
      <c r="B23" s="601"/>
      <c r="C23" s="601"/>
      <c r="D23" s="47"/>
      <c r="E23" s="602"/>
      <c r="F23" s="47"/>
      <c r="G23" s="47"/>
      <c r="H23" s="29"/>
      <c r="I23" s="25">
        <v>44827</v>
      </c>
      <c r="J23" s="27" t="s">
        <v>20</v>
      </c>
      <c r="K23" s="19">
        <v>10000000</v>
      </c>
    </row>
    <row r="24" spans="1:12">
      <c r="A24" s="11">
        <v>44823</v>
      </c>
      <c r="B24" s="54">
        <v>6884000</v>
      </c>
      <c r="C24" s="54">
        <v>125000</v>
      </c>
      <c r="D24" s="13">
        <f>B24+C24</f>
        <v>7009000</v>
      </c>
      <c r="E24" s="14">
        <v>985000</v>
      </c>
      <c r="F24" s="12">
        <f t="shared" ref="F24:F29" si="4">D24-E24</f>
        <v>6024000</v>
      </c>
      <c r="G24" s="15">
        <f t="shared" ref="G24:G29" si="5">C24-E24</f>
        <v>-860000</v>
      </c>
      <c r="H24" s="1"/>
      <c r="I24" s="25">
        <v>44827</v>
      </c>
      <c r="J24" s="27" t="s">
        <v>190</v>
      </c>
      <c r="K24" s="19">
        <v>1500000</v>
      </c>
    </row>
    <row r="25" spans="1:12">
      <c r="A25" s="11">
        <v>44824</v>
      </c>
      <c r="B25" s="54">
        <v>4550000</v>
      </c>
      <c r="C25" s="54">
        <v>400000</v>
      </c>
      <c r="D25" s="13">
        <f>B25+C25</f>
        <v>4950000</v>
      </c>
      <c r="E25" s="14">
        <v>2235000</v>
      </c>
      <c r="F25" s="12">
        <f t="shared" si="4"/>
        <v>2715000</v>
      </c>
      <c r="G25" s="15">
        <f t="shared" si="5"/>
        <v>-1835000</v>
      </c>
      <c r="H25" s="1"/>
      <c r="I25" s="25">
        <v>44828</v>
      </c>
      <c r="J25" s="27" t="s">
        <v>20</v>
      </c>
      <c r="K25" s="19">
        <v>10000000</v>
      </c>
    </row>
    <row r="26" spans="1:12">
      <c r="A26" s="66">
        <v>44825</v>
      </c>
      <c r="B26" s="590"/>
      <c r="C26" s="590">
        <f>D26</f>
        <v>4650000</v>
      </c>
      <c r="D26" s="13">
        <v>4650000</v>
      </c>
      <c r="E26" s="14">
        <v>2120000</v>
      </c>
      <c r="F26" s="67">
        <f t="shared" si="4"/>
        <v>2530000</v>
      </c>
      <c r="G26" s="587">
        <f t="shared" si="5"/>
        <v>2530000</v>
      </c>
      <c r="H26" s="1"/>
      <c r="I26" s="25">
        <v>44828</v>
      </c>
      <c r="J26" s="27" t="s">
        <v>191</v>
      </c>
      <c r="K26" s="19">
        <v>250000</v>
      </c>
    </row>
    <row r="27" spans="1:12">
      <c r="A27" s="59">
        <v>44826</v>
      </c>
      <c r="B27" s="60">
        <v>1690000</v>
      </c>
      <c r="C27" s="60">
        <v>3300000</v>
      </c>
      <c r="D27" s="61">
        <f>B27+C27</f>
        <v>4990000</v>
      </c>
      <c r="E27" s="62">
        <v>1045000</v>
      </c>
      <c r="F27" s="63">
        <f t="shared" si="4"/>
        <v>3945000</v>
      </c>
      <c r="G27" s="64">
        <f t="shared" si="5"/>
        <v>2255000</v>
      </c>
      <c r="H27" s="1"/>
      <c r="I27" s="25">
        <v>44829</v>
      </c>
      <c r="J27" s="27" t="s">
        <v>20</v>
      </c>
      <c r="K27" s="19">
        <v>5000000</v>
      </c>
    </row>
    <row r="28" spans="1:12">
      <c r="A28" s="11">
        <v>44827</v>
      </c>
      <c r="B28" s="54">
        <v>10350000</v>
      </c>
      <c r="C28" s="54">
        <v>1100000</v>
      </c>
      <c r="D28" s="13">
        <f>B28+C28</f>
        <v>11450000</v>
      </c>
      <c r="E28" s="14">
        <v>1865000</v>
      </c>
      <c r="F28" s="12">
        <f t="shared" si="4"/>
        <v>9585000</v>
      </c>
      <c r="G28" s="15">
        <f t="shared" si="5"/>
        <v>-765000</v>
      </c>
      <c r="H28" s="1"/>
      <c r="I28" s="25">
        <v>44832</v>
      </c>
      <c r="J28" s="27" t="s">
        <v>20</v>
      </c>
      <c r="K28" s="19">
        <v>5000000</v>
      </c>
    </row>
    <row r="29" spans="1:12">
      <c r="A29" s="11">
        <v>44828</v>
      </c>
      <c r="B29" s="54">
        <v>4500000</v>
      </c>
      <c r="C29" s="54">
        <v>2200000</v>
      </c>
      <c r="D29" s="13">
        <f>B29+C29</f>
        <v>6700000</v>
      </c>
      <c r="E29" s="14">
        <v>1110000</v>
      </c>
      <c r="F29" s="12">
        <f t="shared" si="4"/>
        <v>5590000</v>
      </c>
      <c r="G29" s="15">
        <f t="shared" si="5"/>
        <v>1090000</v>
      </c>
      <c r="H29" s="1"/>
      <c r="I29" s="30">
        <v>44833</v>
      </c>
      <c r="J29" s="23" t="s">
        <v>20</v>
      </c>
      <c r="K29" s="603">
        <v>30000000</v>
      </c>
      <c r="L29" s="605"/>
    </row>
    <row r="30" spans="1:12">
      <c r="A30" s="46">
        <v>44829</v>
      </c>
      <c r="B30" s="68"/>
      <c r="C30" s="68"/>
      <c r="D30" s="47"/>
      <c r="E30" s="47"/>
      <c r="F30" s="47"/>
      <c r="G30" s="47"/>
      <c r="H30" s="1"/>
      <c r="I30" s="25">
        <v>44834</v>
      </c>
      <c r="J30" s="27" t="s">
        <v>20</v>
      </c>
      <c r="K30" s="19">
        <v>7000000</v>
      </c>
    </row>
    <row r="31" spans="1:12">
      <c r="A31" s="11">
        <v>44830</v>
      </c>
      <c r="B31" s="54">
        <v>400000</v>
      </c>
      <c r="C31" s="54">
        <v>4700000</v>
      </c>
      <c r="D31" s="13">
        <f>B31+C31</f>
        <v>5100000</v>
      </c>
      <c r="E31" s="14">
        <v>1605000</v>
      </c>
      <c r="F31" s="12">
        <f>D31-E31</f>
        <v>3495000</v>
      </c>
      <c r="G31" s="15">
        <f>C31-E31</f>
        <v>3095000</v>
      </c>
      <c r="H31" s="1"/>
      <c r="I31" s="25">
        <v>44834</v>
      </c>
      <c r="J31" s="27" t="s">
        <v>192</v>
      </c>
      <c r="K31" s="19">
        <v>1338000</v>
      </c>
    </row>
    <row r="32" spans="1:12">
      <c r="A32" s="11">
        <v>44831</v>
      </c>
      <c r="B32" s="54">
        <v>1600000</v>
      </c>
      <c r="C32" s="54">
        <v>4930000</v>
      </c>
      <c r="D32" s="13">
        <f>B32+C32</f>
        <v>6530000</v>
      </c>
      <c r="E32" s="14">
        <v>849000</v>
      </c>
      <c r="F32" s="12">
        <f>D32-E32</f>
        <v>5681000</v>
      </c>
      <c r="G32" s="15">
        <f>C32-E32</f>
        <v>4081000</v>
      </c>
      <c r="H32" s="1"/>
      <c r="I32" s="25">
        <v>44834</v>
      </c>
      <c r="J32" s="27" t="s">
        <v>193</v>
      </c>
      <c r="K32" s="19">
        <v>1700000</v>
      </c>
    </row>
    <row r="33" spans="1:11">
      <c r="A33" s="66">
        <v>44832</v>
      </c>
      <c r="B33" s="590">
        <v>2428000</v>
      </c>
      <c r="C33" s="590">
        <v>20360000</v>
      </c>
      <c r="D33" s="13">
        <f>B33+C33</f>
        <v>22788000</v>
      </c>
      <c r="E33" s="14">
        <v>1939000</v>
      </c>
      <c r="F33" s="67">
        <f>D33-E33</f>
        <v>20849000</v>
      </c>
      <c r="G33" s="587">
        <f>C33-E33</f>
        <v>18421000</v>
      </c>
      <c r="H33" s="1"/>
      <c r="I33" s="25"/>
      <c r="J33" s="27"/>
      <c r="K33" s="609">
        <f>SUM(K6:K32)</f>
        <v>157213000</v>
      </c>
    </row>
    <row r="34" spans="1:11">
      <c r="A34" s="11">
        <v>44833</v>
      </c>
      <c r="B34" s="54">
        <v>4200000</v>
      </c>
      <c r="C34" s="54">
        <v>935000</v>
      </c>
      <c r="D34" s="13">
        <f>B34+C34</f>
        <v>5135000</v>
      </c>
      <c r="E34" s="14">
        <v>1638000</v>
      </c>
      <c r="F34" s="12">
        <f>D34-E34</f>
        <v>3497000</v>
      </c>
      <c r="G34" s="15">
        <f>C34-E34</f>
        <v>-703000</v>
      </c>
      <c r="H34" s="1"/>
      <c r="I34" s="26"/>
      <c r="J34" s="1"/>
      <c r="K34" s="1"/>
    </row>
    <row r="35" spans="1:11">
      <c r="A35" s="11">
        <v>44834</v>
      </c>
      <c r="B35" s="54">
        <v>11025000</v>
      </c>
      <c r="C35" s="54">
        <v>4925000</v>
      </c>
      <c r="D35" s="13">
        <f>B35+C35</f>
        <v>15950000</v>
      </c>
      <c r="E35" s="14">
        <v>1540000</v>
      </c>
      <c r="F35" s="12">
        <f>D35-E35</f>
        <v>14410000</v>
      </c>
      <c r="G35" s="15">
        <f>C35-E35</f>
        <v>3385000</v>
      </c>
      <c r="H35" s="1"/>
      <c r="I35" s="26"/>
      <c r="J35" s="1"/>
      <c r="K35" s="1"/>
    </row>
    <row r="36" spans="1:11" ht="15.75">
      <c r="A36" s="11"/>
      <c r="B36" s="54"/>
      <c r="C36" s="54"/>
      <c r="D36" s="13"/>
      <c r="E36" s="14"/>
      <c r="F36" s="12"/>
      <c r="G36" s="15"/>
      <c r="H36" s="1"/>
      <c r="I36" s="32" t="s">
        <v>27</v>
      </c>
      <c r="J36" s="607" t="s">
        <v>28</v>
      </c>
      <c r="K36" s="592">
        <f>B38+C38</f>
        <v>219382000</v>
      </c>
    </row>
    <row r="37" spans="1:11" ht="15.75">
      <c r="A37" s="65"/>
      <c r="B37" s="54"/>
      <c r="C37" s="54"/>
      <c r="D37" s="13"/>
      <c r="E37" s="14"/>
      <c r="F37" s="12"/>
      <c r="G37" s="15"/>
      <c r="H37" s="1"/>
      <c r="I37" s="35"/>
      <c r="J37" s="608" t="s">
        <v>29</v>
      </c>
      <c r="K37" s="604">
        <v>50181000</v>
      </c>
    </row>
    <row r="38" spans="1:11" ht="15.75">
      <c r="A38" s="11"/>
      <c r="B38" s="41">
        <f t="shared" ref="B38:G38" si="6">SUM(B6:B37)</f>
        <v>92917000</v>
      </c>
      <c r="C38" s="41">
        <f t="shared" si="6"/>
        <v>126465000</v>
      </c>
      <c r="D38" s="42">
        <f t="shared" si="6"/>
        <v>219382000</v>
      </c>
      <c r="E38" s="43">
        <f t="shared" si="6"/>
        <v>50181000</v>
      </c>
      <c r="F38" s="44">
        <f t="shared" si="6"/>
        <v>173791000</v>
      </c>
      <c r="G38" s="45">
        <f t="shared" si="6"/>
        <v>76284000</v>
      </c>
      <c r="H38" s="38"/>
      <c r="I38" s="35"/>
      <c r="J38" s="608" t="s">
        <v>30</v>
      </c>
      <c r="K38" s="604">
        <v>157213000</v>
      </c>
    </row>
    <row r="39" spans="1:11" ht="15.75">
      <c r="A39" s="1"/>
      <c r="B39" s="1"/>
      <c r="C39" s="1"/>
      <c r="D39" s="1"/>
      <c r="E39" s="1"/>
      <c r="F39" s="1"/>
      <c r="G39" s="1"/>
      <c r="H39" s="1"/>
      <c r="I39" s="35"/>
      <c r="J39" s="608" t="s">
        <v>31</v>
      </c>
      <c r="K39" s="37">
        <f>K37+K38</f>
        <v>207394000</v>
      </c>
    </row>
    <row r="40" spans="1:11" ht="15.75">
      <c r="A40" s="1"/>
      <c r="B40" s="1"/>
      <c r="C40" s="1"/>
      <c r="D40" s="1"/>
      <c r="E40" s="1"/>
      <c r="F40" s="1"/>
      <c r="G40" s="1"/>
      <c r="H40" s="1"/>
      <c r="I40" s="35"/>
      <c r="J40" s="39"/>
      <c r="K40" s="34"/>
    </row>
    <row r="41" spans="1:11" ht="18">
      <c r="A41" s="1"/>
      <c r="B41" s="1"/>
      <c r="C41" s="1"/>
      <c r="D41" s="1"/>
      <c r="E41" s="1"/>
      <c r="F41" s="1"/>
      <c r="G41" s="1"/>
      <c r="H41" s="1"/>
      <c r="I41" s="658" t="s">
        <v>168</v>
      </c>
      <c r="J41" s="658"/>
      <c r="K41" s="40">
        <f>K36-K39</f>
        <v>11988000</v>
      </c>
    </row>
    <row r="45" spans="1:11">
      <c r="G45" s="606"/>
    </row>
  </sheetData>
  <mergeCells count="7">
    <mergeCell ref="I41:J41"/>
    <mergeCell ref="A4:A5"/>
    <mergeCell ref="B4:C4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K54"/>
  <sheetViews>
    <sheetView topLeftCell="C25" workbookViewId="0">
      <selection activeCell="J31" sqref="J31"/>
    </sheetView>
  </sheetViews>
  <sheetFormatPr defaultRowHeight="15"/>
  <cols>
    <col min="2" max="2" width="17.28515625" customWidth="1"/>
    <col min="3" max="3" width="17.5703125" customWidth="1"/>
    <col min="4" max="4" width="18" customWidth="1"/>
    <col min="5" max="5" width="17.5703125" customWidth="1"/>
    <col min="6" max="6" width="16.28515625" customWidth="1"/>
    <col min="7" max="7" width="17.42578125" customWidth="1"/>
    <col min="9" max="9" width="10.7109375" customWidth="1"/>
    <col min="10" max="10" width="50.28515625" customWidth="1"/>
    <col min="11" max="11" width="23.140625" customWidth="1"/>
  </cols>
  <sheetData>
    <row r="2" spans="1:11" ht="21">
      <c r="A2" s="586" t="s">
        <v>173</v>
      </c>
      <c r="B2" s="586"/>
      <c r="C2" s="585"/>
    </row>
    <row r="4" spans="1:11" ht="15.75">
      <c r="A4" s="662" t="s">
        <v>1</v>
      </c>
      <c r="B4" s="664" t="s">
        <v>2</v>
      </c>
      <c r="C4" s="665"/>
      <c r="D4" s="666" t="s">
        <v>3</v>
      </c>
      <c r="E4" s="656" t="s">
        <v>4</v>
      </c>
      <c r="F4" s="666" t="s">
        <v>5</v>
      </c>
      <c r="G4" s="656" t="s">
        <v>6</v>
      </c>
      <c r="H4" s="2"/>
      <c r="I4" s="3" t="s">
        <v>7</v>
      </c>
      <c r="J4" s="4"/>
      <c r="K4" s="5"/>
    </row>
    <row r="5" spans="1:11" ht="15.75">
      <c r="A5" s="663"/>
      <c r="B5" s="6" t="s">
        <v>8</v>
      </c>
      <c r="C5" s="584" t="s">
        <v>9</v>
      </c>
      <c r="D5" s="667"/>
      <c r="E5" s="657"/>
      <c r="F5" s="667"/>
      <c r="G5" s="657"/>
      <c r="H5" s="2"/>
      <c r="I5" s="610" t="s">
        <v>1</v>
      </c>
      <c r="J5" s="611" t="s">
        <v>10</v>
      </c>
      <c r="K5" s="612" t="s">
        <v>11</v>
      </c>
    </row>
    <row r="6" spans="1:11">
      <c r="A6" s="11">
        <v>44835</v>
      </c>
      <c r="B6" s="12">
        <v>330000</v>
      </c>
      <c r="C6" s="12">
        <v>5425000</v>
      </c>
      <c r="D6" s="13">
        <f>B6+C6</f>
        <v>5755000</v>
      </c>
      <c r="E6" s="14">
        <v>3895000</v>
      </c>
      <c r="F6" s="12">
        <f>D6-E6</f>
        <v>1860000</v>
      </c>
      <c r="G6" s="15">
        <f>C6-E6</f>
        <v>1530000</v>
      </c>
      <c r="H6" s="5"/>
      <c r="I6" s="11">
        <v>44835</v>
      </c>
      <c r="J6" s="16" t="s">
        <v>115</v>
      </c>
      <c r="K6" s="50">
        <v>1000000</v>
      </c>
    </row>
    <row r="7" spans="1:11">
      <c r="A7" s="46">
        <v>44836</v>
      </c>
      <c r="B7" s="47"/>
      <c r="C7" s="47"/>
      <c r="D7" s="47"/>
      <c r="E7" s="47"/>
      <c r="F7" s="47"/>
      <c r="G7" s="47"/>
      <c r="H7" s="5"/>
      <c r="I7" s="11">
        <v>44836</v>
      </c>
      <c r="J7" s="16" t="s">
        <v>194</v>
      </c>
      <c r="K7" s="50">
        <v>1600000</v>
      </c>
    </row>
    <row r="8" spans="1:11">
      <c r="A8" s="11">
        <v>44837</v>
      </c>
      <c r="B8" s="12">
        <v>32239000</v>
      </c>
      <c r="C8" s="12">
        <v>5800000</v>
      </c>
      <c r="D8" s="13">
        <f t="shared" ref="D8:D13" si="0">B8+C8</f>
        <v>38039000</v>
      </c>
      <c r="E8" s="14">
        <v>4775000</v>
      </c>
      <c r="F8" s="12">
        <v>33415000</v>
      </c>
      <c r="G8" s="15">
        <v>1025000</v>
      </c>
      <c r="H8" s="5"/>
      <c r="I8" s="11">
        <v>44838</v>
      </c>
      <c r="J8" s="16" t="s">
        <v>195</v>
      </c>
      <c r="K8" s="50">
        <v>1000000</v>
      </c>
    </row>
    <row r="9" spans="1:11">
      <c r="A9" s="11">
        <v>44838</v>
      </c>
      <c r="B9" s="12">
        <v>26305000</v>
      </c>
      <c r="C9" s="12">
        <v>7415000</v>
      </c>
      <c r="D9" s="13">
        <f t="shared" si="0"/>
        <v>33720000</v>
      </c>
      <c r="E9" s="14">
        <v>8070000</v>
      </c>
      <c r="F9" s="12">
        <f>D9-E9</f>
        <v>25650000</v>
      </c>
      <c r="G9" s="15">
        <f>C9-E9</f>
        <v>-655000</v>
      </c>
      <c r="H9" s="5"/>
      <c r="I9" s="11">
        <v>44838</v>
      </c>
      <c r="J9" s="16" t="s">
        <v>196</v>
      </c>
      <c r="K9" s="50">
        <v>700000</v>
      </c>
    </row>
    <row r="10" spans="1:11">
      <c r="A10" s="11">
        <v>44839</v>
      </c>
      <c r="B10" s="12">
        <v>2850000</v>
      </c>
      <c r="C10" s="12">
        <v>2075000</v>
      </c>
      <c r="D10" s="13">
        <f t="shared" si="0"/>
        <v>4925000</v>
      </c>
      <c r="E10" s="14">
        <v>1890000</v>
      </c>
      <c r="F10" s="12">
        <f>D10-E10</f>
        <v>3035000</v>
      </c>
      <c r="G10" s="15">
        <f>C10-E10</f>
        <v>185000</v>
      </c>
      <c r="H10" s="5"/>
      <c r="I10" s="11">
        <v>44839</v>
      </c>
      <c r="J10" s="16" t="s">
        <v>197</v>
      </c>
      <c r="K10" s="50">
        <v>4800000</v>
      </c>
    </row>
    <row r="11" spans="1:11">
      <c r="A11" s="11">
        <v>44840</v>
      </c>
      <c r="B11" s="12">
        <v>6750000</v>
      </c>
      <c r="C11" s="12">
        <v>710000</v>
      </c>
      <c r="D11" s="13">
        <f t="shared" si="0"/>
        <v>7460000</v>
      </c>
      <c r="E11" s="14">
        <v>1960000</v>
      </c>
      <c r="F11" s="12">
        <f>D11-E11</f>
        <v>5500000</v>
      </c>
      <c r="G11" s="15">
        <f>C11-E11</f>
        <v>-1250000</v>
      </c>
      <c r="H11" s="5"/>
      <c r="I11" s="11">
        <v>44839</v>
      </c>
      <c r="J11" s="16" t="s">
        <v>198</v>
      </c>
      <c r="K11" s="50">
        <v>1500000</v>
      </c>
    </row>
    <row r="12" spans="1:11">
      <c r="A12" s="66">
        <v>44841</v>
      </c>
      <c r="B12" s="67">
        <v>4920000</v>
      </c>
      <c r="C12" s="67">
        <v>5110000</v>
      </c>
      <c r="D12" s="13">
        <f t="shared" si="0"/>
        <v>10030000</v>
      </c>
      <c r="E12" s="14">
        <v>5305000</v>
      </c>
      <c r="F12" s="67">
        <f>D12-E12</f>
        <v>4725000</v>
      </c>
      <c r="G12" s="15">
        <f>C12-E12</f>
        <v>-195000</v>
      </c>
      <c r="H12" s="5"/>
      <c r="I12" s="17">
        <v>44840</v>
      </c>
      <c r="J12" s="620" t="s">
        <v>199</v>
      </c>
      <c r="K12" s="51">
        <v>900000</v>
      </c>
    </row>
    <row r="13" spans="1:11">
      <c r="A13" s="66">
        <v>44842</v>
      </c>
      <c r="B13" s="67">
        <v>4700000</v>
      </c>
      <c r="C13" s="67">
        <v>1400000</v>
      </c>
      <c r="D13" s="13">
        <f t="shared" si="0"/>
        <v>6100000</v>
      </c>
      <c r="E13" s="14">
        <v>2220000</v>
      </c>
      <c r="F13" s="67">
        <f>D13-E13</f>
        <v>3880000</v>
      </c>
      <c r="G13" s="15">
        <f>C13-E13</f>
        <v>-820000</v>
      </c>
      <c r="H13" s="5"/>
      <c r="I13" s="17">
        <v>44840</v>
      </c>
      <c r="J13" s="620" t="s">
        <v>13</v>
      </c>
      <c r="K13" s="51">
        <v>30000000</v>
      </c>
    </row>
    <row r="14" spans="1:11">
      <c r="A14" s="46">
        <v>44843</v>
      </c>
      <c r="B14" s="47"/>
      <c r="C14" s="47"/>
      <c r="D14" s="47"/>
      <c r="E14" s="47"/>
      <c r="F14" s="47"/>
      <c r="G14" s="47"/>
      <c r="H14" s="20"/>
      <c r="I14" s="17">
        <v>44845</v>
      </c>
      <c r="J14" s="621" t="s">
        <v>200</v>
      </c>
      <c r="K14" s="51">
        <v>4500000</v>
      </c>
    </row>
    <row r="15" spans="1:11">
      <c r="A15" s="11">
        <v>44844</v>
      </c>
      <c r="B15" s="12">
        <v>3400000</v>
      </c>
      <c r="C15" s="12">
        <v>1810000</v>
      </c>
      <c r="D15" s="13">
        <f t="shared" ref="D15:D20" si="1">B15+C15</f>
        <v>5210000</v>
      </c>
      <c r="E15" s="14">
        <v>2280000</v>
      </c>
      <c r="F15" s="12">
        <f t="shared" ref="F15:F20" si="2">D15-E15</f>
        <v>2930000</v>
      </c>
      <c r="G15" s="15">
        <f t="shared" ref="G15:G20" si="3">C15-E15</f>
        <v>-470000</v>
      </c>
      <c r="H15" s="5"/>
      <c r="I15" s="21">
        <v>44845</v>
      </c>
      <c r="J15" s="16" t="s">
        <v>201</v>
      </c>
      <c r="K15" s="52">
        <v>2800000</v>
      </c>
    </row>
    <row r="16" spans="1:11">
      <c r="A16" s="11">
        <v>44845</v>
      </c>
      <c r="B16" s="12">
        <v>750000</v>
      </c>
      <c r="C16" s="12">
        <v>7450000</v>
      </c>
      <c r="D16" s="13">
        <f t="shared" si="1"/>
        <v>8200000</v>
      </c>
      <c r="E16" s="14">
        <v>2210000</v>
      </c>
      <c r="F16" s="12">
        <f t="shared" si="2"/>
        <v>5990000</v>
      </c>
      <c r="G16" s="15">
        <f t="shared" si="3"/>
        <v>5240000</v>
      </c>
      <c r="H16" s="22"/>
      <c r="I16" s="21">
        <v>44845</v>
      </c>
      <c r="J16" s="23" t="s">
        <v>202</v>
      </c>
      <c r="K16" s="49">
        <v>5000000</v>
      </c>
    </row>
    <row r="17" spans="1:11">
      <c r="A17" s="11">
        <v>44846</v>
      </c>
      <c r="B17" s="12">
        <v>17275000</v>
      </c>
      <c r="C17" s="12">
        <v>3550000</v>
      </c>
      <c r="D17" s="13">
        <f t="shared" si="1"/>
        <v>20825000</v>
      </c>
      <c r="E17" s="14">
        <v>2360000</v>
      </c>
      <c r="F17" s="12">
        <f t="shared" si="2"/>
        <v>18465000</v>
      </c>
      <c r="G17" s="15">
        <f t="shared" si="3"/>
        <v>1190000</v>
      </c>
      <c r="H17" s="22"/>
      <c r="I17" s="11">
        <v>44848</v>
      </c>
      <c r="J17" s="48" t="s">
        <v>13</v>
      </c>
      <c r="K17" s="50">
        <v>20000000</v>
      </c>
    </row>
    <row r="18" spans="1:11">
      <c r="A18" s="66">
        <v>44847</v>
      </c>
      <c r="B18" s="67">
        <v>1150000</v>
      </c>
      <c r="C18" s="67">
        <v>3270000</v>
      </c>
      <c r="D18" s="13">
        <f t="shared" si="1"/>
        <v>4420000</v>
      </c>
      <c r="E18" s="14">
        <v>2425000</v>
      </c>
      <c r="F18" s="67">
        <f t="shared" si="2"/>
        <v>1995000</v>
      </c>
      <c r="G18" s="587">
        <f t="shared" si="3"/>
        <v>845000</v>
      </c>
      <c r="H18" s="5"/>
      <c r="I18" s="11">
        <v>44850</v>
      </c>
      <c r="J18" s="24" t="s">
        <v>203</v>
      </c>
      <c r="K18" s="53">
        <v>2800000</v>
      </c>
    </row>
    <row r="19" spans="1:11">
      <c r="A19" s="11">
        <v>44848</v>
      </c>
      <c r="B19" s="12">
        <v>3350000</v>
      </c>
      <c r="C19" s="12">
        <v>100000</v>
      </c>
      <c r="D19" s="13">
        <f t="shared" si="1"/>
        <v>3450000</v>
      </c>
      <c r="E19" s="14">
        <v>975000</v>
      </c>
      <c r="F19" s="12">
        <f t="shared" si="2"/>
        <v>2475000</v>
      </c>
      <c r="G19" s="15">
        <f t="shared" si="3"/>
        <v>-875000</v>
      </c>
      <c r="H19" s="5"/>
      <c r="I19" s="11">
        <v>44850</v>
      </c>
      <c r="J19" s="23" t="s">
        <v>204</v>
      </c>
      <c r="K19" s="50">
        <v>1000000</v>
      </c>
    </row>
    <row r="20" spans="1:11">
      <c r="A20" s="11">
        <v>44849</v>
      </c>
      <c r="B20" s="12">
        <v>3950000</v>
      </c>
      <c r="C20" s="12">
        <v>2320000</v>
      </c>
      <c r="D20" s="13">
        <f t="shared" si="1"/>
        <v>6270000</v>
      </c>
      <c r="E20" s="14">
        <v>895000</v>
      </c>
      <c r="F20" s="12">
        <f t="shared" si="2"/>
        <v>5375000</v>
      </c>
      <c r="G20" s="15">
        <f t="shared" si="3"/>
        <v>1425000</v>
      </c>
      <c r="H20" s="5"/>
      <c r="I20" s="11">
        <v>44851</v>
      </c>
      <c r="J20" s="23" t="s">
        <v>205</v>
      </c>
      <c r="K20" s="50">
        <v>280000</v>
      </c>
    </row>
    <row r="21" spans="1:11">
      <c r="A21" s="46">
        <v>44850</v>
      </c>
      <c r="B21" s="47"/>
      <c r="C21" s="47"/>
      <c r="D21" s="47"/>
      <c r="E21" s="47"/>
      <c r="F21" s="47"/>
      <c r="G21" s="47"/>
      <c r="H21" s="22"/>
      <c r="I21" s="25">
        <v>44852</v>
      </c>
      <c r="J21" s="27" t="s">
        <v>13</v>
      </c>
      <c r="K21" s="53">
        <v>20000000</v>
      </c>
    </row>
    <row r="22" spans="1:11">
      <c r="A22" s="11">
        <v>44851</v>
      </c>
      <c r="B22" s="54">
        <v>1170000</v>
      </c>
      <c r="C22" s="54">
        <v>3300000</v>
      </c>
      <c r="D22" s="13">
        <f>B22+C22</f>
        <v>4470000</v>
      </c>
      <c r="E22" s="14">
        <v>2150000</v>
      </c>
      <c r="F22" s="12">
        <f t="shared" ref="F22:F27" si="4">D22-E22</f>
        <v>2320000</v>
      </c>
      <c r="G22" s="15">
        <f t="shared" ref="G22:G27" si="5">C22-E22</f>
        <v>1150000</v>
      </c>
      <c r="H22" s="26"/>
      <c r="I22" s="25">
        <v>44852</v>
      </c>
      <c r="J22" s="622" t="s">
        <v>206</v>
      </c>
      <c r="K22" s="53">
        <v>3030000</v>
      </c>
    </row>
    <row r="23" spans="1:11">
      <c r="A23" s="11">
        <v>44852</v>
      </c>
      <c r="B23" s="54">
        <v>3650000</v>
      </c>
      <c r="C23" s="54">
        <v>4000000</v>
      </c>
      <c r="D23" s="13">
        <f>B23+C23</f>
        <v>7650000</v>
      </c>
      <c r="E23" s="14">
        <v>2060000</v>
      </c>
      <c r="F23" s="12">
        <f t="shared" si="4"/>
        <v>5590000</v>
      </c>
      <c r="G23" s="15">
        <f t="shared" si="5"/>
        <v>1940000</v>
      </c>
      <c r="H23" s="26"/>
      <c r="I23" s="25">
        <v>44855</v>
      </c>
      <c r="J23" s="48" t="s">
        <v>207</v>
      </c>
      <c r="K23" s="55">
        <v>920000</v>
      </c>
    </row>
    <row r="24" spans="1:11">
      <c r="A24" s="11">
        <v>44853</v>
      </c>
      <c r="B24" s="54">
        <v>8725000</v>
      </c>
      <c r="C24" s="54">
        <v>4450000</v>
      </c>
      <c r="D24" s="13">
        <f>B24+C24</f>
        <v>13175000</v>
      </c>
      <c r="E24" s="14">
        <v>3010000</v>
      </c>
      <c r="F24" s="12">
        <f t="shared" si="4"/>
        <v>10165000</v>
      </c>
      <c r="G24" s="15">
        <f t="shared" si="5"/>
        <v>1440000</v>
      </c>
      <c r="H24" s="1"/>
      <c r="I24" s="25">
        <v>44857</v>
      </c>
      <c r="J24" s="27" t="s">
        <v>46</v>
      </c>
      <c r="K24" s="53">
        <v>5500000</v>
      </c>
    </row>
    <row r="25" spans="1:11">
      <c r="A25" s="66">
        <v>44854</v>
      </c>
      <c r="B25" s="590">
        <v>5600000</v>
      </c>
      <c r="C25" s="590">
        <v>250000</v>
      </c>
      <c r="D25" s="13">
        <f>B25+C25</f>
        <v>5850000</v>
      </c>
      <c r="E25" s="14">
        <v>1900000</v>
      </c>
      <c r="F25" s="67">
        <f t="shared" si="4"/>
        <v>3950000</v>
      </c>
      <c r="G25" s="587">
        <f t="shared" si="5"/>
        <v>-1650000</v>
      </c>
      <c r="H25" s="1"/>
      <c r="I25" s="28">
        <v>44858</v>
      </c>
      <c r="J25" s="23" t="s">
        <v>208</v>
      </c>
      <c r="K25" s="50">
        <v>4600000</v>
      </c>
    </row>
    <row r="26" spans="1:11">
      <c r="A26" s="11">
        <v>44855</v>
      </c>
      <c r="B26" s="56">
        <v>1600000</v>
      </c>
      <c r="C26" s="57">
        <v>10870000</v>
      </c>
      <c r="D26" s="13">
        <f>B26+C26</f>
        <v>12470000</v>
      </c>
      <c r="E26" s="58">
        <v>3040000</v>
      </c>
      <c r="F26" s="12">
        <f t="shared" si="4"/>
        <v>9430000</v>
      </c>
      <c r="G26" s="15">
        <f t="shared" si="5"/>
        <v>7830000</v>
      </c>
      <c r="H26" s="29"/>
      <c r="I26" s="25">
        <v>44858</v>
      </c>
      <c r="J26" s="27" t="s">
        <v>209</v>
      </c>
      <c r="K26" s="19">
        <v>7015000</v>
      </c>
    </row>
    <row r="27" spans="1:11">
      <c r="A27" s="11">
        <v>44856</v>
      </c>
      <c r="B27" s="54"/>
      <c r="C27" s="54">
        <v>1435000</v>
      </c>
      <c r="D27" s="13">
        <v>1435000</v>
      </c>
      <c r="E27" s="14">
        <v>1780000</v>
      </c>
      <c r="F27" s="12">
        <f t="shared" si="4"/>
        <v>-345000</v>
      </c>
      <c r="G27" s="15">
        <f t="shared" si="5"/>
        <v>-345000</v>
      </c>
      <c r="H27" s="1"/>
      <c r="I27" s="25">
        <v>44861</v>
      </c>
      <c r="J27" s="27" t="s">
        <v>210</v>
      </c>
      <c r="K27" s="19">
        <v>1500000</v>
      </c>
    </row>
    <row r="28" spans="1:11">
      <c r="A28" s="46">
        <v>44857</v>
      </c>
      <c r="B28" s="68"/>
      <c r="C28" s="68"/>
      <c r="D28" s="47"/>
      <c r="E28" s="47"/>
      <c r="F28" s="47"/>
      <c r="G28" s="47"/>
      <c r="H28" s="1"/>
      <c r="I28" s="25">
        <v>44862</v>
      </c>
      <c r="J28" s="27" t="s">
        <v>211</v>
      </c>
      <c r="K28" s="19">
        <v>2025000</v>
      </c>
    </row>
    <row r="29" spans="1:11">
      <c r="A29" s="21">
        <v>44858</v>
      </c>
      <c r="B29" s="57">
        <v>11560000</v>
      </c>
      <c r="C29" s="57">
        <v>2500000</v>
      </c>
      <c r="D29" s="13">
        <f t="shared" ref="D29:D34" si="6">B29+C29</f>
        <v>14060000</v>
      </c>
      <c r="E29" s="58">
        <v>1370000</v>
      </c>
      <c r="F29" s="12">
        <f t="shared" ref="F29:F34" si="7">D29-E29</f>
        <v>12690000</v>
      </c>
      <c r="G29" s="15">
        <f t="shared" ref="G29:G34" si="8">C29-E29</f>
        <v>1130000</v>
      </c>
      <c r="H29" s="29"/>
      <c r="I29" s="25">
        <v>44862</v>
      </c>
      <c r="J29" s="27" t="s">
        <v>212</v>
      </c>
      <c r="K29" s="19">
        <v>9250000</v>
      </c>
    </row>
    <row r="30" spans="1:11">
      <c r="A30" s="11">
        <v>44859</v>
      </c>
      <c r="B30" s="54">
        <v>825000</v>
      </c>
      <c r="C30" s="54">
        <v>1850000</v>
      </c>
      <c r="D30" s="13">
        <f t="shared" si="6"/>
        <v>2675000</v>
      </c>
      <c r="E30" s="14">
        <v>1580000</v>
      </c>
      <c r="F30" s="12">
        <f t="shared" si="7"/>
        <v>1095000</v>
      </c>
      <c r="G30" s="15">
        <f t="shared" si="8"/>
        <v>270000</v>
      </c>
      <c r="H30" s="1"/>
      <c r="I30" s="25">
        <v>44862</v>
      </c>
      <c r="J30" s="27" t="s">
        <v>213</v>
      </c>
      <c r="K30" s="19">
        <v>20000000</v>
      </c>
    </row>
    <row r="31" spans="1:11">
      <c r="A31" s="11">
        <v>44860</v>
      </c>
      <c r="B31" s="54">
        <v>9200000</v>
      </c>
      <c r="C31" s="54">
        <v>3000000</v>
      </c>
      <c r="D31" s="13">
        <f t="shared" si="6"/>
        <v>12200000</v>
      </c>
      <c r="E31" s="14">
        <v>1430000</v>
      </c>
      <c r="F31" s="12">
        <f t="shared" si="7"/>
        <v>10770000</v>
      </c>
      <c r="G31" s="15">
        <f t="shared" si="8"/>
        <v>1570000</v>
      </c>
      <c r="H31" s="1"/>
      <c r="I31" s="25">
        <v>44863</v>
      </c>
      <c r="J31" s="27" t="s">
        <v>13</v>
      </c>
      <c r="K31" s="19">
        <v>34000000</v>
      </c>
    </row>
    <row r="32" spans="1:11">
      <c r="A32" s="66">
        <v>44861</v>
      </c>
      <c r="B32" s="590">
        <v>4750000</v>
      </c>
      <c r="C32" s="590">
        <v>22600000</v>
      </c>
      <c r="D32" s="13">
        <f t="shared" si="6"/>
        <v>27350000</v>
      </c>
      <c r="E32" s="14">
        <v>5120000</v>
      </c>
      <c r="F32" s="67">
        <f t="shared" si="7"/>
        <v>22230000</v>
      </c>
      <c r="G32" s="587">
        <f t="shared" si="8"/>
        <v>17480000</v>
      </c>
      <c r="H32" s="1"/>
      <c r="I32" s="25">
        <v>44864</v>
      </c>
      <c r="J32" s="27" t="s">
        <v>214</v>
      </c>
      <c r="K32" s="19">
        <v>4000000</v>
      </c>
    </row>
    <row r="33" spans="1:11">
      <c r="A33" s="59">
        <v>44862</v>
      </c>
      <c r="B33" s="60">
        <v>7775000</v>
      </c>
      <c r="C33" s="60">
        <v>3400000</v>
      </c>
      <c r="D33" s="61">
        <f t="shared" si="6"/>
        <v>11175000</v>
      </c>
      <c r="E33" s="62">
        <v>2020000</v>
      </c>
      <c r="F33" s="63">
        <f t="shared" si="7"/>
        <v>9155000</v>
      </c>
      <c r="G33" s="64">
        <f t="shared" si="8"/>
        <v>1380000</v>
      </c>
      <c r="H33" s="1"/>
      <c r="I33" s="25">
        <v>44865</v>
      </c>
      <c r="J33" s="27" t="s">
        <v>215</v>
      </c>
      <c r="K33" s="19">
        <v>10000000</v>
      </c>
    </row>
    <row r="34" spans="1:11">
      <c r="A34" s="11">
        <v>44863</v>
      </c>
      <c r="B34" s="54">
        <v>3675000</v>
      </c>
      <c r="C34" s="54">
        <v>9100000</v>
      </c>
      <c r="D34" s="13">
        <f t="shared" si="6"/>
        <v>12775000</v>
      </c>
      <c r="E34" s="14">
        <v>2965000</v>
      </c>
      <c r="F34" s="12">
        <f t="shared" si="7"/>
        <v>9810000</v>
      </c>
      <c r="G34" s="15">
        <f t="shared" si="8"/>
        <v>6135000</v>
      </c>
      <c r="H34" s="1"/>
      <c r="I34" s="25"/>
      <c r="J34" s="27"/>
      <c r="K34" s="19"/>
    </row>
    <row r="35" spans="1:11">
      <c r="A35" s="46">
        <v>44864</v>
      </c>
      <c r="B35" s="68"/>
      <c r="C35" s="68"/>
      <c r="D35" s="47"/>
      <c r="E35" s="47"/>
      <c r="F35" s="47"/>
      <c r="G35" s="47"/>
      <c r="H35" s="1"/>
      <c r="I35" s="30"/>
      <c r="J35" s="23"/>
      <c r="K35" s="619">
        <f>SUM(K6:K34)</f>
        <v>199720000</v>
      </c>
    </row>
    <row r="36" spans="1:11">
      <c r="A36" s="11">
        <v>44865</v>
      </c>
      <c r="B36" s="54">
        <v>1075000</v>
      </c>
      <c r="C36" s="54">
        <v>3955000</v>
      </c>
      <c r="D36" s="13">
        <f>B36+C36</f>
        <v>5030000</v>
      </c>
      <c r="E36" s="14">
        <v>2565000</v>
      </c>
      <c r="F36" s="12">
        <f>D36-E36</f>
        <v>2465000</v>
      </c>
      <c r="G36" s="15">
        <f>C36-E36</f>
        <v>1390000</v>
      </c>
      <c r="H36" s="1"/>
      <c r="I36" s="26"/>
      <c r="J36" s="1"/>
      <c r="K36" s="1"/>
    </row>
    <row r="37" spans="1:11">
      <c r="A37" s="11"/>
      <c r="B37" s="54"/>
      <c r="C37" s="54"/>
      <c r="D37" s="13"/>
      <c r="E37" s="14"/>
      <c r="F37" s="12"/>
      <c r="G37" s="15"/>
      <c r="H37" s="1"/>
      <c r="I37" s="26"/>
      <c r="J37" s="1"/>
      <c r="K37" s="1"/>
    </row>
    <row r="38" spans="1:11" ht="15.75">
      <c r="A38" s="11"/>
      <c r="B38" s="54"/>
      <c r="C38" s="54"/>
      <c r="D38" s="13"/>
      <c r="E38" s="14"/>
      <c r="F38" s="12"/>
      <c r="G38" s="15"/>
      <c r="H38" s="1"/>
      <c r="I38" s="32" t="s">
        <v>27</v>
      </c>
      <c r="J38" s="607" t="s">
        <v>28</v>
      </c>
      <c r="K38" s="592">
        <f>B40+C40</f>
        <v>284719000</v>
      </c>
    </row>
    <row r="39" spans="1:11" ht="15.75">
      <c r="A39" s="65"/>
      <c r="B39" s="54"/>
      <c r="C39" s="54"/>
      <c r="D39" s="13"/>
      <c r="E39" s="14"/>
      <c r="F39" s="12"/>
      <c r="G39" s="15"/>
      <c r="H39" s="1"/>
      <c r="I39" s="35"/>
      <c r="J39" s="608" t="s">
        <v>29</v>
      </c>
      <c r="K39" s="618">
        <v>70250000</v>
      </c>
    </row>
    <row r="40" spans="1:11" ht="15.75">
      <c r="A40" s="11"/>
      <c r="B40" s="41">
        <f t="shared" ref="B40:G40" si="9">SUM(B6:B39)</f>
        <v>167574000</v>
      </c>
      <c r="C40" s="41">
        <f t="shared" si="9"/>
        <v>117145000</v>
      </c>
      <c r="D40" s="42">
        <f t="shared" si="9"/>
        <v>284719000</v>
      </c>
      <c r="E40" s="43">
        <f t="shared" si="9"/>
        <v>70250000</v>
      </c>
      <c r="F40" s="44">
        <f t="shared" si="9"/>
        <v>214620000</v>
      </c>
      <c r="G40" s="45">
        <f t="shared" si="9"/>
        <v>46895000</v>
      </c>
      <c r="H40" s="38"/>
      <c r="I40" s="35"/>
      <c r="J40" s="608" t="s">
        <v>30</v>
      </c>
      <c r="K40" s="618">
        <v>199720000</v>
      </c>
    </row>
    <row r="41" spans="1:11" ht="15.75">
      <c r="A41" s="1"/>
      <c r="B41" s="1"/>
      <c r="C41" s="1"/>
      <c r="D41" s="1"/>
      <c r="E41" s="1"/>
      <c r="F41" s="1"/>
      <c r="G41" s="1"/>
      <c r="H41" s="1"/>
      <c r="I41" s="35"/>
      <c r="J41" s="608" t="s">
        <v>31</v>
      </c>
      <c r="K41" s="37">
        <f>K39+K40</f>
        <v>269970000</v>
      </c>
    </row>
    <row r="42" spans="1:11" ht="15.75">
      <c r="A42" s="1"/>
      <c r="B42" s="1"/>
      <c r="C42" s="1"/>
      <c r="D42" s="1"/>
      <c r="E42" s="1"/>
      <c r="F42" s="1"/>
      <c r="G42" s="1"/>
      <c r="H42" s="1"/>
      <c r="I42" s="35"/>
      <c r="J42" s="39"/>
      <c r="K42" s="34"/>
    </row>
    <row r="43" spans="1:11" ht="18">
      <c r="A43" s="1"/>
      <c r="B43" s="1"/>
      <c r="C43" s="1"/>
      <c r="D43" s="1"/>
      <c r="E43" s="1"/>
      <c r="F43" s="1"/>
      <c r="G43" s="1"/>
      <c r="H43" s="1"/>
      <c r="I43" s="658" t="s">
        <v>174</v>
      </c>
      <c r="J43" s="658"/>
      <c r="K43" s="40">
        <f>K38-K41</f>
        <v>14749000</v>
      </c>
    </row>
    <row r="54" spans="3:5" ht="15.75">
      <c r="C54" s="3"/>
      <c r="D54" s="4"/>
      <c r="E54" s="5"/>
    </row>
  </sheetData>
  <mergeCells count="7">
    <mergeCell ref="I43:J43"/>
    <mergeCell ref="A4:A5"/>
    <mergeCell ref="B4:C4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2:K60"/>
  <sheetViews>
    <sheetView topLeftCell="C43" workbookViewId="0">
      <selection activeCell="G62" sqref="G62"/>
    </sheetView>
  </sheetViews>
  <sheetFormatPr defaultRowHeight="15"/>
  <cols>
    <col min="2" max="2" width="16.140625" customWidth="1"/>
    <col min="3" max="3" width="17.5703125" customWidth="1"/>
    <col min="4" max="4" width="15.85546875" customWidth="1"/>
    <col min="5" max="5" width="17" customWidth="1"/>
    <col min="6" max="6" width="17.42578125" customWidth="1"/>
    <col min="7" max="7" width="19" customWidth="1"/>
    <col min="10" max="10" width="49.140625" customWidth="1"/>
    <col min="11" max="11" width="18.140625" customWidth="1"/>
  </cols>
  <sheetData>
    <row r="2" spans="1:11" ht="21">
      <c r="A2" s="586" t="s">
        <v>175</v>
      </c>
      <c r="B2" s="586"/>
      <c r="C2" s="585"/>
    </row>
    <row r="4" spans="1:11" ht="15.75">
      <c r="A4" s="662" t="s">
        <v>1</v>
      </c>
      <c r="B4" s="664" t="s">
        <v>2</v>
      </c>
      <c r="C4" s="665"/>
      <c r="D4" s="666" t="s">
        <v>3</v>
      </c>
      <c r="E4" s="656" t="s">
        <v>4</v>
      </c>
      <c r="F4" s="666" t="s">
        <v>5</v>
      </c>
      <c r="G4" s="656" t="s">
        <v>6</v>
      </c>
      <c r="H4" s="2"/>
      <c r="I4" s="3" t="s">
        <v>7</v>
      </c>
      <c r="J4" s="4"/>
      <c r="K4" s="5"/>
    </row>
    <row r="5" spans="1:11" ht="15.75">
      <c r="A5" s="663"/>
      <c r="B5" s="6" t="s">
        <v>8</v>
      </c>
      <c r="C5" s="584" t="s">
        <v>9</v>
      </c>
      <c r="D5" s="667"/>
      <c r="E5" s="657"/>
      <c r="F5" s="667"/>
      <c r="G5" s="657"/>
      <c r="H5" s="2"/>
      <c r="I5" s="610" t="s">
        <v>1</v>
      </c>
      <c r="J5" s="611" t="s">
        <v>10</v>
      </c>
      <c r="K5" s="612" t="s">
        <v>11</v>
      </c>
    </row>
    <row r="6" spans="1:11">
      <c r="A6" s="11">
        <v>44866</v>
      </c>
      <c r="B6" s="12">
        <v>2400000</v>
      </c>
      <c r="C6" s="12">
        <v>300000</v>
      </c>
      <c r="D6" s="13">
        <f>B6+C6</f>
        <v>2700000</v>
      </c>
      <c r="E6" s="14">
        <v>2465000</v>
      </c>
      <c r="F6" s="12">
        <f>D6-E6</f>
        <v>235000</v>
      </c>
      <c r="G6" s="15">
        <f>C6-E6</f>
        <v>-2165000</v>
      </c>
      <c r="H6" s="5"/>
      <c r="I6" s="11">
        <v>44868</v>
      </c>
      <c r="J6" s="16" t="s">
        <v>13</v>
      </c>
      <c r="K6" s="50">
        <v>5000000</v>
      </c>
    </row>
    <row r="7" spans="1:11">
      <c r="A7" s="66">
        <v>44867</v>
      </c>
      <c r="B7" s="67">
        <v>7000000</v>
      </c>
      <c r="C7" s="67">
        <v>1215000</v>
      </c>
      <c r="D7" s="13">
        <f>B7+C7</f>
        <v>8215000</v>
      </c>
      <c r="E7" s="14">
        <v>1515000</v>
      </c>
      <c r="F7" s="67">
        <f>D7-E7</f>
        <v>6700000</v>
      </c>
      <c r="G7" s="15">
        <f>C7-E7</f>
        <v>-300000</v>
      </c>
      <c r="H7" s="5"/>
      <c r="I7" s="17">
        <v>44873</v>
      </c>
      <c r="J7" s="623" t="s">
        <v>216</v>
      </c>
      <c r="K7" s="51">
        <v>3500000</v>
      </c>
    </row>
    <row r="8" spans="1:11">
      <c r="A8" s="66">
        <v>44868</v>
      </c>
      <c r="B8" s="67">
        <v>5750000</v>
      </c>
      <c r="C8" s="67">
        <v>6100000</v>
      </c>
      <c r="D8" s="13">
        <f>B8+C8</f>
        <v>11850000</v>
      </c>
      <c r="E8" s="14">
        <v>4755000</v>
      </c>
      <c r="F8" s="67">
        <f>D8-E8</f>
        <v>7095000</v>
      </c>
      <c r="G8" s="15">
        <f>C8-E8</f>
        <v>1345000</v>
      </c>
      <c r="H8" s="20"/>
      <c r="I8" s="17">
        <v>44873</v>
      </c>
      <c r="J8" s="623" t="s">
        <v>217</v>
      </c>
      <c r="K8" s="51">
        <v>1000000</v>
      </c>
    </row>
    <row r="9" spans="1:11">
      <c r="A9" s="11">
        <v>44869</v>
      </c>
      <c r="B9" s="12">
        <v>2500000</v>
      </c>
      <c r="C9" s="12">
        <v>10425000</v>
      </c>
      <c r="D9" s="13">
        <f>B9+C9</f>
        <v>12925000</v>
      </c>
      <c r="E9" s="14">
        <v>2555000</v>
      </c>
      <c r="F9" s="12">
        <f>D9-E9</f>
        <v>10370000</v>
      </c>
      <c r="G9" s="15">
        <f>C9-E9</f>
        <v>7870000</v>
      </c>
      <c r="H9" s="5"/>
      <c r="I9" s="21">
        <v>44873</v>
      </c>
      <c r="J9" s="16" t="s">
        <v>218</v>
      </c>
      <c r="K9" s="52">
        <v>600000</v>
      </c>
    </row>
    <row r="10" spans="1:11">
      <c r="A10" s="11">
        <v>44870</v>
      </c>
      <c r="B10" s="12">
        <v>500000</v>
      </c>
      <c r="C10" s="12">
        <v>6800000</v>
      </c>
      <c r="D10" s="13">
        <f>B10+C10</f>
        <v>7300000</v>
      </c>
      <c r="E10" s="14">
        <v>1745000</v>
      </c>
      <c r="F10" s="12">
        <f>D10-E10</f>
        <v>5555000</v>
      </c>
      <c r="G10" s="15">
        <f>C10-E10</f>
        <v>5055000</v>
      </c>
      <c r="H10" s="22"/>
      <c r="I10" s="21">
        <v>44874</v>
      </c>
      <c r="J10" s="23" t="s">
        <v>219</v>
      </c>
      <c r="K10" s="49">
        <v>9250000</v>
      </c>
    </row>
    <row r="11" spans="1:11">
      <c r="A11" s="46">
        <v>44871</v>
      </c>
      <c r="B11" s="47"/>
      <c r="C11" s="47"/>
      <c r="D11" s="47"/>
      <c r="E11" s="47"/>
      <c r="F11" s="47"/>
      <c r="G11" s="47"/>
      <c r="H11" s="22"/>
      <c r="I11" s="11">
        <v>44874</v>
      </c>
      <c r="J11" s="48" t="s">
        <v>220</v>
      </c>
      <c r="K11" s="50">
        <v>1000000</v>
      </c>
    </row>
    <row r="12" spans="1:11">
      <c r="A12" s="66">
        <v>44872</v>
      </c>
      <c r="B12" s="67">
        <v>6475000</v>
      </c>
      <c r="C12" s="67">
        <v>180000</v>
      </c>
      <c r="D12" s="13">
        <f t="shared" ref="D12:D17" si="0">B12+C12</f>
        <v>6655000</v>
      </c>
      <c r="E12" s="14">
        <v>1015000</v>
      </c>
      <c r="F12" s="67">
        <f>D12-E12</f>
        <v>5640000</v>
      </c>
      <c r="G12" s="587">
        <f t="shared" ref="G12:G17" si="1">C12-E12</f>
        <v>-835000</v>
      </c>
      <c r="H12" s="5"/>
      <c r="I12" s="11">
        <v>44875</v>
      </c>
      <c r="J12" s="24" t="s">
        <v>221</v>
      </c>
      <c r="K12" s="53">
        <v>2550000</v>
      </c>
    </row>
    <row r="13" spans="1:11">
      <c r="A13" s="11">
        <v>44873</v>
      </c>
      <c r="B13" s="12">
        <v>5500000</v>
      </c>
      <c r="C13" s="12">
        <v>600000</v>
      </c>
      <c r="D13" s="13">
        <f t="shared" si="0"/>
        <v>6100000</v>
      </c>
      <c r="E13" s="14">
        <v>2030000</v>
      </c>
      <c r="F13" s="12">
        <f>-D13-E13</f>
        <v>-8130000</v>
      </c>
      <c r="G13" s="15">
        <f t="shared" si="1"/>
        <v>-1430000</v>
      </c>
      <c r="H13" s="5"/>
      <c r="I13" s="11">
        <v>44875</v>
      </c>
      <c r="J13" s="23" t="s">
        <v>222</v>
      </c>
      <c r="K13" s="50">
        <v>1000000</v>
      </c>
    </row>
    <row r="14" spans="1:11">
      <c r="A14" s="11">
        <v>44874</v>
      </c>
      <c r="B14" s="12">
        <v>3900000</v>
      </c>
      <c r="C14" s="12">
        <v>2920000</v>
      </c>
      <c r="D14" s="13">
        <f t="shared" si="0"/>
        <v>6820000</v>
      </c>
      <c r="E14" s="14">
        <v>3120000</v>
      </c>
      <c r="F14" s="12">
        <f>D14-E14</f>
        <v>3700000</v>
      </c>
      <c r="G14" s="15">
        <f t="shared" si="1"/>
        <v>-200000</v>
      </c>
      <c r="H14" s="5"/>
      <c r="I14" s="11">
        <v>44876</v>
      </c>
      <c r="J14" s="23" t="s">
        <v>223</v>
      </c>
      <c r="K14" s="50">
        <v>7850000</v>
      </c>
    </row>
    <row r="15" spans="1:11">
      <c r="A15" s="11">
        <v>44875</v>
      </c>
      <c r="B15" s="12">
        <v>7850000</v>
      </c>
      <c r="C15" s="12">
        <v>3550000</v>
      </c>
      <c r="D15" s="13">
        <f t="shared" si="0"/>
        <v>11400000</v>
      </c>
      <c r="E15" s="14">
        <v>1355000</v>
      </c>
      <c r="F15" s="12">
        <f>D15-E15</f>
        <v>10045000</v>
      </c>
      <c r="G15" s="15">
        <f t="shared" si="1"/>
        <v>2195000</v>
      </c>
      <c r="H15" s="22"/>
      <c r="I15" s="25">
        <v>44876</v>
      </c>
      <c r="J15" s="27" t="s">
        <v>224</v>
      </c>
      <c r="K15" s="53">
        <v>160000</v>
      </c>
    </row>
    <row r="16" spans="1:11">
      <c r="A16" s="11">
        <v>44876</v>
      </c>
      <c r="B16" s="54">
        <v>3000000</v>
      </c>
      <c r="C16" s="54">
        <v>9700000</v>
      </c>
      <c r="D16" s="13">
        <f t="shared" si="0"/>
        <v>12700000</v>
      </c>
      <c r="E16" s="14">
        <v>1920000</v>
      </c>
      <c r="F16" s="12">
        <f>D16-E16</f>
        <v>10780000</v>
      </c>
      <c r="G16" s="15">
        <f t="shared" si="1"/>
        <v>7780000</v>
      </c>
      <c r="H16" s="26"/>
      <c r="I16" s="25">
        <v>44877</v>
      </c>
      <c r="J16" s="624" t="s">
        <v>225</v>
      </c>
      <c r="K16" s="53">
        <v>4500000</v>
      </c>
    </row>
    <row r="17" spans="1:11">
      <c r="A17" s="11">
        <v>44877</v>
      </c>
      <c r="B17" s="54">
        <v>5170000</v>
      </c>
      <c r="C17" s="54">
        <v>8850000</v>
      </c>
      <c r="D17" s="13">
        <f t="shared" si="0"/>
        <v>14020000</v>
      </c>
      <c r="E17" s="14">
        <v>2735000</v>
      </c>
      <c r="F17" s="12">
        <f>D17-E17</f>
        <v>11285000</v>
      </c>
      <c r="G17" s="15">
        <f t="shared" si="1"/>
        <v>6115000</v>
      </c>
      <c r="H17" s="26"/>
      <c r="I17" s="25">
        <v>44878</v>
      </c>
      <c r="J17" s="48" t="s">
        <v>226</v>
      </c>
      <c r="K17" s="55">
        <v>600000</v>
      </c>
    </row>
    <row r="18" spans="1:11">
      <c r="A18" s="46">
        <v>44878</v>
      </c>
      <c r="B18" s="68"/>
      <c r="C18" s="68"/>
      <c r="D18" s="47"/>
      <c r="E18" s="47"/>
      <c r="F18" s="47"/>
      <c r="G18" s="47"/>
      <c r="H18" s="1"/>
      <c r="I18" s="25">
        <v>44879</v>
      </c>
      <c r="J18" s="27" t="s">
        <v>227</v>
      </c>
      <c r="K18" s="53">
        <v>3750000</v>
      </c>
    </row>
    <row r="19" spans="1:11">
      <c r="A19" s="66">
        <v>44879</v>
      </c>
      <c r="B19" s="590">
        <v>5550000</v>
      </c>
      <c r="C19" s="590">
        <v>1900000</v>
      </c>
      <c r="D19" s="13">
        <f t="shared" ref="D19:D24" si="2">B19+C19</f>
        <v>7450000</v>
      </c>
      <c r="E19" s="14">
        <v>3975000</v>
      </c>
      <c r="F19" s="67">
        <f t="shared" ref="F19:F24" si="3">D19-E19</f>
        <v>3475000</v>
      </c>
      <c r="G19" s="587">
        <f t="shared" ref="G19:G24" si="4">C19-E19</f>
        <v>-2075000</v>
      </c>
      <c r="H19" s="1"/>
      <c r="I19" s="28">
        <v>44879</v>
      </c>
      <c r="J19" s="23" t="s">
        <v>228</v>
      </c>
      <c r="K19" s="50">
        <v>2700000</v>
      </c>
    </row>
    <row r="20" spans="1:11">
      <c r="A20" s="11">
        <v>44880</v>
      </c>
      <c r="B20" s="56">
        <v>5700000</v>
      </c>
      <c r="C20" s="57">
        <v>10400000</v>
      </c>
      <c r="D20" s="13">
        <f t="shared" si="2"/>
        <v>16100000</v>
      </c>
      <c r="E20" s="58">
        <v>2460000</v>
      </c>
      <c r="F20" s="12">
        <f t="shared" si="3"/>
        <v>13640000</v>
      </c>
      <c r="G20" s="15">
        <f t="shared" si="4"/>
        <v>7940000</v>
      </c>
      <c r="H20" s="29"/>
      <c r="I20" s="25">
        <v>44880</v>
      </c>
      <c r="J20" s="27" t="s">
        <v>229</v>
      </c>
      <c r="K20" s="19">
        <v>910000</v>
      </c>
    </row>
    <row r="21" spans="1:11">
      <c r="A21" s="11">
        <v>44881</v>
      </c>
      <c r="B21" s="54">
        <v>6650000</v>
      </c>
      <c r="C21" s="54">
        <v>11100000</v>
      </c>
      <c r="D21" s="13">
        <f t="shared" si="2"/>
        <v>17750000</v>
      </c>
      <c r="E21" s="14">
        <v>7125000</v>
      </c>
      <c r="F21" s="12">
        <f t="shared" si="3"/>
        <v>10625000</v>
      </c>
      <c r="G21" s="15">
        <f t="shared" si="4"/>
        <v>3975000</v>
      </c>
      <c r="H21" s="1"/>
      <c r="I21" s="25">
        <v>44880</v>
      </c>
      <c r="J21" s="27" t="s">
        <v>230</v>
      </c>
      <c r="K21" s="19">
        <v>1200000</v>
      </c>
    </row>
    <row r="22" spans="1:11">
      <c r="A22" s="66">
        <v>44882</v>
      </c>
      <c r="B22" s="590">
        <v>12150000</v>
      </c>
      <c r="C22" s="590">
        <v>150000</v>
      </c>
      <c r="D22" s="13">
        <f t="shared" si="2"/>
        <v>12300000</v>
      </c>
      <c r="E22" s="14">
        <v>1400000</v>
      </c>
      <c r="F22" s="67">
        <f t="shared" si="3"/>
        <v>10900000</v>
      </c>
      <c r="G22" s="587">
        <f t="shared" si="4"/>
        <v>-1250000</v>
      </c>
      <c r="H22" s="1"/>
      <c r="I22" s="25">
        <v>44880</v>
      </c>
      <c r="J22" s="27" t="s">
        <v>231</v>
      </c>
      <c r="K22" s="19">
        <v>250000</v>
      </c>
    </row>
    <row r="23" spans="1:11">
      <c r="A23" s="21">
        <v>44883</v>
      </c>
      <c r="B23" s="57">
        <v>3000000</v>
      </c>
      <c r="C23" s="57">
        <v>5000000</v>
      </c>
      <c r="D23" s="13">
        <f t="shared" si="2"/>
        <v>8000000</v>
      </c>
      <c r="E23" s="58">
        <v>2775000</v>
      </c>
      <c r="F23" s="12">
        <f t="shared" si="3"/>
        <v>5225000</v>
      </c>
      <c r="G23" s="15">
        <f t="shared" si="4"/>
        <v>2225000</v>
      </c>
      <c r="H23" s="29"/>
      <c r="I23" s="25">
        <v>44880</v>
      </c>
      <c r="J23" s="27" t="s">
        <v>41</v>
      </c>
      <c r="K23" s="19">
        <v>1300000</v>
      </c>
    </row>
    <row r="24" spans="1:11">
      <c r="A24" s="11">
        <v>44884</v>
      </c>
      <c r="B24" s="54">
        <v>450000</v>
      </c>
      <c r="C24" s="54">
        <v>1750000</v>
      </c>
      <c r="D24" s="13">
        <f t="shared" si="2"/>
        <v>2200000</v>
      </c>
      <c r="E24" s="14">
        <v>930000</v>
      </c>
      <c r="F24" s="12">
        <f t="shared" si="3"/>
        <v>1270000</v>
      </c>
      <c r="G24" s="15">
        <f t="shared" si="4"/>
        <v>820000</v>
      </c>
      <c r="H24" s="1"/>
      <c r="I24" s="25">
        <v>44880</v>
      </c>
      <c r="J24" s="27" t="s">
        <v>232</v>
      </c>
      <c r="K24" s="19">
        <v>1000000</v>
      </c>
    </row>
    <row r="25" spans="1:11">
      <c r="A25" s="46">
        <v>44885</v>
      </c>
      <c r="B25" s="68"/>
      <c r="C25" s="68"/>
      <c r="D25" s="47"/>
      <c r="E25" s="47"/>
      <c r="F25" s="47"/>
      <c r="G25" s="47"/>
      <c r="H25" s="1"/>
      <c r="I25" s="25">
        <v>44883</v>
      </c>
      <c r="J25" s="27" t="s">
        <v>233</v>
      </c>
      <c r="K25" s="19">
        <v>900000</v>
      </c>
    </row>
    <row r="26" spans="1:11">
      <c r="A26" s="11">
        <v>44886</v>
      </c>
      <c r="B26" s="54">
        <v>200000</v>
      </c>
      <c r="C26" s="54">
        <v>4220000</v>
      </c>
      <c r="D26" s="13">
        <f>B26+C26</f>
        <v>4420000</v>
      </c>
      <c r="E26" s="14">
        <v>2845000</v>
      </c>
      <c r="F26" s="12">
        <f t="shared" ref="F26:F31" si="5">D26-E26</f>
        <v>1575000</v>
      </c>
      <c r="G26" s="15">
        <f t="shared" ref="G26:G31" si="6">C26-E26</f>
        <v>1375000</v>
      </c>
      <c r="H26" s="1"/>
      <c r="I26" s="25">
        <v>44884</v>
      </c>
      <c r="J26" s="27" t="s">
        <v>234</v>
      </c>
      <c r="K26" s="19">
        <v>730000</v>
      </c>
    </row>
    <row r="27" spans="1:11">
      <c r="A27" s="11">
        <v>44887</v>
      </c>
      <c r="B27" s="54">
        <v>4220000</v>
      </c>
      <c r="C27" s="54">
        <v>13400000</v>
      </c>
      <c r="D27" s="13">
        <f>B27+C27</f>
        <v>17620000</v>
      </c>
      <c r="E27" s="14">
        <v>3005000</v>
      </c>
      <c r="F27" s="12">
        <f t="shared" si="5"/>
        <v>14615000</v>
      </c>
      <c r="G27" s="15">
        <f t="shared" si="6"/>
        <v>10395000</v>
      </c>
      <c r="H27" s="1"/>
      <c r="I27" s="25">
        <v>44884</v>
      </c>
      <c r="J27" s="27" t="s">
        <v>235</v>
      </c>
      <c r="K27" s="19">
        <v>2067000</v>
      </c>
    </row>
    <row r="28" spans="1:11">
      <c r="A28" s="11">
        <v>44888</v>
      </c>
      <c r="B28" s="54"/>
      <c r="C28" s="54">
        <v>8080000</v>
      </c>
      <c r="D28" s="13">
        <v>8080000</v>
      </c>
      <c r="E28" s="14">
        <v>3990000</v>
      </c>
      <c r="F28" s="12">
        <f t="shared" si="5"/>
        <v>4090000</v>
      </c>
      <c r="G28" s="15">
        <f t="shared" si="6"/>
        <v>4090000</v>
      </c>
      <c r="H28" s="1"/>
      <c r="I28" s="25">
        <v>44885</v>
      </c>
      <c r="J28" s="27" t="s">
        <v>236</v>
      </c>
      <c r="K28" s="19">
        <v>350000</v>
      </c>
    </row>
    <row r="29" spans="1:11">
      <c r="A29" s="11">
        <v>44889</v>
      </c>
      <c r="B29" s="54">
        <v>2225000</v>
      </c>
      <c r="C29" s="54">
        <v>1400000</v>
      </c>
      <c r="D29" s="13">
        <f>B29+C29</f>
        <v>3625000</v>
      </c>
      <c r="E29" s="14">
        <v>1230000</v>
      </c>
      <c r="F29" s="12">
        <f t="shared" si="5"/>
        <v>2395000</v>
      </c>
      <c r="G29" s="15">
        <f t="shared" si="6"/>
        <v>170000</v>
      </c>
      <c r="H29" s="1"/>
      <c r="I29" s="25">
        <v>44886</v>
      </c>
      <c r="J29" s="27" t="s">
        <v>237</v>
      </c>
      <c r="K29" s="19">
        <v>750000</v>
      </c>
    </row>
    <row r="30" spans="1:11">
      <c r="A30" s="11">
        <v>44890</v>
      </c>
      <c r="B30" s="54">
        <v>4200000</v>
      </c>
      <c r="C30" s="54">
        <v>100000</v>
      </c>
      <c r="D30" s="13">
        <f>B30+C30</f>
        <v>4300000</v>
      </c>
      <c r="E30" s="14">
        <v>1505000</v>
      </c>
      <c r="F30" s="12">
        <f t="shared" si="5"/>
        <v>2795000</v>
      </c>
      <c r="G30" s="15">
        <f t="shared" si="6"/>
        <v>-1405000</v>
      </c>
      <c r="H30" s="1"/>
      <c r="I30" s="25">
        <v>44886</v>
      </c>
      <c r="J30" s="27" t="s">
        <v>26</v>
      </c>
      <c r="K30" s="19">
        <v>5430000</v>
      </c>
    </row>
    <row r="31" spans="1:11">
      <c r="A31" s="11">
        <v>44891</v>
      </c>
      <c r="B31" s="54">
        <v>10200000</v>
      </c>
      <c r="C31" s="54">
        <v>3200000</v>
      </c>
      <c r="D31" s="13">
        <f>B31+C31</f>
        <v>13400000</v>
      </c>
      <c r="E31" s="14">
        <v>2785000</v>
      </c>
      <c r="F31" s="12">
        <f t="shared" si="5"/>
        <v>10615000</v>
      </c>
      <c r="G31" s="15">
        <f t="shared" si="6"/>
        <v>415000</v>
      </c>
      <c r="H31" s="1"/>
      <c r="I31" s="25">
        <v>44889</v>
      </c>
      <c r="J31" s="27" t="s">
        <v>132</v>
      </c>
      <c r="K31" s="19">
        <v>5500000</v>
      </c>
    </row>
    <row r="32" spans="1:11">
      <c r="A32" s="46">
        <v>44892</v>
      </c>
      <c r="B32" s="68"/>
      <c r="C32" s="68"/>
      <c r="D32" s="47"/>
      <c r="E32" s="47"/>
      <c r="F32" s="47"/>
      <c r="G32" s="47"/>
      <c r="H32" s="1"/>
      <c r="I32" s="25">
        <v>44889</v>
      </c>
      <c r="J32" s="27" t="s">
        <v>20</v>
      </c>
      <c r="K32" s="19">
        <v>40000000</v>
      </c>
    </row>
    <row r="33" spans="1:11">
      <c r="A33" s="11">
        <v>44893</v>
      </c>
      <c r="B33" s="54"/>
      <c r="C33" s="54">
        <v>4380000</v>
      </c>
      <c r="D33" s="13">
        <v>4380000</v>
      </c>
      <c r="E33" s="14">
        <v>1810000</v>
      </c>
      <c r="F33" s="12">
        <f>D33-E33</f>
        <v>2570000</v>
      </c>
      <c r="G33" s="15">
        <f>C33-E33</f>
        <v>2570000</v>
      </c>
      <c r="H33" s="1"/>
      <c r="I33" s="25">
        <v>44889</v>
      </c>
      <c r="J33" s="27" t="s">
        <v>238</v>
      </c>
      <c r="K33" s="19">
        <v>1200000</v>
      </c>
    </row>
    <row r="34" spans="1:11">
      <c r="A34" s="11">
        <v>44894</v>
      </c>
      <c r="B34" s="54">
        <v>2800000</v>
      </c>
      <c r="C34" s="54">
        <v>5350000</v>
      </c>
      <c r="D34" s="13">
        <f>B34+C34</f>
        <v>8150000</v>
      </c>
      <c r="E34" s="14">
        <v>4685000</v>
      </c>
      <c r="F34" s="12">
        <f>D34-E34</f>
        <v>3465000</v>
      </c>
      <c r="G34" s="15">
        <f>C34-E34</f>
        <v>665000</v>
      </c>
      <c r="H34" s="1"/>
      <c r="I34" s="25">
        <v>44890</v>
      </c>
      <c r="J34" s="27" t="s">
        <v>20</v>
      </c>
      <c r="K34" s="19">
        <v>35000000</v>
      </c>
    </row>
    <row r="35" spans="1:11">
      <c r="A35" s="11">
        <v>44895</v>
      </c>
      <c r="B35" s="54">
        <v>21157000</v>
      </c>
      <c r="C35" s="54">
        <v>1020000</v>
      </c>
      <c r="D35" s="13">
        <f>B35+C35</f>
        <v>22177000</v>
      </c>
      <c r="E35" s="14">
        <v>1770000</v>
      </c>
      <c r="F35" s="12">
        <f>D35-E35</f>
        <v>20407000</v>
      </c>
      <c r="G35" s="15">
        <f>C35-E35</f>
        <v>-750000</v>
      </c>
      <c r="H35" s="1"/>
      <c r="I35" s="25">
        <v>44891</v>
      </c>
      <c r="J35" s="27" t="s">
        <v>239</v>
      </c>
      <c r="K35" s="19">
        <v>1300000</v>
      </c>
    </row>
    <row r="36" spans="1:11">
      <c r="A36" s="11"/>
      <c r="B36" s="54"/>
      <c r="C36" s="54"/>
      <c r="D36" s="13"/>
      <c r="E36" s="14"/>
      <c r="F36" s="12"/>
      <c r="G36" s="15"/>
      <c r="H36" s="1"/>
      <c r="I36" s="25">
        <v>44893</v>
      </c>
      <c r="J36" s="27" t="s">
        <v>20</v>
      </c>
      <c r="K36" s="19">
        <v>15000000</v>
      </c>
    </row>
    <row r="37" spans="1:11">
      <c r="A37" s="11"/>
      <c r="B37" s="54"/>
      <c r="C37" s="54"/>
      <c r="D37" s="13"/>
      <c r="E37" s="14"/>
      <c r="F37" s="12"/>
      <c r="G37" s="15"/>
      <c r="H37" s="1"/>
      <c r="I37" s="25">
        <v>44893</v>
      </c>
      <c r="J37" s="27" t="s">
        <v>240</v>
      </c>
      <c r="K37" s="19">
        <v>1500000</v>
      </c>
    </row>
    <row r="38" spans="1:11">
      <c r="A38" s="11"/>
      <c r="B38" s="54"/>
      <c r="C38" s="54"/>
      <c r="D38" s="13"/>
      <c r="E38" s="14"/>
      <c r="F38" s="12"/>
      <c r="G38" s="15"/>
      <c r="H38" s="1"/>
      <c r="I38" s="25">
        <v>44894</v>
      </c>
      <c r="J38" s="27" t="s">
        <v>20</v>
      </c>
      <c r="K38" s="19">
        <v>12000000</v>
      </c>
    </row>
    <row r="39" spans="1:11">
      <c r="A39" s="11"/>
      <c r="B39" s="54"/>
      <c r="C39" s="54"/>
      <c r="D39" s="13"/>
      <c r="E39" s="14"/>
      <c r="F39" s="12"/>
      <c r="G39" s="15"/>
      <c r="H39" s="1"/>
      <c r="I39" s="25"/>
      <c r="J39" s="27"/>
      <c r="K39" s="19"/>
    </row>
    <row r="40" spans="1:11">
      <c r="A40" s="11"/>
      <c r="B40" s="54"/>
      <c r="C40" s="54"/>
      <c r="D40" s="13"/>
      <c r="E40" s="14"/>
      <c r="F40" s="12"/>
      <c r="G40" s="15"/>
      <c r="H40" s="1"/>
      <c r="I40" s="25"/>
      <c r="J40" s="27"/>
      <c r="K40" s="19"/>
    </row>
    <row r="41" spans="1:11">
      <c r="A41" s="11"/>
      <c r="B41" s="54"/>
      <c r="C41" s="54"/>
      <c r="D41" s="13"/>
      <c r="E41" s="14"/>
      <c r="F41" s="12"/>
      <c r="G41" s="15"/>
      <c r="H41" s="1"/>
      <c r="I41" s="25"/>
      <c r="J41" s="27"/>
      <c r="K41" s="19"/>
    </row>
    <row r="42" spans="1:11">
      <c r="A42" s="11"/>
      <c r="B42" s="54"/>
      <c r="C42" s="54"/>
      <c r="D42" s="13"/>
      <c r="E42" s="14"/>
      <c r="F42" s="12"/>
      <c r="G42" s="15"/>
      <c r="H42" s="1"/>
      <c r="I42" s="25"/>
      <c r="J42" s="27"/>
      <c r="K42" s="19"/>
    </row>
    <row r="43" spans="1:11">
      <c r="A43" s="11"/>
      <c r="B43" s="54"/>
      <c r="C43" s="54"/>
      <c r="D43" s="13"/>
      <c r="E43" s="14"/>
      <c r="F43" s="12"/>
      <c r="G43" s="15"/>
      <c r="H43" s="1"/>
      <c r="I43" s="25"/>
      <c r="J43" s="27"/>
      <c r="K43" s="19"/>
    </row>
    <row r="44" spans="1:11">
      <c r="A44" s="11"/>
      <c r="B44" s="54"/>
      <c r="C44" s="54"/>
      <c r="D44" s="13"/>
      <c r="E44" s="14"/>
      <c r="F44" s="12"/>
      <c r="G44" s="15"/>
      <c r="H44" s="1"/>
      <c r="I44" s="25"/>
      <c r="J44" s="27"/>
      <c r="K44" s="19"/>
    </row>
    <row r="45" spans="1:11">
      <c r="A45" s="66"/>
      <c r="B45" s="590"/>
      <c r="C45" s="590"/>
      <c r="D45" s="13"/>
      <c r="E45" s="14"/>
      <c r="F45" s="67"/>
      <c r="G45" s="587"/>
      <c r="H45" s="1"/>
      <c r="I45" s="25"/>
      <c r="J45" s="27"/>
      <c r="K45" s="19"/>
    </row>
    <row r="46" spans="1:11">
      <c r="A46" s="59"/>
      <c r="B46" s="60"/>
      <c r="C46" s="60"/>
      <c r="D46" s="61"/>
      <c r="E46" s="62"/>
      <c r="F46" s="63"/>
      <c r="G46" s="64"/>
      <c r="H46" s="1"/>
      <c r="I46" s="25"/>
      <c r="J46" s="27"/>
      <c r="K46" s="19"/>
    </row>
    <row r="47" spans="1:11">
      <c r="A47" s="11"/>
      <c r="B47" s="54"/>
      <c r="C47" s="54"/>
      <c r="D47" s="13"/>
      <c r="E47" s="14"/>
      <c r="F47" s="12"/>
      <c r="G47" s="15"/>
      <c r="H47" s="1"/>
      <c r="I47" s="25"/>
      <c r="J47" s="27"/>
      <c r="K47" s="19"/>
    </row>
    <row r="48" spans="1:11">
      <c r="A48" s="11"/>
      <c r="B48" s="54"/>
      <c r="C48" s="54"/>
      <c r="D48" s="13"/>
      <c r="E48" s="14"/>
      <c r="F48" s="12"/>
      <c r="G48" s="15"/>
      <c r="H48" s="1"/>
      <c r="I48" s="30"/>
      <c r="J48" s="23"/>
      <c r="K48" s="619">
        <f>SUM(K6:K47)</f>
        <v>169847000</v>
      </c>
    </row>
    <row r="49" spans="1:11">
      <c r="A49" s="11"/>
      <c r="B49" s="54"/>
      <c r="C49" s="54"/>
      <c r="D49" s="13"/>
      <c r="E49" s="14"/>
      <c r="F49" s="12"/>
      <c r="G49" s="15"/>
      <c r="H49" s="1"/>
      <c r="I49" s="26"/>
      <c r="J49" s="1"/>
      <c r="K49" s="1"/>
    </row>
    <row r="50" spans="1:11">
      <c r="A50" s="11"/>
      <c r="B50" s="54"/>
      <c r="C50" s="54"/>
      <c r="D50" s="13"/>
      <c r="E50" s="14"/>
      <c r="F50" s="12"/>
      <c r="G50" s="15"/>
      <c r="H50" s="1"/>
      <c r="I50" s="26"/>
      <c r="J50" s="1"/>
      <c r="K50" s="1"/>
    </row>
    <row r="51" spans="1:11">
      <c r="A51" s="11"/>
      <c r="B51" s="54"/>
      <c r="C51" s="54"/>
      <c r="D51" s="13"/>
      <c r="E51" s="14"/>
      <c r="F51" s="12"/>
      <c r="G51" s="15"/>
      <c r="H51" s="1"/>
      <c r="I51" s="26"/>
      <c r="J51" s="1"/>
      <c r="K51" s="1"/>
    </row>
    <row r="52" spans="1:11">
      <c r="A52" s="66"/>
      <c r="B52" s="590"/>
      <c r="C52" s="590"/>
      <c r="D52" s="13"/>
      <c r="E52" s="14"/>
      <c r="F52" s="67"/>
      <c r="G52" s="587"/>
      <c r="H52" s="1"/>
      <c r="I52" s="26"/>
      <c r="J52" s="1"/>
      <c r="K52" s="1"/>
    </row>
    <row r="53" spans="1:11">
      <c r="A53" s="11"/>
      <c r="B53" s="54"/>
      <c r="C53" s="54"/>
      <c r="D53" s="13"/>
      <c r="E53" s="14"/>
      <c r="F53" s="12"/>
      <c r="G53" s="15"/>
      <c r="H53" s="1"/>
      <c r="I53" s="26"/>
      <c r="J53" s="1"/>
      <c r="K53" s="1"/>
    </row>
    <row r="54" spans="1:11">
      <c r="A54" s="11"/>
      <c r="B54" s="54"/>
      <c r="C54" s="54"/>
      <c r="D54" s="13"/>
      <c r="E54" s="14"/>
      <c r="F54" s="12"/>
      <c r="G54" s="15"/>
      <c r="H54" s="1"/>
      <c r="I54" s="26"/>
      <c r="J54" s="1"/>
      <c r="K54" s="1"/>
    </row>
    <row r="55" spans="1:11" ht="15.75">
      <c r="A55" s="11"/>
      <c r="B55" s="54"/>
      <c r="C55" s="54"/>
      <c r="D55" s="13"/>
      <c r="E55" s="14"/>
      <c r="F55" s="12"/>
      <c r="G55" s="15"/>
      <c r="H55" s="1"/>
      <c r="I55" s="32" t="s">
        <v>27</v>
      </c>
      <c r="J55" s="607" t="s">
        <v>28</v>
      </c>
      <c r="K55" s="592">
        <f>B57+C57</f>
        <v>250637000</v>
      </c>
    </row>
    <row r="56" spans="1:11" ht="15.75">
      <c r="A56" s="65"/>
      <c r="B56" s="54"/>
      <c r="C56" s="54"/>
      <c r="D56" s="13"/>
      <c r="E56" s="14"/>
      <c r="F56" s="12"/>
      <c r="G56" s="15"/>
      <c r="H56" s="1"/>
      <c r="I56" s="35"/>
      <c r="J56" s="608" t="s">
        <v>29</v>
      </c>
      <c r="K56" s="618">
        <v>67500000</v>
      </c>
    </row>
    <row r="57" spans="1:11" ht="15.75">
      <c r="A57" s="11"/>
      <c r="B57" s="41">
        <f>SUM(B6:B56)</f>
        <v>128547000</v>
      </c>
      <c r="C57" s="41">
        <f>SUM(C6:C56)</f>
        <v>122090000</v>
      </c>
      <c r="D57" s="42">
        <f>SUM(D6:D56)</f>
        <v>250637000</v>
      </c>
      <c r="E57" s="43">
        <f t="shared" ref="E57:G57" si="7">SUM(E6:E56)</f>
        <v>67500000</v>
      </c>
      <c r="F57" s="44">
        <f t="shared" si="7"/>
        <v>170937000</v>
      </c>
      <c r="G57" s="45">
        <f t="shared" si="7"/>
        <v>54590000</v>
      </c>
      <c r="H57" s="38"/>
      <c r="I57" s="35"/>
      <c r="J57" s="608" t="s">
        <v>30</v>
      </c>
      <c r="K57" s="618">
        <v>169847000</v>
      </c>
    </row>
    <row r="58" spans="1:11" ht="15.75">
      <c r="A58" s="1"/>
      <c r="B58" s="1"/>
      <c r="C58" s="1"/>
      <c r="D58" s="1"/>
      <c r="E58" s="1"/>
      <c r="F58" s="1"/>
      <c r="G58" s="1"/>
      <c r="H58" s="1"/>
      <c r="I58" s="35"/>
      <c r="J58" s="608" t="s">
        <v>31</v>
      </c>
      <c r="K58" s="37">
        <f>K56+K57</f>
        <v>237347000</v>
      </c>
    </row>
    <row r="59" spans="1:11" ht="15.75">
      <c r="A59" s="1"/>
      <c r="B59" s="1"/>
      <c r="C59" s="1"/>
      <c r="D59" s="1"/>
      <c r="E59" s="1"/>
      <c r="F59" s="1"/>
      <c r="G59" s="1"/>
      <c r="H59" s="1"/>
      <c r="I59" s="35"/>
      <c r="J59" s="39"/>
      <c r="K59" s="34"/>
    </row>
    <row r="60" spans="1:11" ht="18">
      <c r="A60" s="1"/>
      <c r="B60" s="1"/>
      <c r="C60" s="1"/>
      <c r="D60" s="1"/>
      <c r="E60" s="1"/>
      <c r="F60" s="1"/>
      <c r="G60" s="1"/>
      <c r="H60" s="1"/>
      <c r="I60" s="658" t="s">
        <v>176</v>
      </c>
      <c r="J60" s="658"/>
      <c r="K60" s="40">
        <f>K55-K58</f>
        <v>13290000</v>
      </c>
    </row>
  </sheetData>
  <mergeCells count="7">
    <mergeCell ref="I60:J60"/>
    <mergeCell ref="A4:A5"/>
    <mergeCell ref="B4:C4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2:K59"/>
  <sheetViews>
    <sheetView tabSelected="1" topLeftCell="C43" workbookViewId="0">
      <selection activeCell="K57" sqref="K57"/>
    </sheetView>
  </sheetViews>
  <sheetFormatPr defaultRowHeight="15"/>
  <cols>
    <col min="1" max="1" width="7.42578125" customWidth="1"/>
    <col min="2" max="2" width="17.140625" customWidth="1"/>
    <col min="3" max="3" width="17.5703125" customWidth="1"/>
    <col min="4" max="4" width="18.85546875" customWidth="1"/>
    <col min="5" max="5" width="18.28515625" customWidth="1"/>
    <col min="6" max="6" width="18.5703125" customWidth="1"/>
    <col min="7" max="7" width="17.5703125" customWidth="1"/>
    <col min="10" max="10" width="42.7109375" customWidth="1"/>
    <col min="11" max="11" width="20.7109375" customWidth="1"/>
  </cols>
  <sheetData>
    <row r="2" spans="1:11" ht="21">
      <c r="A2" s="586" t="s">
        <v>177</v>
      </c>
      <c r="B2" s="586"/>
      <c r="C2" s="585"/>
    </row>
    <row r="4" spans="1:11" ht="15.75">
      <c r="A4" s="662" t="s">
        <v>1</v>
      </c>
      <c r="B4" s="664" t="s">
        <v>2</v>
      </c>
      <c r="C4" s="665"/>
      <c r="D4" s="666" t="s">
        <v>3</v>
      </c>
      <c r="E4" s="656" t="s">
        <v>4</v>
      </c>
      <c r="F4" s="666" t="s">
        <v>5</v>
      </c>
      <c r="G4" s="656" t="s">
        <v>6</v>
      </c>
      <c r="H4" s="2"/>
      <c r="I4" s="3" t="s">
        <v>7</v>
      </c>
      <c r="J4" s="4"/>
      <c r="K4" s="5"/>
    </row>
    <row r="5" spans="1:11" ht="15.75">
      <c r="A5" s="663"/>
      <c r="B5" s="6" t="s">
        <v>8</v>
      </c>
      <c r="C5" s="584" t="s">
        <v>9</v>
      </c>
      <c r="D5" s="667"/>
      <c r="E5" s="657"/>
      <c r="F5" s="667"/>
      <c r="G5" s="657"/>
      <c r="H5" s="2"/>
      <c r="I5" s="610" t="s">
        <v>1</v>
      </c>
      <c r="J5" s="611" t="s">
        <v>10</v>
      </c>
      <c r="K5" s="612" t="s">
        <v>11</v>
      </c>
    </row>
    <row r="6" spans="1:11">
      <c r="A6" s="11">
        <v>44896</v>
      </c>
      <c r="B6" s="12">
        <v>180000</v>
      </c>
      <c r="C6" s="12">
        <v>2925000</v>
      </c>
      <c r="D6" s="13">
        <f>B6+C6</f>
        <v>3105000</v>
      </c>
      <c r="E6" s="14">
        <v>4955000</v>
      </c>
      <c r="F6" s="12">
        <f t="shared" ref="F6:F13" si="0">D6-E6</f>
        <v>-1850000</v>
      </c>
      <c r="G6" s="15">
        <f t="shared" ref="G6:G13" si="1">C6-E6</f>
        <v>-2030000</v>
      </c>
      <c r="H6" s="5"/>
      <c r="I6" s="11">
        <v>44896</v>
      </c>
      <c r="J6" s="16" t="s">
        <v>241</v>
      </c>
      <c r="K6" s="50">
        <v>1375000</v>
      </c>
    </row>
    <row r="7" spans="1:11">
      <c r="A7" s="66">
        <v>44897</v>
      </c>
      <c r="B7" s="67"/>
      <c r="C7" s="67">
        <v>3850000</v>
      </c>
      <c r="D7" s="13">
        <v>3850000</v>
      </c>
      <c r="E7" s="14">
        <v>1775000</v>
      </c>
      <c r="F7" s="67">
        <f t="shared" si="0"/>
        <v>2075000</v>
      </c>
      <c r="G7" s="15">
        <f t="shared" si="1"/>
        <v>2075000</v>
      </c>
      <c r="H7" s="5"/>
      <c r="I7" s="17">
        <v>44900</v>
      </c>
      <c r="J7" s="626" t="s">
        <v>242</v>
      </c>
      <c r="K7" s="51">
        <v>12400000</v>
      </c>
    </row>
    <row r="8" spans="1:11">
      <c r="A8" s="66">
        <v>44898</v>
      </c>
      <c r="B8" s="67">
        <v>5085000</v>
      </c>
      <c r="C8" s="67">
        <v>3850000</v>
      </c>
      <c r="D8" s="13">
        <f>B8+C8</f>
        <v>8935000</v>
      </c>
      <c r="E8" s="14">
        <v>2445000</v>
      </c>
      <c r="F8" s="67">
        <f t="shared" si="0"/>
        <v>6490000</v>
      </c>
      <c r="G8" s="15">
        <f t="shared" si="1"/>
        <v>1405000</v>
      </c>
      <c r="H8" s="5"/>
      <c r="I8" s="627">
        <v>44900</v>
      </c>
      <c r="J8" s="626" t="s">
        <v>243</v>
      </c>
      <c r="K8" s="51">
        <v>400000</v>
      </c>
    </row>
    <row r="9" spans="1:11">
      <c r="A9" s="46">
        <v>44899</v>
      </c>
      <c r="B9" s="47">
        <v>5400000</v>
      </c>
      <c r="C9" s="47"/>
      <c r="D9" s="47">
        <v>5400000</v>
      </c>
      <c r="E9" s="47">
        <v>700000</v>
      </c>
      <c r="F9" s="47">
        <f t="shared" si="0"/>
        <v>4700000</v>
      </c>
      <c r="G9" s="47">
        <f t="shared" si="1"/>
        <v>-700000</v>
      </c>
      <c r="H9" s="5"/>
      <c r="I9" s="17">
        <v>44904</v>
      </c>
      <c r="J9" s="628" t="s">
        <v>244</v>
      </c>
      <c r="K9" s="51">
        <v>700000</v>
      </c>
    </row>
    <row r="10" spans="1:11">
      <c r="A10" s="66">
        <v>44900</v>
      </c>
      <c r="B10" s="67">
        <v>5000000</v>
      </c>
      <c r="C10" s="67"/>
      <c r="D10" s="13">
        <v>5000000</v>
      </c>
      <c r="E10" s="14">
        <v>1805000</v>
      </c>
      <c r="F10" s="67">
        <f t="shared" si="0"/>
        <v>3195000</v>
      </c>
      <c r="G10" s="15">
        <f t="shared" si="1"/>
        <v>-1805000</v>
      </c>
      <c r="H10" s="5"/>
      <c r="I10" s="17">
        <v>44905</v>
      </c>
      <c r="J10" s="629" t="s">
        <v>245</v>
      </c>
      <c r="K10" s="51">
        <v>1950000</v>
      </c>
    </row>
    <row r="11" spans="1:11">
      <c r="A11" s="66">
        <v>44901</v>
      </c>
      <c r="B11" s="67">
        <v>1150000</v>
      </c>
      <c r="C11" s="67">
        <v>900000</v>
      </c>
      <c r="D11" s="13">
        <f>B11+C11</f>
        <v>2050000</v>
      </c>
      <c r="E11" s="14">
        <v>1030000</v>
      </c>
      <c r="F11" s="67">
        <f t="shared" si="0"/>
        <v>1020000</v>
      </c>
      <c r="G11" s="15">
        <f t="shared" si="1"/>
        <v>-130000</v>
      </c>
      <c r="H11" s="5"/>
      <c r="I11" s="17">
        <v>44905</v>
      </c>
      <c r="J11" s="630" t="s">
        <v>246</v>
      </c>
      <c r="K11" s="51">
        <v>4500000</v>
      </c>
    </row>
    <row r="12" spans="1:11">
      <c r="A12" s="66">
        <v>44902</v>
      </c>
      <c r="B12" s="67">
        <v>2200000</v>
      </c>
      <c r="C12" s="67">
        <v>1335000</v>
      </c>
      <c r="D12" s="13">
        <f>B12+C12</f>
        <v>3535000</v>
      </c>
      <c r="E12" s="14">
        <v>2170000</v>
      </c>
      <c r="F12" s="67">
        <f t="shared" si="0"/>
        <v>1365000</v>
      </c>
      <c r="G12" s="15">
        <f t="shared" si="1"/>
        <v>-835000</v>
      </c>
      <c r="H12" s="5"/>
      <c r="I12" s="17">
        <v>44908</v>
      </c>
      <c r="J12" s="631" t="s">
        <v>41</v>
      </c>
      <c r="K12" s="51">
        <v>1300000</v>
      </c>
    </row>
    <row r="13" spans="1:11">
      <c r="A13" s="66">
        <v>44903</v>
      </c>
      <c r="B13" s="67">
        <v>5175000</v>
      </c>
      <c r="C13" s="67"/>
      <c r="D13" s="13">
        <v>5175000</v>
      </c>
      <c r="E13" s="14">
        <v>1615000</v>
      </c>
      <c r="F13" s="67">
        <f t="shared" si="0"/>
        <v>3560000</v>
      </c>
      <c r="G13" s="15">
        <f t="shared" si="1"/>
        <v>-1615000</v>
      </c>
      <c r="H13" s="5"/>
      <c r="I13" s="17">
        <v>44911</v>
      </c>
      <c r="J13" s="632" t="s">
        <v>247</v>
      </c>
      <c r="K13" s="51">
        <v>1000000</v>
      </c>
    </row>
    <row r="14" spans="1:11">
      <c r="A14" s="66">
        <v>44904</v>
      </c>
      <c r="B14" s="67">
        <v>3000000</v>
      </c>
      <c r="C14" s="67">
        <v>5400000</v>
      </c>
      <c r="D14" s="13">
        <f>B14+C14</f>
        <v>8400000</v>
      </c>
      <c r="E14" s="14">
        <v>4625000</v>
      </c>
      <c r="F14" s="67">
        <f>D14-E14</f>
        <v>3775000</v>
      </c>
      <c r="G14" s="15">
        <f>C14-E14</f>
        <v>775000</v>
      </c>
      <c r="H14" s="5"/>
      <c r="I14" s="17">
        <v>44912</v>
      </c>
      <c r="J14" s="633" t="s">
        <v>248</v>
      </c>
      <c r="K14" s="51">
        <v>1200000</v>
      </c>
    </row>
    <row r="15" spans="1:11">
      <c r="A15" s="66">
        <v>44905</v>
      </c>
      <c r="B15" s="67">
        <v>3100000</v>
      </c>
      <c r="C15" s="67">
        <v>8190000</v>
      </c>
      <c r="D15" s="13">
        <f>B15+C15</f>
        <v>11290000</v>
      </c>
      <c r="E15" s="14">
        <v>2510000</v>
      </c>
      <c r="F15" s="67">
        <f>D15-E15</f>
        <v>8780000</v>
      </c>
      <c r="G15" s="15">
        <f>C15-E15</f>
        <v>5680000</v>
      </c>
      <c r="H15" s="5"/>
      <c r="I15" s="17">
        <v>44912</v>
      </c>
      <c r="J15" s="633" t="s">
        <v>249</v>
      </c>
      <c r="K15" s="51">
        <v>6500000</v>
      </c>
    </row>
    <row r="16" spans="1:11">
      <c r="A16" s="46">
        <v>44906</v>
      </c>
      <c r="B16" s="47"/>
      <c r="C16" s="47"/>
      <c r="D16" s="47"/>
      <c r="E16" s="47"/>
      <c r="F16" s="47"/>
      <c r="G16" s="47"/>
      <c r="H16" s="5"/>
      <c r="I16" s="17">
        <v>44912</v>
      </c>
      <c r="J16" s="633" t="s">
        <v>250</v>
      </c>
      <c r="K16" s="51">
        <v>1650000</v>
      </c>
    </row>
    <row r="17" spans="1:11">
      <c r="A17" s="66">
        <v>44907</v>
      </c>
      <c r="B17" s="67">
        <v>750000</v>
      </c>
      <c r="C17" s="67">
        <v>2570000</v>
      </c>
      <c r="D17" s="13">
        <f t="shared" ref="D17:D22" si="2">B17+C17</f>
        <v>3320000</v>
      </c>
      <c r="E17" s="14">
        <v>1140000</v>
      </c>
      <c r="F17" s="67">
        <f t="shared" ref="F17:F22" si="3">D17-E17</f>
        <v>2180000</v>
      </c>
      <c r="G17" s="15">
        <f t="shared" ref="G17:G22" si="4">C17-E17</f>
        <v>1430000</v>
      </c>
      <c r="H17" s="5"/>
      <c r="I17" s="17">
        <v>44914</v>
      </c>
      <c r="J17" s="634" t="s">
        <v>251</v>
      </c>
      <c r="K17" s="51">
        <v>5500000</v>
      </c>
    </row>
    <row r="18" spans="1:11">
      <c r="A18" s="66">
        <v>44908</v>
      </c>
      <c r="B18" s="67">
        <v>485000</v>
      </c>
      <c r="C18" s="67">
        <v>300000</v>
      </c>
      <c r="D18" s="13">
        <f t="shared" si="2"/>
        <v>785000</v>
      </c>
      <c r="E18" s="14">
        <v>1330000</v>
      </c>
      <c r="F18" s="67">
        <f t="shared" si="3"/>
        <v>-545000</v>
      </c>
      <c r="G18" s="15">
        <f t="shared" si="4"/>
        <v>-1030000</v>
      </c>
      <c r="H18" s="5"/>
      <c r="I18" s="17">
        <v>44914</v>
      </c>
      <c r="J18" s="634" t="s">
        <v>252</v>
      </c>
      <c r="K18" s="51">
        <v>900000</v>
      </c>
    </row>
    <row r="19" spans="1:11">
      <c r="A19" s="66">
        <v>44909</v>
      </c>
      <c r="B19" s="67">
        <v>3300000</v>
      </c>
      <c r="C19" s="67">
        <v>1200000</v>
      </c>
      <c r="D19" s="13">
        <f t="shared" si="2"/>
        <v>4500000</v>
      </c>
      <c r="E19" s="14">
        <v>2205000</v>
      </c>
      <c r="F19" s="67">
        <f t="shared" si="3"/>
        <v>2295000</v>
      </c>
      <c r="G19" s="15">
        <f t="shared" si="4"/>
        <v>-1005000</v>
      </c>
      <c r="H19" s="5"/>
      <c r="I19" s="17">
        <v>44916</v>
      </c>
      <c r="J19" s="635" t="s">
        <v>234</v>
      </c>
      <c r="K19" s="51">
        <v>750000</v>
      </c>
    </row>
    <row r="20" spans="1:11">
      <c r="A20" s="66">
        <v>44910</v>
      </c>
      <c r="B20" s="67">
        <v>1730000</v>
      </c>
      <c r="C20" s="67">
        <v>7835000</v>
      </c>
      <c r="D20" s="13">
        <f t="shared" si="2"/>
        <v>9565000</v>
      </c>
      <c r="E20" s="14">
        <v>2285000</v>
      </c>
      <c r="F20" s="67">
        <f t="shared" si="3"/>
        <v>7280000</v>
      </c>
      <c r="G20" s="15">
        <f t="shared" si="4"/>
        <v>5550000</v>
      </c>
      <c r="H20" s="5"/>
      <c r="I20" s="17">
        <v>44917</v>
      </c>
      <c r="J20" s="636" t="s">
        <v>20</v>
      </c>
      <c r="K20" s="51">
        <v>50000000</v>
      </c>
    </row>
    <row r="21" spans="1:11">
      <c r="A21" s="66">
        <v>44911</v>
      </c>
      <c r="B21" s="67">
        <v>170000</v>
      </c>
      <c r="C21" s="67">
        <v>4250000</v>
      </c>
      <c r="D21" s="13">
        <f t="shared" si="2"/>
        <v>4420000</v>
      </c>
      <c r="E21" s="14">
        <v>860000</v>
      </c>
      <c r="F21" s="67">
        <f t="shared" si="3"/>
        <v>3560000</v>
      </c>
      <c r="G21" s="15">
        <f t="shared" si="4"/>
        <v>3390000</v>
      </c>
      <c r="H21" s="5"/>
      <c r="I21" s="17">
        <v>44917</v>
      </c>
      <c r="J21" s="637" t="s">
        <v>253</v>
      </c>
      <c r="K21" s="51">
        <v>300000</v>
      </c>
    </row>
    <row r="22" spans="1:11">
      <c r="A22" s="66">
        <v>44912</v>
      </c>
      <c r="B22" s="67">
        <v>18200000</v>
      </c>
      <c r="C22" s="67">
        <v>120000</v>
      </c>
      <c r="D22" s="13">
        <f t="shared" si="2"/>
        <v>18320000</v>
      </c>
      <c r="E22" s="14">
        <v>1085000</v>
      </c>
      <c r="F22" s="67">
        <f t="shared" si="3"/>
        <v>17235000</v>
      </c>
      <c r="G22" s="15">
        <f t="shared" si="4"/>
        <v>-965000</v>
      </c>
      <c r="H22" s="5"/>
      <c r="I22" s="17">
        <v>44919</v>
      </c>
      <c r="J22" s="638" t="s">
        <v>254</v>
      </c>
      <c r="K22" s="51">
        <v>1000000</v>
      </c>
    </row>
    <row r="23" spans="1:11">
      <c r="A23" s="46">
        <v>44913</v>
      </c>
      <c r="B23" s="47"/>
      <c r="C23" s="47"/>
      <c r="D23" s="47"/>
      <c r="E23" s="47"/>
      <c r="F23" s="47"/>
      <c r="G23" s="47"/>
      <c r="H23" s="5"/>
      <c r="I23" s="17">
        <v>44921</v>
      </c>
      <c r="J23" s="638" t="s">
        <v>20</v>
      </c>
      <c r="K23" s="51">
        <v>30000000</v>
      </c>
    </row>
    <row r="24" spans="1:11">
      <c r="A24" s="66">
        <v>44914</v>
      </c>
      <c r="B24" s="67">
        <v>1850000</v>
      </c>
      <c r="C24" s="67">
        <v>8200000</v>
      </c>
      <c r="D24" s="13">
        <f t="shared" ref="D24:D29" si="5">B24+C24</f>
        <v>10050000</v>
      </c>
      <c r="E24" s="14">
        <v>2005000</v>
      </c>
      <c r="F24" s="67">
        <f t="shared" ref="F24:F29" si="6">D24-E24</f>
        <v>8045000</v>
      </c>
      <c r="G24" s="15">
        <f t="shared" ref="G24:G29" si="7">C24-E24</f>
        <v>6195000</v>
      </c>
      <c r="H24" s="5"/>
      <c r="I24" s="17">
        <v>44922</v>
      </c>
      <c r="J24" s="639" t="s">
        <v>20</v>
      </c>
      <c r="K24" s="51">
        <v>10000000</v>
      </c>
    </row>
    <row r="25" spans="1:11">
      <c r="A25" s="66">
        <v>44915</v>
      </c>
      <c r="B25" s="67">
        <v>6100000</v>
      </c>
      <c r="C25" s="67">
        <v>7235000</v>
      </c>
      <c r="D25" s="13">
        <f t="shared" si="5"/>
        <v>13335000</v>
      </c>
      <c r="E25" s="14">
        <v>2015000</v>
      </c>
      <c r="F25" s="67">
        <f t="shared" si="6"/>
        <v>11320000</v>
      </c>
      <c r="G25" s="15">
        <f t="shared" si="7"/>
        <v>5220000</v>
      </c>
      <c r="H25" s="5"/>
      <c r="I25" s="17">
        <v>44922</v>
      </c>
      <c r="J25" s="639" t="s">
        <v>255</v>
      </c>
      <c r="K25" s="51">
        <v>1500000</v>
      </c>
    </row>
    <row r="26" spans="1:11">
      <c r="A26" s="66">
        <v>44916</v>
      </c>
      <c r="B26" s="67">
        <v>1700000</v>
      </c>
      <c r="C26" s="67">
        <v>2350000</v>
      </c>
      <c r="D26" s="13">
        <f t="shared" si="5"/>
        <v>4050000</v>
      </c>
      <c r="E26" s="14">
        <v>1245000</v>
      </c>
      <c r="F26" s="67">
        <f t="shared" si="6"/>
        <v>2805000</v>
      </c>
      <c r="G26" s="15">
        <f t="shared" si="7"/>
        <v>1105000</v>
      </c>
      <c r="H26" s="20"/>
      <c r="I26" s="17">
        <v>44922</v>
      </c>
      <c r="J26" s="639" t="s">
        <v>20</v>
      </c>
      <c r="K26" s="51">
        <v>10000000</v>
      </c>
    </row>
    <row r="27" spans="1:11">
      <c r="A27" s="11">
        <v>44917</v>
      </c>
      <c r="B27" s="12">
        <v>8000000</v>
      </c>
      <c r="C27" s="12">
        <v>1250000</v>
      </c>
      <c r="D27" s="13">
        <f t="shared" si="5"/>
        <v>9250000</v>
      </c>
      <c r="E27" s="14">
        <v>1150000</v>
      </c>
      <c r="F27" s="12">
        <f t="shared" si="6"/>
        <v>8100000</v>
      </c>
      <c r="G27" s="15">
        <f t="shared" si="7"/>
        <v>100000</v>
      </c>
      <c r="H27" s="5"/>
      <c r="I27" s="21">
        <v>44924</v>
      </c>
      <c r="J27" s="16" t="s">
        <v>20</v>
      </c>
      <c r="K27" s="52">
        <v>9150000</v>
      </c>
    </row>
    <row r="28" spans="1:11">
      <c r="A28" s="11">
        <v>44918</v>
      </c>
      <c r="B28" s="12">
        <v>5650000</v>
      </c>
      <c r="C28" s="12">
        <v>9600000</v>
      </c>
      <c r="D28" s="13">
        <f t="shared" si="5"/>
        <v>15250000</v>
      </c>
      <c r="E28" s="14">
        <v>1280000</v>
      </c>
      <c r="F28" s="12">
        <f t="shared" si="6"/>
        <v>13970000</v>
      </c>
      <c r="G28" s="15">
        <f t="shared" si="7"/>
        <v>8320000</v>
      </c>
      <c r="H28" s="22"/>
      <c r="I28" s="21">
        <v>44924</v>
      </c>
      <c r="J28" s="23" t="s">
        <v>256</v>
      </c>
      <c r="K28" s="49">
        <v>1670000</v>
      </c>
    </row>
    <row r="29" spans="1:11">
      <c r="A29" s="11">
        <v>44919</v>
      </c>
      <c r="B29" s="12">
        <v>5050000</v>
      </c>
      <c r="C29" s="12">
        <v>3600000</v>
      </c>
      <c r="D29" s="13">
        <f t="shared" si="5"/>
        <v>8650000</v>
      </c>
      <c r="E29" s="14">
        <v>1690000</v>
      </c>
      <c r="F29" s="12">
        <f t="shared" si="6"/>
        <v>6960000</v>
      </c>
      <c r="G29" s="15">
        <f t="shared" si="7"/>
        <v>1910000</v>
      </c>
      <c r="H29" s="22"/>
      <c r="I29" s="11">
        <v>44926</v>
      </c>
      <c r="J29" s="48" t="s">
        <v>257</v>
      </c>
      <c r="K29" s="50">
        <v>250000</v>
      </c>
    </row>
    <row r="30" spans="1:11">
      <c r="A30" s="46">
        <v>44920</v>
      </c>
      <c r="B30" s="47"/>
      <c r="C30" s="47"/>
      <c r="D30" s="47"/>
      <c r="E30" s="47"/>
      <c r="F30" s="47"/>
      <c r="G30" s="47"/>
      <c r="H30" s="5"/>
      <c r="I30" s="11">
        <v>45291</v>
      </c>
      <c r="J30" s="24" t="s">
        <v>258</v>
      </c>
      <c r="K30" s="53">
        <v>5500000</v>
      </c>
    </row>
    <row r="31" spans="1:11">
      <c r="A31" s="11">
        <v>44921</v>
      </c>
      <c r="B31" s="12">
        <v>3250000</v>
      </c>
      <c r="C31" s="12">
        <v>4220000</v>
      </c>
      <c r="D31" s="13">
        <f t="shared" ref="D31:D36" si="8">B31+C31</f>
        <v>7470000</v>
      </c>
      <c r="E31" s="14">
        <v>2120000</v>
      </c>
      <c r="F31" s="12">
        <f t="shared" ref="F31:F36" si="9">D31-E31</f>
        <v>5350000</v>
      </c>
      <c r="G31" s="15">
        <f t="shared" ref="G31:G36" si="10">C31-E31</f>
        <v>2100000</v>
      </c>
      <c r="H31" s="5"/>
      <c r="I31" s="11"/>
      <c r="J31" s="23"/>
      <c r="K31" s="50"/>
    </row>
    <row r="32" spans="1:11">
      <c r="A32" s="11">
        <v>44922</v>
      </c>
      <c r="B32" s="12">
        <v>6170000</v>
      </c>
      <c r="C32" s="12">
        <v>13070000</v>
      </c>
      <c r="D32" s="13">
        <f t="shared" si="8"/>
        <v>19240000</v>
      </c>
      <c r="E32" s="14">
        <v>4110000</v>
      </c>
      <c r="F32" s="12">
        <f t="shared" si="9"/>
        <v>15130000</v>
      </c>
      <c r="G32" s="15">
        <f t="shared" si="10"/>
        <v>8960000</v>
      </c>
      <c r="H32" s="5"/>
      <c r="I32" s="11"/>
      <c r="J32" s="23"/>
      <c r="K32" s="50"/>
    </row>
    <row r="33" spans="1:11">
      <c r="A33" s="11">
        <v>44923</v>
      </c>
      <c r="B33" s="12">
        <v>13395000</v>
      </c>
      <c r="C33" s="12">
        <v>4800000</v>
      </c>
      <c r="D33" s="13">
        <f t="shared" si="8"/>
        <v>18195000</v>
      </c>
      <c r="E33" s="14">
        <v>2140000</v>
      </c>
      <c r="F33" s="12">
        <f t="shared" si="9"/>
        <v>16055000</v>
      </c>
      <c r="G33" s="15">
        <f t="shared" si="10"/>
        <v>2660000</v>
      </c>
      <c r="H33" s="22"/>
      <c r="I33" s="25"/>
      <c r="J33" s="27"/>
      <c r="K33" s="53"/>
    </row>
    <row r="34" spans="1:11">
      <c r="A34" s="11">
        <v>44924</v>
      </c>
      <c r="B34" s="54">
        <v>6075000</v>
      </c>
      <c r="C34" s="54">
        <v>2375000</v>
      </c>
      <c r="D34" s="13">
        <f t="shared" si="8"/>
        <v>8450000</v>
      </c>
      <c r="E34" s="14">
        <v>1265000</v>
      </c>
      <c r="F34" s="12">
        <f t="shared" si="9"/>
        <v>7185000</v>
      </c>
      <c r="G34" s="15">
        <f t="shared" si="10"/>
        <v>1110000</v>
      </c>
      <c r="H34" s="26"/>
      <c r="I34" s="25"/>
      <c r="J34" s="18"/>
      <c r="K34" s="53"/>
    </row>
    <row r="35" spans="1:11">
      <c r="A35" s="11">
        <v>44925</v>
      </c>
      <c r="B35" s="54">
        <v>14090000</v>
      </c>
      <c r="C35" s="54">
        <v>4605000</v>
      </c>
      <c r="D35" s="13">
        <f t="shared" si="8"/>
        <v>18695000</v>
      </c>
      <c r="E35" s="14">
        <v>1425000</v>
      </c>
      <c r="F35" s="12">
        <f t="shared" si="9"/>
        <v>17270000</v>
      </c>
      <c r="G35" s="15">
        <f t="shared" si="10"/>
        <v>3180000</v>
      </c>
      <c r="H35" s="26"/>
      <c r="I35" s="25"/>
      <c r="J35" s="48"/>
      <c r="K35" s="55"/>
    </row>
    <row r="36" spans="1:11">
      <c r="A36" s="11">
        <v>45291</v>
      </c>
      <c r="B36" s="54">
        <v>7925000</v>
      </c>
      <c r="C36" s="54">
        <v>2510000</v>
      </c>
      <c r="D36" s="13">
        <f t="shared" si="8"/>
        <v>10435000</v>
      </c>
      <c r="E36" s="14">
        <v>3310000</v>
      </c>
      <c r="F36" s="12">
        <f t="shared" si="9"/>
        <v>7125000</v>
      </c>
      <c r="G36" s="15">
        <f t="shared" si="10"/>
        <v>-800000</v>
      </c>
      <c r="H36" s="1"/>
      <c r="I36" s="25"/>
      <c r="J36" s="27"/>
      <c r="K36" s="53"/>
    </row>
    <row r="37" spans="1:11">
      <c r="A37" s="66"/>
      <c r="B37" s="590"/>
      <c r="C37" s="590"/>
      <c r="D37" s="13"/>
      <c r="E37" s="14"/>
      <c r="F37" s="67"/>
      <c r="G37" s="587"/>
      <c r="H37" s="1"/>
      <c r="I37" s="28"/>
      <c r="J37" s="23"/>
      <c r="K37" s="50"/>
    </row>
    <row r="38" spans="1:11">
      <c r="A38" s="11"/>
      <c r="B38" s="56"/>
      <c r="C38" s="57"/>
      <c r="D38" s="13"/>
      <c r="E38" s="58"/>
      <c r="F38" s="12"/>
      <c r="G38" s="15"/>
      <c r="H38" s="29"/>
      <c r="I38" s="25"/>
      <c r="J38" s="27"/>
      <c r="K38" s="19"/>
    </row>
    <row r="39" spans="1:11">
      <c r="A39" s="11"/>
      <c r="B39" s="54"/>
      <c r="C39" s="54"/>
      <c r="D39" s="13"/>
      <c r="E39" s="14"/>
      <c r="F39" s="12"/>
      <c r="G39" s="15"/>
      <c r="H39" s="1"/>
      <c r="I39" s="25"/>
      <c r="J39" s="27"/>
      <c r="K39" s="19"/>
    </row>
    <row r="40" spans="1:11">
      <c r="A40" s="66"/>
      <c r="B40" s="590"/>
      <c r="C40" s="590"/>
      <c r="D40" s="13"/>
      <c r="E40" s="14"/>
      <c r="F40" s="67"/>
      <c r="G40" s="587"/>
      <c r="H40" s="1"/>
      <c r="I40" s="25"/>
      <c r="J40" s="27"/>
      <c r="K40" s="19"/>
    </row>
    <row r="41" spans="1:11">
      <c r="A41" s="21"/>
      <c r="B41" s="57"/>
      <c r="C41" s="57"/>
      <c r="D41" s="13"/>
      <c r="E41" s="58"/>
      <c r="F41" s="12"/>
      <c r="G41" s="15"/>
      <c r="H41" s="29"/>
      <c r="I41" s="25"/>
      <c r="J41" s="27"/>
      <c r="K41" s="19"/>
    </row>
    <row r="42" spans="1:11">
      <c r="A42" s="11"/>
      <c r="B42" s="54"/>
      <c r="C42" s="54"/>
      <c r="D42" s="13"/>
      <c r="E42" s="14"/>
      <c r="F42" s="12"/>
      <c r="G42" s="15"/>
      <c r="H42" s="1"/>
      <c r="I42" s="25"/>
      <c r="J42" s="27"/>
      <c r="K42" s="19"/>
    </row>
    <row r="43" spans="1:11">
      <c r="A43" s="11"/>
      <c r="B43" s="54"/>
      <c r="C43" s="54"/>
      <c r="D43" s="13"/>
      <c r="E43" s="14"/>
      <c r="F43" s="12"/>
      <c r="G43" s="15"/>
      <c r="H43" s="1"/>
      <c r="I43" s="25"/>
      <c r="J43" s="27"/>
      <c r="K43" s="19"/>
    </row>
    <row r="44" spans="1:11">
      <c r="A44" s="66"/>
      <c r="B44" s="590"/>
      <c r="C44" s="590"/>
      <c r="D44" s="13"/>
      <c r="E44" s="14"/>
      <c r="F44" s="67"/>
      <c r="G44" s="587"/>
      <c r="H44" s="1"/>
      <c r="I44" s="25"/>
      <c r="J44" s="27"/>
      <c r="K44" s="19"/>
    </row>
    <row r="45" spans="1:11">
      <c r="A45" s="59"/>
      <c r="B45" s="60"/>
      <c r="C45" s="60"/>
      <c r="D45" s="61"/>
      <c r="E45" s="62"/>
      <c r="F45" s="63"/>
      <c r="G45" s="64"/>
      <c r="H45" s="1"/>
      <c r="I45" s="25"/>
      <c r="J45" s="27"/>
      <c r="K45" s="19"/>
    </row>
    <row r="46" spans="1:11">
      <c r="A46" s="11"/>
      <c r="B46" s="54"/>
      <c r="C46" s="54"/>
      <c r="D46" s="13"/>
      <c r="E46" s="14"/>
      <c r="F46" s="12"/>
      <c r="G46" s="15"/>
      <c r="H46" s="1"/>
      <c r="I46" s="25"/>
      <c r="J46" s="27"/>
      <c r="K46" s="19"/>
    </row>
    <row r="47" spans="1:11">
      <c r="A47" s="11"/>
      <c r="B47" s="54"/>
      <c r="C47" s="54"/>
      <c r="D47" s="13"/>
      <c r="E47" s="14"/>
      <c r="F47" s="12"/>
      <c r="G47" s="15"/>
      <c r="H47" s="1"/>
      <c r="I47" s="30"/>
      <c r="J47" s="23"/>
      <c r="K47" s="625">
        <f>SUM(K6:K46)</f>
        <v>159495000</v>
      </c>
    </row>
    <row r="48" spans="1:11">
      <c r="A48" s="11"/>
      <c r="B48" s="54"/>
      <c r="C48" s="54"/>
      <c r="D48" s="13"/>
      <c r="E48" s="14"/>
      <c r="F48" s="12"/>
      <c r="G48" s="15"/>
      <c r="H48" s="1"/>
      <c r="I48" s="26"/>
      <c r="J48" s="1"/>
      <c r="K48" s="1"/>
    </row>
    <row r="49" spans="1:11">
      <c r="A49" s="11"/>
      <c r="B49" s="54"/>
      <c r="C49" s="54"/>
      <c r="D49" s="13"/>
      <c r="E49" s="14"/>
      <c r="F49" s="12"/>
      <c r="G49" s="15"/>
      <c r="H49" s="1"/>
      <c r="I49" s="26"/>
      <c r="J49" s="1"/>
      <c r="K49" s="1"/>
    </row>
    <row r="50" spans="1:11">
      <c r="A50" s="11"/>
      <c r="B50" s="54"/>
      <c r="C50" s="54"/>
      <c r="D50" s="13"/>
      <c r="E50" s="14"/>
      <c r="F50" s="12"/>
      <c r="G50" s="15"/>
      <c r="H50" s="1"/>
      <c r="I50" s="26"/>
      <c r="J50" s="1"/>
      <c r="K50" s="1"/>
    </row>
    <row r="51" spans="1:11">
      <c r="A51" s="66"/>
      <c r="B51" s="590"/>
      <c r="C51" s="590"/>
      <c r="D51" s="13"/>
      <c r="E51" s="14"/>
      <c r="F51" s="67"/>
      <c r="G51" s="587"/>
      <c r="H51" s="1"/>
      <c r="I51" s="26"/>
      <c r="J51" s="1"/>
      <c r="K51" s="1"/>
    </row>
    <row r="52" spans="1:11">
      <c r="A52" s="11"/>
      <c r="B52" s="54"/>
      <c r="C52" s="54"/>
      <c r="D52" s="13"/>
      <c r="E52" s="14"/>
      <c r="F52" s="12"/>
      <c r="G52" s="15"/>
      <c r="H52" s="1"/>
      <c r="I52" s="26"/>
      <c r="J52" s="1"/>
      <c r="K52" s="1"/>
    </row>
    <row r="53" spans="1:11">
      <c r="A53" s="11"/>
      <c r="B53" s="54"/>
      <c r="C53" s="54"/>
      <c r="D53" s="13"/>
      <c r="E53" s="14"/>
      <c r="F53" s="12"/>
      <c r="G53" s="15"/>
      <c r="H53" s="1"/>
      <c r="I53" s="26"/>
      <c r="J53" s="1"/>
      <c r="K53" s="1"/>
    </row>
    <row r="54" spans="1:11" ht="15.75">
      <c r="A54" s="11"/>
      <c r="B54" s="54"/>
      <c r="C54" s="54"/>
      <c r="D54" s="13"/>
      <c r="E54" s="14"/>
      <c r="F54" s="12"/>
      <c r="G54" s="15"/>
      <c r="H54" s="1"/>
      <c r="I54" s="32" t="s">
        <v>27</v>
      </c>
      <c r="J54" s="607" t="s">
        <v>28</v>
      </c>
      <c r="K54" s="592">
        <f>B56+C56</f>
        <v>240720000</v>
      </c>
    </row>
    <row r="55" spans="1:11" ht="15.75">
      <c r="A55" s="65"/>
      <c r="B55" s="54"/>
      <c r="C55" s="54"/>
      <c r="D55" s="13"/>
      <c r="E55" s="14"/>
      <c r="F55" s="12"/>
      <c r="G55" s="15"/>
      <c r="H55" s="1"/>
      <c r="I55" s="35"/>
      <c r="J55" s="608" t="s">
        <v>29</v>
      </c>
      <c r="K55" s="604">
        <v>56290000</v>
      </c>
    </row>
    <row r="56" spans="1:11" ht="15.75">
      <c r="A56" s="11"/>
      <c r="B56" s="41">
        <f t="shared" ref="B56:G56" si="11">SUM(B6:B55)</f>
        <v>134180000</v>
      </c>
      <c r="C56" s="41">
        <f t="shared" si="11"/>
        <v>106540000</v>
      </c>
      <c r="D56" s="42">
        <f t="shared" si="11"/>
        <v>240720000</v>
      </c>
      <c r="E56" s="43">
        <f t="shared" si="11"/>
        <v>56290000</v>
      </c>
      <c r="F56" s="44">
        <f t="shared" si="11"/>
        <v>184430000</v>
      </c>
      <c r="G56" s="45">
        <f t="shared" si="11"/>
        <v>50250000</v>
      </c>
      <c r="H56" s="38"/>
      <c r="I56" s="35"/>
      <c r="J56" s="608" t="s">
        <v>30</v>
      </c>
      <c r="K56" s="604">
        <v>159495000</v>
      </c>
    </row>
    <row r="57" spans="1:11" ht="15.75">
      <c r="A57" s="1"/>
      <c r="B57" s="1"/>
      <c r="C57" s="1"/>
      <c r="D57" s="1"/>
      <c r="E57" s="1"/>
      <c r="F57" s="1"/>
      <c r="G57" s="1"/>
      <c r="H57" s="1"/>
      <c r="I57" s="35"/>
      <c r="J57" s="608" t="s">
        <v>31</v>
      </c>
      <c r="K57" s="37">
        <f>K55+K56</f>
        <v>215785000</v>
      </c>
    </row>
    <row r="58" spans="1:11" ht="15.75">
      <c r="A58" s="1"/>
      <c r="B58" s="1"/>
      <c r="C58" s="1"/>
      <c r="D58" s="1"/>
      <c r="E58" s="1"/>
      <c r="F58" s="1"/>
      <c r="G58" s="1"/>
      <c r="H58" s="1"/>
      <c r="I58" s="35"/>
      <c r="J58" s="39"/>
      <c r="K58" s="34"/>
    </row>
    <row r="59" spans="1:11" ht="18">
      <c r="A59" s="1"/>
      <c r="B59" s="1"/>
      <c r="C59" s="1"/>
      <c r="D59" s="1"/>
      <c r="E59" s="1"/>
      <c r="F59" s="1"/>
      <c r="G59" s="1"/>
      <c r="H59" s="1"/>
      <c r="I59" s="658" t="s">
        <v>178</v>
      </c>
      <c r="J59" s="658"/>
      <c r="K59" s="40">
        <f>K54-K57</f>
        <v>24935000</v>
      </c>
    </row>
  </sheetData>
  <mergeCells count="7">
    <mergeCell ref="I59:J59"/>
    <mergeCell ref="A4:A5"/>
    <mergeCell ref="B4:C4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0"/>
  <sheetViews>
    <sheetView topLeftCell="D26" workbookViewId="0">
      <selection activeCell="K50" sqref="K50"/>
    </sheetView>
  </sheetViews>
  <sheetFormatPr defaultRowHeight="15"/>
  <cols>
    <col min="1" max="1" width="7.140625" customWidth="1"/>
    <col min="2" max="2" width="13.7109375" customWidth="1"/>
    <col min="3" max="3" width="14.5703125" customWidth="1"/>
    <col min="4" max="4" width="15.140625" customWidth="1"/>
    <col min="5" max="5" width="15.42578125" customWidth="1"/>
    <col min="6" max="6" width="15.7109375" customWidth="1"/>
    <col min="7" max="7" width="15.140625" customWidth="1"/>
    <col min="10" max="10" width="7.140625" customWidth="1"/>
    <col min="11" max="11" width="54.5703125" customWidth="1"/>
    <col min="12" max="12" width="17.5703125" customWidth="1"/>
  </cols>
  <sheetData>
    <row r="1" spans="1:13">
      <c r="A1" s="734" t="s">
        <v>262</v>
      </c>
      <c r="B1" s="735"/>
      <c r="C1" s="735"/>
      <c r="D1" s="735"/>
      <c r="E1" s="735"/>
      <c r="F1" s="520"/>
      <c r="G1" s="520"/>
      <c r="H1" s="520"/>
      <c r="I1" s="520"/>
      <c r="J1" s="520"/>
      <c r="K1" s="520"/>
      <c r="L1" s="520"/>
      <c r="M1" s="520"/>
    </row>
    <row r="2" spans="1:13">
      <c r="A2" s="736"/>
      <c r="B2" s="736"/>
      <c r="C2" s="736"/>
      <c r="D2" s="736"/>
      <c r="E2" s="736"/>
      <c r="F2" s="520"/>
      <c r="G2" s="520"/>
      <c r="H2" s="520"/>
      <c r="I2" s="520"/>
      <c r="J2" s="520"/>
      <c r="K2" s="520"/>
      <c r="L2" s="520"/>
      <c r="M2" s="520"/>
    </row>
    <row r="3" spans="1:13" ht="15.75">
      <c r="A3" s="737" t="s">
        <v>1</v>
      </c>
      <c r="B3" s="739" t="s">
        <v>2</v>
      </c>
      <c r="C3" s="740"/>
      <c r="D3" s="741" t="s">
        <v>3</v>
      </c>
      <c r="E3" s="731" t="s">
        <v>4</v>
      </c>
      <c r="F3" s="741" t="s">
        <v>5</v>
      </c>
      <c r="G3" s="731" t="s">
        <v>6</v>
      </c>
      <c r="H3" s="521"/>
      <c r="I3" s="522"/>
      <c r="J3" s="523" t="s">
        <v>7</v>
      </c>
      <c r="K3" s="524"/>
      <c r="L3" s="525"/>
      <c r="M3" s="520"/>
    </row>
    <row r="4" spans="1:13" ht="15.75">
      <c r="A4" s="738"/>
      <c r="B4" s="526" t="s">
        <v>8</v>
      </c>
      <c r="C4" s="640" t="s">
        <v>9</v>
      </c>
      <c r="D4" s="742"/>
      <c r="E4" s="732"/>
      <c r="F4" s="742"/>
      <c r="G4" s="732"/>
      <c r="H4" s="521"/>
      <c r="I4" s="522"/>
      <c r="J4" s="528" t="s">
        <v>1</v>
      </c>
      <c r="K4" s="529" t="s">
        <v>10</v>
      </c>
      <c r="L4" s="530" t="s">
        <v>11</v>
      </c>
      <c r="M4" s="520"/>
    </row>
    <row r="5" spans="1:13" ht="14.25" customHeight="1">
      <c r="A5" s="576">
        <v>44562</v>
      </c>
      <c r="B5" s="579"/>
      <c r="C5" s="579"/>
      <c r="D5" s="579"/>
      <c r="E5" s="579"/>
      <c r="F5" s="579"/>
      <c r="G5" s="579"/>
      <c r="H5" s="643"/>
      <c r="I5" s="525"/>
      <c r="J5" s="531">
        <v>44930</v>
      </c>
      <c r="K5" s="537" t="s">
        <v>221</v>
      </c>
      <c r="L5" s="538">
        <v>600000</v>
      </c>
      <c r="M5" s="520"/>
    </row>
    <row r="6" spans="1:13">
      <c r="A6" s="641">
        <v>44563</v>
      </c>
      <c r="B6" s="642">
        <v>5200000</v>
      </c>
      <c r="C6" s="642">
        <v>1050000</v>
      </c>
      <c r="D6" s="646">
        <f>B6+C6</f>
        <v>6250000</v>
      </c>
      <c r="E6" s="648">
        <v>3185000</v>
      </c>
      <c r="F6" s="642">
        <f>D6-E6</f>
        <v>3065000</v>
      </c>
      <c r="G6" s="650">
        <f>C6-E6</f>
        <v>-2135000</v>
      </c>
      <c r="H6" s="643"/>
      <c r="I6" s="525"/>
      <c r="J6" s="539">
        <v>44930</v>
      </c>
      <c r="K6" s="655" t="s">
        <v>264</v>
      </c>
      <c r="L6" s="541">
        <v>28000000</v>
      </c>
      <c r="M6" s="520"/>
    </row>
    <row r="7" spans="1:13">
      <c r="A7" s="531">
        <v>44564</v>
      </c>
      <c r="B7" s="532">
        <v>16380000</v>
      </c>
      <c r="C7" s="532">
        <v>2500000</v>
      </c>
      <c r="D7" s="646">
        <f>B7+C7</f>
        <v>18880000</v>
      </c>
      <c r="E7" s="648">
        <v>3955000</v>
      </c>
      <c r="F7" s="532">
        <f>D7-E7</f>
        <v>14925000</v>
      </c>
      <c r="G7" s="650">
        <f>C7-E7</f>
        <v>-1455000</v>
      </c>
      <c r="H7" s="536"/>
      <c r="I7" s="542"/>
      <c r="J7" s="539"/>
      <c r="K7" s="540"/>
      <c r="L7" s="541"/>
      <c r="M7" s="520"/>
    </row>
    <row r="8" spans="1:13">
      <c r="A8" s="531">
        <v>44565</v>
      </c>
      <c r="B8" s="532">
        <v>4250000</v>
      </c>
      <c r="C8" s="532">
        <v>425000</v>
      </c>
      <c r="D8" s="646">
        <f>B8+C8</f>
        <v>4675000</v>
      </c>
      <c r="E8" s="648">
        <v>2315000</v>
      </c>
      <c r="F8" s="532">
        <f>D8-E8</f>
        <v>2360000</v>
      </c>
      <c r="G8" s="650">
        <f>C8-E8</f>
        <v>-1890000</v>
      </c>
      <c r="H8" s="536"/>
      <c r="I8" s="525"/>
      <c r="J8" s="543"/>
      <c r="K8" s="544"/>
      <c r="L8" s="541"/>
      <c r="M8" s="520"/>
    </row>
    <row r="9" spans="1:13">
      <c r="A9" s="531">
        <v>44566</v>
      </c>
      <c r="B9" s="532"/>
      <c r="C9" s="532">
        <v>500000</v>
      </c>
      <c r="D9" s="646">
        <v>500000</v>
      </c>
      <c r="E9" s="648">
        <v>2925000</v>
      </c>
      <c r="F9" s="532">
        <f>D9-E9</f>
        <v>-2425000</v>
      </c>
      <c r="G9" s="650">
        <f>C9-E9</f>
        <v>-2425000</v>
      </c>
      <c r="H9" s="536"/>
      <c r="I9" s="545"/>
      <c r="J9" s="543"/>
      <c r="K9" s="581"/>
      <c r="L9" s="541"/>
      <c r="M9" s="520"/>
    </row>
    <row r="10" spans="1:13">
      <c r="A10" s="531">
        <v>44567</v>
      </c>
      <c r="B10" s="532">
        <v>2800000</v>
      </c>
      <c r="C10" s="532">
        <v>450000</v>
      </c>
      <c r="D10" s="646">
        <f>B10+C10</f>
        <v>3250000</v>
      </c>
      <c r="E10" s="648">
        <v>1365000</v>
      </c>
      <c r="F10" s="532">
        <f>D10-E10</f>
        <v>1885000</v>
      </c>
      <c r="G10" s="650">
        <f>C10-E10</f>
        <v>-915000</v>
      </c>
      <c r="H10" s="536"/>
      <c r="I10" s="545"/>
      <c r="J10" s="531"/>
      <c r="K10" s="540"/>
      <c r="L10" s="541"/>
      <c r="M10" s="520"/>
    </row>
    <row r="11" spans="1:13">
      <c r="A11" s="531">
        <v>44568</v>
      </c>
      <c r="B11" s="532"/>
      <c r="C11" s="532"/>
      <c r="D11" s="646"/>
      <c r="E11" s="648"/>
      <c r="F11" s="532"/>
      <c r="G11" s="650"/>
      <c r="H11" s="536"/>
      <c r="I11" s="525"/>
      <c r="J11" s="531"/>
      <c r="K11" s="544"/>
      <c r="L11" s="541"/>
      <c r="M11" s="520"/>
    </row>
    <row r="12" spans="1:13" ht="12.75" customHeight="1">
      <c r="A12" s="531">
        <v>44569</v>
      </c>
      <c r="B12" s="532"/>
      <c r="C12" s="532"/>
      <c r="D12" s="646"/>
      <c r="E12" s="648"/>
      <c r="F12" s="532"/>
      <c r="G12" s="650"/>
      <c r="H12" s="536"/>
      <c r="I12" s="525"/>
      <c r="J12" s="531"/>
      <c r="K12" s="537"/>
      <c r="L12" s="541"/>
      <c r="M12" s="520"/>
    </row>
    <row r="13" spans="1:13" ht="14.25" customHeight="1">
      <c r="A13" s="641">
        <v>44570</v>
      </c>
      <c r="B13" s="642"/>
      <c r="C13" s="642"/>
      <c r="D13" s="646"/>
      <c r="E13" s="648"/>
      <c r="F13" s="642"/>
      <c r="G13" s="650"/>
      <c r="H13" s="644"/>
      <c r="I13" s="525"/>
      <c r="J13" s="531"/>
      <c r="K13" s="548"/>
      <c r="L13" s="541"/>
      <c r="M13" s="520"/>
    </row>
    <row r="14" spans="1:13" ht="13.5" customHeight="1">
      <c r="A14" s="531">
        <v>44571</v>
      </c>
      <c r="B14" s="532"/>
      <c r="C14" s="532"/>
      <c r="D14" s="646"/>
      <c r="E14" s="648"/>
      <c r="F14" s="532"/>
      <c r="G14" s="650"/>
      <c r="H14" s="547"/>
      <c r="I14" s="545"/>
      <c r="J14" s="531"/>
      <c r="K14" s="548"/>
      <c r="L14" s="541"/>
      <c r="M14" s="520"/>
    </row>
    <row r="15" spans="1:13" ht="13.5" customHeight="1">
      <c r="A15" s="531">
        <v>44572</v>
      </c>
      <c r="B15" s="532"/>
      <c r="C15" s="532"/>
      <c r="D15" s="646"/>
      <c r="E15" s="648"/>
      <c r="F15" s="532"/>
      <c r="G15" s="650"/>
      <c r="H15" s="547"/>
      <c r="I15" s="549"/>
      <c r="J15" s="550"/>
      <c r="K15" s="582"/>
      <c r="L15" s="583"/>
      <c r="M15" s="551"/>
    </row>
    <row r="16" spans="1:13" ht="13.5" customHeight="1">
      <c r="A16" s="531">
        <v>44573</v>
      </c>
      <c r="B16" s="532"/>
      <c r="C16" s="532"/>
      <c r="D16" s="646"/>
      <c r="E16" s="648"/>
      <c r="F16" s="532"/>
      <c r="G16" s="650"/>
      <c r="H16" s="547"/>
      <c r="I16" s="549"/>
      <c r="J16" s="531"/>
      <c r="K16" s="548"/>
      <c r="L16" s="541"/>
      <c r="M16" s="551"/>
    </row>
    <row r="17" spans="1:13" ht="14.25" customHeight="1">
      <c r="A17" s="531">
        <v>44574</v>
      </c>
      <c r="B17" s="532"/>
      <c r="C17" s="532"/>
      <c r="D17" s="646"/>
      <c r="E17" s="648"/>
      <c r="F17" s="532"/>
      <c r="G17" s="650"/>
      <c r="H17" s="547"/>
      <c r="I17" s="552"/>
      <c r="J17" s="531"/>
      <c r="K17" s="546"/>
      <c r="L17" s="541"/>
      <c r="M17" s="520"/>
    </row>
    <row r="18" spans="1:13">
      <c r="A18" s="531">
        <v>44575</v>
      </c>
      <c r="B18" s="532"/>
      <c r="C18" s="532"/>
      <c r="D18" s="646"/>
      <c r="E18" s="648"/>
      <c r="F18" s="532"/>
      <c r="G18" s="650"/>
      <c r="H18" s="547"/>
      <c r="I18" s="552"/>
      <c r="J18" s="550"/>
      <c r="K18" s="553"/>
      <c r="L18" s="541"/>
      <c r="M18" s="520"/>
    </row>
    <row r="19" spans="1:13">
      <c r="A19" s="531">
        <v>44576</v>
      </c>
      <c r="B19" s="532"/>
      <c r="C19" s="532"/>
      <c r="D19" s="646"/>
      <c r="E19" s="648"/>
      <c r="F19" s="532"/>
      <c r="G19" s="650"/>
      <c r="H19" s="547"/>
      <c r="I19" s="554"/>
      <c r="J19" s="555"/>
      <c r="K19" s="546"/>
      <c r="L19" s="541"/>
      <c r="M19" s="520"/>
    </row>
    <row r="20" spans="1:13">
      <c r="A20" s="641">
        <v>44577</v>
      </c>
      <c r="B20" s="642"/>
      <c r="C20" s="642"/>
      <c r="D20" s="646"/>
      <c r="E20" s="648"/>
      <c r="F20" s="642"/>
      <c r="G20" s="650"/>
      <c r="H20" s="643"/>
      <c r="I20" s="552"/>
      <c r="J20" s="550"/>
      <c r="K20" s="553"/>
      <c r="L20" s="541"/>
      <c r="M20" s="520"/>
    </row>
    <row r="21" spans="1:13">
      <c r="A21" s="531">
        <v>44578</v>
      </c>
      <c r="B21" s="532"/>
      <c r="C21" s="532"/>
      <c r="D21" s="646"/>
      <c r="E21" s="648"/>
      <c r="F21" s="532"/>
      <c r="G21" s="650"/>
      <c r="H21" s="536"/>
      <c r="I21" s="552"/>
      <c r="J21" s="550"/>
      <c r="K21" s="553"/>
      <c r="L21" s="541"/>
      <c r="M21" s="520"/>
    </row>
    <row r="22" spans="1:13">
      <c r="A22" s="531">
        <v>44579</v>
      </c>
      <c r="B22" s="532"/>
      <c r="C22" s="532"/>
      <c r="D22" s="646"/>
      <c r="E22" s="648"/>
      <c r="F22" s="532"/>
      <c r="G22" s="650"/>
      <c r="H22" s="536"/>
      <c r="I22" s="554"/>
      <c r="J22" s="550"/>
      <c r="K22" s="553"/>
      <c r="L22" s="541"/>
      <c r="M22" s="556"/>
    </row>
    <row r="23" spans="1:13">
      <c r="A23" s="531">
        <v>44580</v>
      </c>
      <c r="B23" s="532"/>
      <c r="C23" s="532"/>
      <c r="D23" s="646"/>
      <c r="E23" s="648"/>
      <c r="F23" s="532"/>
      <c r="G23" s="650"/>
      <c r="H23" s="536"/>
      <c r="I23" s="552"/>
      <c r="J23" s="550"/>
      <c r="K23" s="553"/>
      <c r="L23" s="541"/>
      <c r="M23" s="520"/>
    </row>
    <row r="24" spans="1:13">
      <c r="A24" s="531">
        <v>44581</v>
      </c>
      <c r="B24" s="532"/>
      <c r="C24" s="532"/>
      <c r="D24" s="646"/>
      <c r="E24" s="648"/>
      <c r="F24" s="532"/>
      <c r="G24" s="650"/>
      <c r="H24" s="557"/>
      <c r="I24" s="552"/>
      <c r="J24" s="550"/>
      <c r="K24" s="553"/>
      <c r="L24" s="541"/>
      <c r="M24" s="520"/>
    </row>
    <row r="25" spans="1:13">
      <c r="A25" s="531">
        <v>44582</v>
      </c>
      <c r="B25" s="532"/>
      <c r="C25" s="532"/>
      <c r="D25" s="646"/>
      <c r="E25" s="648"/>
      <c r="F25" s="532"/>
      <c r="G25" s="650"/>
      <c r="H25" s="536"/>
      <c r="I25" s="552"/>
      <c r="J25" s="550"/>
      <c r="K25" s="553"/>
      <c r="L25" s="541"/>
      <c r="M25" s="520"/>
    </row>
    <row r="26" spans="1:13">
      <c r="A26" s="531">
        <v>44583</v>
      </c>
      <c r="B26" s="532"/>
      <c r="C26" s="532"/>
      <c r="D26" s="646"/>
      <c r="E26" s="648"/>
      <c r="F26" s="532"/>
      <c r="G26" s="650"/>
      <c r="H26" s="536"/>
      <c r="I26" s="552"/>
      <c r="J26" s="550"/>
      <c r="K26" s="553"/>
      <c r="L26" s="541"/>
      <c r="M26" s="520"/>
    </row>
    <row r="27" spans="1:13">
      <c r="A27" s="641">
        <v>44584</v>
      </c>
      <c r="B27" s="642"/>
      <c r="C27" s="642"/>
      <c r="D27" s="646"/>
      <c r="E27" s="648"/>
      <c r="F27" s="642"/>
      <c r="G27" s="650"/>
      <c r="H27" s="643"/>
      <c r="I27" s="552"/>
      <c r="J27" s="550"/>
      <c r="K27" s="553"/>
      <c r="L27" s="541"/>
      <c r="M27" s="520"/>
    </row>
    <row r="28" spans="1:13">
      <c r="A28" s="531">
        <v>44585</v>
      </c>
      <c r="B28" s="532"/>
      <c r="C28" s="532"/>
      <c r="D28" s="646"/>
      <c r="E28" s="648"/>
      <c r="F28" s="532"/>
      <c r="G28" s="650"/>
      <c r="H28" s="536"/>
      <c r="I28" s="552"/>
      <c r="J28" s="550"/>
      <c r="K28" s="553"/>
      <c r="L28" s="541"/>
      <c r="M28" s="520"/>
    </row>
    <row r="29" spans="1:13">
      <c r="A29" s="531">
        <v>44586</v>
      </c>
      <c r="B29" s="532"/>
      <c r="C29" s="532"/>
      <c r="D29" s="646"/>
      <c r="E29" s="648"/>
      <c r="F29" s="532"/>
      <c r="G29" s="650"/>
      <c r="H29" s="536"/>
      <c r="I29" s="552"/>
      <c r="J29" s="558"/>
      <c r="K29" s="546"/>
      <c r="L29" s="654">
        <f>SUM(L5:L28)</f>
        <v>28600000</v>
      </c>
      <c r="M29" s="520"/>
    </row>
    <row r="30" spans="1:13">
      <c r="A30" s="531">
        <v>44587</v>
      </c>
      <c r="B30" s="532"/>
      <c r="C30" s="532"/>
      <c r="D30" s="646"/>
      <c r="E30" s="648"/>
      <c r="F30" s="532"/>
      <c r="G30" s="650"/>
      <c r="H30" s="536"/>
      <c r="I30" s="552"/>
      <c r="J30" s="551"/>
      <c r="K30" s="520"/>
      <c r="L30" s="520"/>
      <c r="M30" s="520"/>
    </row>
    <row r="31" spans="1:13" ht="15.75">
      <c r="A31" s="531">
        <v>44588</v>
      </c>
      <c r="B31" s="532"/>
      <c r="C31" s="532"/>
      <c r="D31" s="646"/>
      <c r="E31" s="648"/>
      <c r="F31" s="532"/>
      <c r="G31" s="650"/>
      <c r="H31" s="536"/>
      <c r="I31" s="552"/>
      <c r="J31" s="560" t="s">
        <v>27</v>
      </c>
      <c r="K31" s="561" t="s">
        <v>28</v>
      </c>
      <c r="L31" s="652">
        <f>B38+C38</f>
        <v>33555000</v>
      </c>
      <c r="M31" s="520"/>
    </row>
    <row r="32" spans="1:13" ht="15.75">
      <c r="A32" s="531">
        <v>44589</v>
      </c>
      <c r="B32" s="532"/>
      <c r="C32" s="532"/>
      <c r="D32" s="646"/>
      <c r="E32" s="648"/>
      <c r="F32" s="532"/>
      <c r="G32" s="650"/>
      <c r="H32" s="536"/>
      <c r="I32" s="563"/>
      <c r="J32" s="564"/>
      <c r="K32" s="565" t="s">
        <v>29</v>
      </c>
      <c r="L32" s="653">
        <v>13745000</v>
      </c>
      <c r="M32" s="567"/>
    </row>
    <row r="33" spans="1:12" ht="15.75">
      <c r="A33" s="531">
        <v>44590</v>
      </c>
      <c r="B33" s="532"/>
      <c r="C33" s="532"/>
      <c r="D33" s="646"/>
      <c r="E33" s="648"/>
      <c r="F33" s="532"/>
      <c r="G33" s="650"/>
      <c r="H33" s="536"/>
      <c r="I33" s="552"/>
      <c r="J33" s="564"/>
      <c r="K33" s="565" t="s">
        <v>30</v>
      </c>
      <c r="L33" s="653">
        <v>28600000</v>
      </c>
    </row>
    <row r="34" spans="1:12" ht="15.75">
      <c r="A34" s="641">
        <v>44591</v>
      </c>
      <c r="B34" s="642"/>
      <c r="C34" s="642"/>
      <c r="D34" s="646"/>
      <c r="E34" s="648"/>
      <c r="F34" s="642"/>
      <c r="G34" s="650"/>
      <c r="H34" s="643"/>
      <c r="I34" s="552"/>
      <c r="J34" s="564"/>
      <c r="K34" s="565" t="s">
        <v>31</v>
      </c>
      <c r="L34" s="566">
        <f>L32+L33</f>
        <v>42345000</v>
      </c>
    </row>
    <row r="35" spans="1:12" ht="15.75">
      <c r="A35" s="531">
        <v>44592</v>
      </c>
      <c r="B35" s="532"/>
      <c r="C35" s="532"/>
      <c r="D35" s="646"/>
      <c r="E35" s="648"/>
      <c r="F35" s="532"/>
      <c r="G35" s="650"/>
      <c r="H35" s="536"/>
      <c r="I35" s="552"/>
      <c r="J35" s="564"/>
      <c r="K35" s="568"/>
      <c r="L35" s="562"/>
    </row>
    <row r="36" spans="1:12" ht="18">
      <c r="A36" s="531"/>
      <c r="B36" s="532"/>
      <c r="C36" s="532"/>
      <c r="D36" s="646"/>
      <c r="E36" s="648"/>
      <c r="F36" s="532"/>
      <c r="G36" s="650"/>
      <c r="H36" s="536"/>
      <c r="I36" s="552"/>
      <c r="J36" s="733" t="s">
        <v>263</v>
      </c>
      <c r="K36" s="733"/>
      <c r="L36" s="569">
        <f>L31-L34</f>
        <v>-8790000</v>
      </c>
    </row>
    <row r="37" spans="1:12">
      <c r="A37" s="531"/>
      <c r="B37" s="532"/>
      <c r="C37" s="532"/>
      <c r="D37" s="646"/>
      <c r="E37" s="648"/>
      <c r="F37" s="532"/>
      <c r="G37" s="650"/>
      <c r="H37" s="536"/>
      <c r="I37" s="520"/>
      <c r="J37" s="552"/>
      <c r="K37" s="552"/>
      <c r="L37" s="520"/>
    </row>
    <row r="38" spans="1:12">
      <c r="A38" s="531"/>
      <c r="B38" s="570">
        <f t="shared" ref="B38:G38" si="0">SUM(B5:B37)</f>
        <v>28630000</v>
      </c>
      <c r="C38" s="570">
        <f t="shared" si="0"/>
        <v>4925000</v>
      </c>
      <c r="D38" s="647">
        <f t="shared" si="0"/>
        <v>33555000</v>
      </c>
      <c r="E38" s="649">
        <f t="shared" si="0"/>
        <v>13745000</v>
      </c>
      <c r="F38" s="645">
        <f t="shared" si="0"/>
        <v>19810000</v>
      </c>
      <c r="G38" s="651">
        <f t="shared" si="0"/>
        <v>-8820000</v>
      </c>
      <c r="H38" s="552"/>
      <c r="I38" s="520"/>
      <c r="J38" s="520"/>
      <c r="K38" s="520"/>
      <c r="L38" s="520"/>
    </row>
    <row r="39" spans="1:12">
      <c r="A39" s="520"/>
      <c r="B39" s="520"/>
      <c r="C39" s="520"/>
      <c r="D39" s="575"/>
      <c r="E39" s="520"/>
      <c r="F39" s="520"/>
      <c r="G39" s="520"/>
      <c r="H39" s="552"/>
      <c r="I39" s="520"/>
      <c r="J39" s="520"/>
      <c r="K39" s="520"/>
      <c r="L39" s="520"/>
    </row>
    <row r="40" spans="1:12">
      <c r="A40" s="520"/>
      <c r="B40" s="520"/>
      <c r="C40" s="520"/>
      <c r="D40" s="520"/>
      <c r="E40" s="520"/>
      <c r="F40" s="520"/>
      <c r="G40" s="520"/>
      <c r="H40" s="552"/>
      <c r="I40" s="520"/>
      <c r="J40" s="520"/>
      <c r="K40" s="520"/>
      <c r="L40" s="575"/>
    </row>
  </sheetData>
  <mergeCells count="8">
    <mergeCell ref="G3:G4"/>
    <mergeCell ref="J36:K36"/>
    <mergeCell ref="A1:E2"/>
    <mergeCell ref="A3:A4"/>
    <mergeCell ref="B3:C3"/>
    <mergeCell ref="D3:D4"/>
    <mergeCell ref="E3:E4"/>
    <mergeCell ref="F3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AGUSTUS</vt:lpstr>
      <vt:lpstr>JULI</vt:lpstr>
      <vt:lpstr>JUNI</vt:lpstr>
      <vt:lpstr>Sheet4</vt:lpstr>
      <vt:lpstr>Sheet5</vt:lpstr>
      <vt:lpstr>MEI</vt:lpstr>
      <vt:lpstr>APRIL</vt:lpstr>
      <vt:lpstr>MARET</vt:lpstr>
      <vt:lpstr>FEBRUARI</vt:lpstr>
      <vt:lpstr>JANUARI</vt:lpstr>
      <vt:lpstr>SEPTEMBER</vt:lpstr>
      <vt:lpstr>OKTOBER</vt:lpstr>
      <vt:lpstr>NOVEMBER</vt:lpstr>
      <vt:lpstr>DESEMBER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veret</dc:creator>
  <cp:lastModifiedBy>user</cp:lastModifiedBy>
  <cp:lastPrinted>2023-01-02T08:13:20Z</cp:lastPrinted>
  <dcterms:created xsi:type="dcterms:W3CDTF">2022-09-05T10:23:52Z</dcterms:created>
  <dcterms:modified xsi:type="dcterms:W3CDTF">2023-08-31T04:48:20Z</dcterms:modified>
</cp:coreProperties>
</file>