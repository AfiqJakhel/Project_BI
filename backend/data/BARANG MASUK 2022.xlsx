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720" yWindow="615" windowWidth="19635" windowHeight="7425" firstSheet="1" activeTab="11"/>
  </bookViews>
  <sheets>
    <sheet name="JANUARI" sheetId="1" r:id="rId1"/>
    <sheet name="FEBRUARI" sheetId="2" r:id="rId2"/>
    <sheet name="MARET" sheetId="3" r:id="rId3"/>
    <sheet name="APRIL" sheetId="5" r:id="rId4"/>
    <sheet name="MEI" sheetId="6" r:id="rId5"/>
    <sheet name="JUNI" sheetId="7" r:id="rId6"/>
    <sheet name="JULI" sheetId="8" r:id="rId7"/>
    <sheet name="AGUSTUS" sheetId="9" r:id="rId8"/>
    <sheet name="SEPTEMBER" sheetId="10" r:id="rId9"/>
    <sheet name="OKTOBER" sheetId="11" r:id="rId10"/>
    <sheet name="NOVEMBER" sheetId="12" r:id="rId11"/>
    <sheet name="DESEMBER" sheetId="13" r:id="rId12"/>
  </sheets>
  <calcPr calcId="124519"/>
</workbook>
</file>

<file path=xl/calcChain.xml><?xml version="1.0" encoding="utf-8"?>
<calcChain xmlns="http://schemas.openxmlformats.org/spreadsheetml/2006/main">
  <c r="I27" i="12"/>
  <c r="P20" i="6"/>
  <c r="N22" i="5"/>
  <c r="N29" i="3"/>
  <c r="H45" i="1"/>
  <c r="S11" i="3"/>
  <c r="G36" i="2"/>
  <c r="G22"/>
  <c r="G23"/>
  <c r="G24"/>
  <c r="G25"/>
  <c r="G26"/>
  <c r="G27"/>
  <c r="G28"/>
  <c r="G30"/>
  <c r="G31"/>
  <c r="G32"/>
  <c r="G33"/>
  <c r="G21"/>
  <c r="G20"/>
  <c r="G18"/>
  <c r="G35"/>
  <c r="H35" s="1"/>
  <c r="G34"/>
  <c r="H34" s="1"/>
  <c r="G13"/>
  <c r="G14"/>
  <c r="G15"/>
  <c r="G16"/>
  <c r="G17"/>
  <c r="G12"/>
  <c r="G11"/>
  <c r="G10"/>
  <c r="G4"/>
  <c r="G5"/>
  <c r="G6"/>
  <c r="G7"/>
  <c r="G8"/>
  <c r="G9"/>
  <c r="G3"/>
  <c r="G98" i="1"/>
  <c r="G97"/>
  <c r="G96"/>
  <c r="H99" s="1"/>
  <c r="G95"/>
  <c r="G94"/>
  <c r="G93"/>
  <c r="G92"/>
  <c r="G91"/>
  <c r="G90"/>
  <c r="H93" s="1"/>
  <c r="G89"/>
  <c r="H92" s="1"/>
  <c r="H3" i="2" l="1"/>
  <c r="H10"/>
  <c r="G81" i="1"/>
  <c r="G82"/>
  <c r="G83"/>
  <c r="G84"/>
  <c r="G85"/>
  <c r="G86"/>
  <c r="G87"/>
  <c r="G88"/>
  <c r="G80"/>
  <c r="G79"/>
  <c r="G78"/>
  <c r="G77"/>
  <c r="G76"/>
  <c r="G75"/>
  <c r="G74"/>
  <c r="G73"/>
  <c r="G72"/>
  <c r="G71"/>
  <c r="G70"/>
  <c r="H73" s="1"/>
  <c r="G69"/>
  <c r="H72" s="1"/>
  <c r="G68"/>
  <c r="G66"/>
  <c r="G64"/>
  <c r="G65"/>
  <c r="G61"/>
  <c r="G62"/>
  <c r="G63"/>
  <c r="H82" l="1"/>
  <c r="H67"/>
  <c r="H64"/>
  <c r="H70"/>
  <c r="G60"/>
  <c r="G59"/>
  <c r="Q15"/>
  <c r="Q13" i="2"/>
  <c r="V17" i="3"/>
  <c r="G58" i="1"/>
  <c r="G47"/>
  <c r="G48"/>
  <c r="G49"/>
  <c r="G50"/>
  <c r="G51"/>
  <c r="G52"/>
  <c r="G53"/>
  <c r="G54"/>
  <c r="G55"/>
  <c r="G56"/>
  <c r="G57"/>
  <c r="G46"/>
  <c r="H49" l="1"/>
  <c r="Q16" i="3"/>
  <c r="P4" i="2"/>
  <c r="S8" i="1"/>
  <c r="G45" l="1"/>
  <c r="H48" s="1"/>
  <c r="G44"/>
  <c r="G43"/>
  <c r="G42"/>
  <c r="G41"/>
  <c r="G40"/>
  <c r="G39"/>
  <c r="H42" s="1"/>
  <c r="G38"/>
  <c r="G37"/>
  <c r="G36"/>
  <c r="G35"/>
  <c r="G34"/>
  <c r="G33"/>
  <c r="G32"/>
  <c r="G31"/>
  <c r="G30"/>
  <c r="G29"/>
  <c r="G28"/>
  <c r="G27"/>
  <c r="G26"/>
  <c r="G25"/>
  <c r="G24"/>
  <c r="G23"/>
  <c r="G22"/>
  <c r="H22" l="1"/>
  <c r="H43"/>
  <c r="G21"/>
  <c r="H21" s="1"/>
  <c r="G20"/>
  <c r="G19"/>
  <c r="G18"/>
  <c r="G10" l="1"/>
  <c r="G11"/>
  <c r="G12"/>
  <c r="G13"/>
  <c r="G14"/>
  <c r="G15"/>
  <c r="G16"/>
  <c r="G17"/>
  <c r="G9"/>
  <c r="G8"/>
  <c r="H8" l="1"/>
  <c r="G6"/>
  <c r="G7"/>
  <c r="G4"/>
  <c r="G5"/>
  <c r="G3"/>
  <c r="Q10" i="3"/>
  <c r="Q5" i="2"/>
  <c r="R4" i="1"/>
  <c r="Q7" i="3"/>
  <c r="T21" i="1"/>
  <c r="H3" l="1"/>
  <c r="H6"/>
  <c r="N20" i="2"/>
  <c r="J5" i="1" l="1"/>
  <c r="O29"/>
</calcChain>
</file>

<file path=xl/sharedStrings.xml><?xml version="1.0" encoding="utf-8"?>
<sst xmlns="http://schemas.openxmlformats.org/spreadsheetml/2006/main" count="3904" uniqueCount="1261">
  <si>
    <t>BARANG MASUK ARAW FILM</t>
  </si>
  <si>
    <t>TGL MASUK</t>
  </si>
  <si>
    <t>NAMA BARANG</t>
  </si>
  <si>
    <t>SUPLIER</t>
  </si>
  <si>
    <t>QTY</t>
  </si>
  <si>
    <t>SAT</t>
  </si>
  <si>
    <t>HARGA/PCS/SET</t>
  </si>
  <si>
    <t>JUMLAH</t>
  </si>
  <si>
    <t>TOTAL FAKTUR</t>
  </si>
  <si>
    <t>KET</t>
  </si>
  <si>
    <t>NO</t>
  </si>
  <si>
    <t>TGL BARANG MASUK</t>
  </si>
  <si>
    <t>NAMA SALES/ SUPLIER</t>
  </si>
  <si>
    <t>JUMLAH BON</t>
  </si>
  <si>
    <t>BON JATUH TEMPO MEI  2022 ( JT)</t>
  </si>
  <si>
    <t>IRWAN</t>
  </si>
  <si>
    <t>JKI</t>
  </si>
  <si>
    <t>HERMAN</t>
  </si>
  <si>
    <t>BON JATUH TEMPO JUNI 2022 ( JT)</t>
  </si>
  <si>
    <t>BON JATUH TEMPO AGUSTUS 2022 ( JT)</t>
  </si>
  <si>
    <t>BON JATUH TEMPO JULI 2022 ( JT)</t>
  </si>
  <si>
    <t>ORCA</t>
  </si>
  <si>
    <t>GIRO TGL 29/5/22</t>
  </si>
  <si>
    <t>GIRO TGL 29/6/22</t>
  </si>
  <si>
    <t>GIRO TGL 25/7/22</t>
  </si>
  <si>
    <t>IRWAN (DIFFUSER +PLAT NO LED)</t>
  </si>
  <si>
    <t>KDP DH XENIA ALL NEW 2012-2015 BLACK</t>
  </si>
  <si>
    <t>KDP TY FORTUNER ALL NEW 2016 ON BLACK</t>
  </si>
  <si>
    <t>KDP TY RUSH 2018-ON BLACK</t>
  </si>
  <si>
    <t xml:space="preserve">TJM </t>
  </si>
  <si>
    <t>SET</t>
  </si>
  <si>
    <t xml:space="preserve">ANTENA SIRIP HIU HYBRID WHITE </t>
  </si>
  <si>
    <t>ANTENA SIRIP HIU HYBRID RED</t>
  </si>
  <si>
    <t>PCS</t>
  </si>
  <si>
    <t>SARUNG JOK INNOVA (HITAM + BD) FR</t>
  </si>
  <si>
    <t>SARUNG JOK AGYA '21 (HITAM +BD  ABU )FR</t>
  </si>
  <si>
    <t xml:space="preserve">SARUNG AGYA '21 (HITAM + BD MERAH )FR </t>
  </si>
  <si>
    <t>SARUNG JOK GRAND AVANZA (HITAM +BD ABU )FR</t>
  </si>
  <si>
    <t>SARUNG JOK BRIO SATYA (HITAM +BD CPS) FR</t>
  </si>
  <si>
    <t>SARUNG JOK CITY HATBACK (HITAM + BD )FR</t>
  </si>
  <si>
    <t>SARUNG JOK CITY HATBACK (HITAM + BD ABU)FR</t>
  </si>
  <si>
    <t>SARUNG JOK BRIO SATYA (HITAM +BD) FR</t>
  </si>
  <si>
    <t>SARUNG JOK ROCKY (HITAM + BD )FR</t>
  </si>
  <si>
    <t>SARUNG JOK RAIZE (HITAM + BD )FR</t>
  </si>
  <si>
    <t>APRIL</t>
  </si>
  <si>
    <t>WINTERBLAST HCD 10 G 70 (2109080026K2AH)</t>
  </si>
  <si>
    <t>WINTERBLAST HCD 30 G 70 (2106030018EGAI)</t>
  </si>
  <si>
    <t>WINTERBLAST HCD 10 G 70 (2108100020K2A3)</t>
  </si>
  <si>
    <t>WINCOS</t>
  </si>
  <si>
    <t>ROL</t>
  </si>
  <si>
    <t xml:space="preserve">CPF1 BLACK SECURITY 40% </t>
  </si>
  <si>
    <t>BLM DI GIRO</t>
  </si>
  <si>
    <t>JUNI</t>
  </si>
  <si>
    <t>CALYA 16 SIDE SCUFF PLATE BLACK</t>
  </si>
  <si>
    <t>AN RUSH 18/ TERIOS 18 SIDE SCUFF PLATE BLACK</t>
  </si>
  <si>
    <t xml:space="preserve">AN INNOVA 16 SIDE SCUFF PLATE BLACK </t>
  </si>
  <si>
    <t>AN FORTUNER 16 SIDE SCUFF PLATE BLACK</t>
  </si>
  <si>
    <t>BRIO / AN BRIO 18 SIDE SCUFF PLATE  BLACK</t>
  </si>
  <si>
    <t>AN BRIO 18 REAR SCUFF PLATE ACTIVO W/ REFLECTOR</t>
  </si>
  <si>
    <t>AN RUSH 18 REAR SCUFF PLATE ACTIVO</t>
  </si>
  <si>
    <t>AN TERIOS 18 REAR SCUFF PLATE ACTIVO</t>
  </si>
  <si>
    <t>JSL</t>
  </si>
  <si>
    <t>AN BRIO TANK COVER XTIVO BLACKTIVO</t>
  </si>
  <si>
    <t>AN FORTUNER 16 TANK COVER CROSSTIVO BLACKTIVO</t>
  </si>
  <si>
    <t>AN INNOVA 16 SIDE BODY MOLDING CHROME</t>
  </si>
  <si>
    <t>SIENTA 16 HANDLE COVER BLACKTIVO</t>
  </si>
  <si>
    <t>SIENTA 16 TANK COVER ELEGANT BLACKTIVO</t>
  </si>
  <si>
    <t>SIENTA 16 OUTER HANDLE COVER ELEGANT BLACKTIVO</t>
  </si>
  <si>
    <t>SIENTA 16 HEAD LAMP GARNISH BLACKTIVO</t>
  </si>
  <si>
    <t>SIENTA 16 TAIL LAMP GARNISH BLACKTIVO</t>
  </si>
  <si>
    <t>AN BRIO 18 TANK COVER XTIVO CHROME</t>
  </si>
  <si>
    <t>MEI</t>
  </si>
  <si>
    <t>POTONG NOTA RETUR= 4.845.000</t>
  </si>
  <si>
    <t xml:space="preserve">PAKU CPING </t>
  </si>
  <si>
    <t>INTI SEJAHTERA</t>
  </si>
  <si>
    <t>BOX</t>
  </si>
  <si>
    <t xml:space="preserve">LUNAS TF. </t>
  </si>
  <si>
    <t>SILT PLATE SAMPING PAJERO + LAMPU</t>
  </si>
  <si>
    <t>SPION ELEKTRIK ALL NEW BRIO + LAMPU</t>
  </si>
  <si>
    <t>SPOILER A/N BRIO KUNING</t>
  </si>
  <si>
    <t>SPOILER A/N MODERN STEEL</t>
  </si>
  <si>
    <t xml:space="preserve">WINTERBLAST HCD 03G C 70 </t>
  </si>
  <si>
    <t>TOWING MCC RUSH BARU</t>
  </si>
  <si>
    <t>KO AKHON</t>
  </si>
  <si>
    <t>SARUNG JOK GRAND LIVINA (HITAM + BD)FR</t>
  </si>
  <si>
    <t>AVANZA /LEXUS (HITAM + BD COPPICINO)</t>
  </si>
  <si>
    <t>ALL NEW BRIO SATYA '18 / LEXUS  (HITAM +ABU)</t>
  </si>
  <si>
    <t>SARUNG JOK BRIO SATYA '18 (HITAM + BD MERAH) FR</t>
  </si>
  <si>
    <t>SARUNG JOK BRIO SATYA '18 (HITAM + BD CPC) FR</t>
  </si>
  <si>
    <t>SARUNG JOK BRIO SATYA '18 (HITAM + BD ABU) FR</t>
  </si>
  <si>
    <t>SARUNG JOK MIRAGE (BELAKANG NYAMBUNG) (HITAM+ BD)FR</t>
  </si>
  <si>
    <t>SARUNG JOK YARIS TRD '21 (HITAM + BD)FR</t>
  </si>
  <si>
    <t>SARUNG JOK INNOVA G (HITAM + BD) FR</t>
  </si>
  <si>
    <t>BODY COVER XPANDER</t>
  </si>
  <si>
    <t>BODY COVER MOBILIO</t>
  </si>
  <si>
    <t>WINTERBLAST HCD 30 G  C 70</t>
  </si>
  <si>
    <t>WINTERBLAST HCD 10 G  C 70</t>
  </si>
  <si>
    <t>SRC 40 BLACK (AG 40% SLR)</t>
  </si>
  <si>
    <t>SRC 60 BLACK (AG 60% SLR)</t>
  </si>
  <si>
    <t>SRC 40 BLACK (AG 80% SLR)</t>
  </si>
  <si>
    <t>KDP TY GRAN AVANZA '16'21 BLACK</t>
  </si>
  <si>
    <t>KDP TY RAIZE, BLACK</t>
  </si>
  <si>
    <t>SARUNG JOK MBTECH YARIS TRD MB 9016+ 9007</t>
  </si>
  <si>
    <t>BUK IDA</t>
  </si>
  <si>
    <t>SARUNG JOK RUSH '18 (HITAM +BD FR</t>
  </si>
  <si>
    <t xml:space="preserve">DOUBLE TIPE HIJAU </t>
  </si>
  <si>
    <t>JULI</t>
  </si>
  <si>
    <t>GIRO TGL 30/5/22</t>
  </si>
  <si>
    <t>GIRO TGL 30/5/21</t>
  </si>
  <si>
    <t>GIRO TGL 30/5/23</t>
  </si>
  <si>
    <t>GIRO TGL 30/5/24</t>
  </si>
  <si>
    <t>GIRO TGL 30/6/22</t>
  </si>
  <si>
    <t>GIRO TGL 30/6/20</t>
  </si>
  <si>
    <t>GIRO TGL 30/6/21</t>
  </si>
  <si>
    <t>GIRO TGL 30/6/23</t>
  </si>
  <si>
    <t>GIRO TGL 15/7/22</t>
  </si>
  <si>
    <t>EMBLEM GR SPORT</t>
  </si>
  <si>
    <t>MR.BOSS</t>
  </si>
  <si>
    <t>MR. BOSS</t>
  </si>
  <si>
    <t>PARFUM GANTUNG CPR</t>
  </si>
  <si>
    <t>KLAKSON PIAA DUS HITAM</t>
  </si>
  <si>
    <t xml:space="preserve">KLAKSON PIAA DUS PUTIH </t>
  </si>
  <si>
    <t>GANTUNGAN KUNCI 171</t>
  </si>
  <si>
    <t>GANTUNGAN KUNCI 345</t>
  </si>
  <si>
    <t>GANTUNGAN KUNCI 469</t>
  </si>
  <si>
    <t>GANTUNGAN KUNCI 614</t>
  </si>
  <si>
    <t>SARUNG STIR SPARCO CPR</t>
  </si>
  <si>
    <t>LED 3 WARNA HB 4 ICC</t>
  </si>
  <si>
    <t>TOWING ARB INNOVA</t>
  </si>
  <si>
    <t>SILIKON KUNCI TERIOS '18 HITAM</t>
  </si>
  <si>
    <t>SILIKON KUNCI TERIOS '18 MERAH</t>
  </si>
  <si>
    <t>SILIKON KUNCI TOYOTA ALL NEW RUSH HITAM MERAH</t>
  </si>
  <si>
    <t xml:space="preserve">SILIKON KUNCI PAJERO '16 CAMPUR </t>
  </si>
  <si>
    <t xml:space="preserve">SILIKON KUNCI ALL NEW AVZ CAMPUR </t>
  </si>
  <si>
    <t>SILIKON KUNCI HONDA BRV / ALL NEW BRIO '18 CAMPUR</t>
  </si>
  <si>
    <t>LOGO HONDA ALL NEW BRIO '18 CHROME BLKG</t>
  </si>
  <si>
    <t>EMBLEM CUP MESIN XPANDER CROOS HITAM</t>
  </si>
  <si>
    <t>EMBLEM CUP MESIN XPANDER CROOS MERAH</t>
  </si>
  <si>
    <t>KDP ALL NEW BRIO HITAM TIPIS</t>
  </si>
  <si>
    <t>EMBLEM PAJERO SPOT CHROME</t>
  </si>
  <si>
    <t>HENDRIK</t>
  </si>
  <si>
    <t xml:space="preserve">CITY HATCHBACK HEAD LIGHT COVER  (2 PCS) BLACK </t>
  </si>
  <si>
    <t xml:space="preserve">CITY HATCHBACK TAIL LIGHT COVER  (4 PCS) BLACK </t>
  </si>
  <si>
    <t xml:space="preserve">CITY HATCHBACK DOOR HANDLE  COVER  (8 PCS) BLACK </t>
  </si>
  <si>
    <t xml:space="preserve">CITY HATCHBACK OUTER HANDLE COVER  (4 PCS) BLACK </t>
  </si>
  <si>
    <t xml:space="preserve">CITY HATCHBACK TANK COVER  (1 PCS) BLACK </t>
  </si>
  <si>
    <t>TALANG AIR CITY HATCHBACK (4 PCS) SLIM PANJANG</t>
  </si>
  <si>
    <t>CITY HATCHBACK DOOR SILT PLATE (4PCS) WITH LED</t>
  </si>
  <si>
    <t>FOGLAMP BRIO 2018 FULL SET</t>
  </si>
  <si>
    <t>ALARM HD-6600 (PART NO. EA168-6001)</t>
  </si>
  <si>
    <t>ALARM HD-6600 (PART NO. EA168-6002)</t>
  </si>
  <si>
    <t>ALARM HD-6600 (PART NO. EA168-6003)</t>
  </si>
  <si>
    <t>ALARM HD-6600 (PART NO. EA168-6006OR)</t>
  </si>
  <si>
    <t>ALARM HD-6600 (PART NO. EA168-6009)</t>
  </si>
  <si>
    <t>ALARM HD-6600 (PART NO. EA168-6010)</t>
  </si>
  <si>
    <t>CENTRAL LOCK SET RWB R-301A-4D (2P AND 5P)</t>
  </si>
  <si>
    <t>BON JATUH TEMPO SEPTEMBER 2022 ( JT)</t>
  </si>
  <si>
    <t>BON JATUH TEMPO OKTOBER 2022 ( JT)</t>
  </si>
  <si>
    <t>BON JATUH TEMPO NOVEMBER 2022 ( JT)</t>
  </si>
  <si>
    <t>BON JATUH TEMPO DESEMBER 2022 ( JT)</t>
  </si>
  <si>
    <t>BON JATUH TEMPO MARET 2023 ( JT)</t>
  </si>
  <si>
    <t>BON JATUH TEMPO APRIL 2023 ( JT)</t>
  </si>
  <si>
    <t>BON JATUH TEMPO FEBRUARI 2023 ( JT)</t>
  </si>
  <si>
    <t>BON JATUH TEMPO JANUARI 2023 ( JT)</t>
  </si>
  <si>
    <t>KARPET UNIVERSAL MI KRITING 60 CMX3M BLACK RED</t>
  </si>
  <si>
    <t>KARPET UNIVERSAL MI KRITING 60 CMX4.5M BLACK RED</t>
  </si>
  <si>
    <t>KARPET UNIVERSAL MI KRITING 60 CMX3M BLACK</t>
  </si>
  <si>
    <t>KARPET UNIVERSAL MI KRITING 60 CMX3M BLACK GRAY</t>
  </si>
  <si>
    <t>KARPET UNIVERSAL MI KRITING 60 CMX3M COFFE BEIGE</t>
  </si>
  <si>
    <t xml:space="preserve">KARPET UNIVERSAL MI KRITING 60 CMX4.5M BLACK </t>
  </si>
  <si>
    <t>KARPET UNIVERSAL MI KRITING 60 CMX4.5M BLACK GRAY</t>
  </si>
  <si>
    <t>KARPET UNIVERSAL MI KRITING 60 CMX4.5M COFFE BEIGE</t>
  </si>
  <si>
    <t>FRONT GUARD PAJERO 19 RHINO (V-)</t>
  </si>
  <si>
    <t>TJM</t>
  </si>
  <si>
    <t>SPEAKER CABLE SPC 88 105 X 0.12 GREY / BLACK / HYN</t>
  </si>
  <si>
    <t>TALANG AIR CITY</t>
  </si>
  <si>
    <t>OUTHER PAJERO HITAM</t>
  </si>
  <si>
    <t>OUTHER BRIO CHROME</t>
  </si>
  <si>
    <t>OUTHER RUSH 18 CHROME</t>
  </si>
  <si>
    <t>HANDLE INNOVA CHROME</t>
  </si>
  <si>
    <t>HANDLE BRIO HITAM</t>
  </si>
  <si>
    <t>PLANG BELAKANG PAJERO</t>
  </si>
  <si>
    <t>PLANG BELAKANG RUSH</t>
  </si>
  <si>
    <t>PLANG BELAKANG FORTUNER</t>
  </si>
  <si>
    <t>TANK COVER BRV CHROME</t>
  </si>
  <si>
    <t>TANK COVER INNOVA CHROME</t>
  </si>
  <si>
    <t>LIST BODY INNOVA '16 (CHROME)</t>
  </si>
  <si>
    <t>HANDLE XPANDER CHROME</t>
  </si>
  <si>
    <t>FOGLAMP BRIO '22</t>
  </si>
  <si>
    <t>FOG LAMP ALL NEW TERIOS H.3 /C.3</t>
  </si>
  <si>
    <t>TITIPAN</t>
  </si>
  <si>
    <t>SEPTEMBER</t>
  </si>
  <si>
    <t>TRUNKLID BELAKANG LED PAJERO</t>
  </si>
  <si>
    <t>SARUNG JOK RUSH HITAM BD</t>
  </si>
  <si>
    <t>TATAKAN PLAT NOMOR BIASA</t>
  </si>
  <si>
    <t>OUTHER INNOVA 16 CHROME</t>
  </si>
  <si>
    <t>TANK COVER ALL NEW BRIO HITAM</t>
  </si>
  <si>
    <t>TANK COVER ALL NEW BRIO CHROME</t>
  </si>
  <si>
    <t xml:space="preserve">GRILL MODEL TRD JARING FORTUNER </t>
  </si>
  <si>
    <t xml:space="preserve">GRILL MODEL TRD PRADO FORTUNER </t>
  </si>
  <si>
    <t>Rp 6,625,000</t>
  </si>
  <si>
    <t>SARUNG JOK CALYA HITAM BD FERARI</t>
  </si>
  <si>
    <t>SARUNG JOK CALYA HITAM BD COKLAT FERARI</t>
  </si>
  <si>
    <t>SARUNG JOK HILUX DC 18 HITAM BD FERARI</t>
  </si>
  <si>
    <t>SARUNG JOK CALYA 18 HITAM BD COKLAT FERARI</t>
  </si>
  <si>
    <t>Rp 2.370.000</t>
  </si>
  <si>
    <t>TOWING ARB X PANDER / RUSH</t>
  </si>
  <si>
    <t>TANDUK DEPAN COBRA RUSH 18</t>
  </si>
  <si>
    <t>GRILL DEPAN ALPHARD PAJERO</t>
  </si>
  <si>
    <t>TANK COVER RUSH 18 HITAM</t>
  </si>
  <si>
    <t>Rp 4.805.000</t>
  </si>
  <si>
    <t>Rp 9.500.000</t>
  </si>
  <si>
    <t>Rp 2.150.000</t>
  </si>
  <si>
    <t>SARUNG JOK HILUX DC 16 HITAM BD FERARI</t>
  </si>
  <si>
    <t>KARPET DASAR PEREDAM PAJERO BARU HITAM</t>
  </si>
  <si>
    <t>KARPET DASAR PEREDAM AGYA HITAM</t>
  </si>
  <si>
    <t>KARPET DASAR PEREDAM X PANDER HITAM</t>
  </si>
  <si>
    <t>SARUNG JOK CALTYA 18 HITAM BD COKLAT FERARI</t>
  </si>
  <si>
    <t>KARPET DASAR PEREDAM XENIA 18 HITAM</t>
  </si>
  <si>
    <t>KARPET DASAR PEREDAM ALL NEW BRIO HITAM TIPIS</t>
  </si>
  <si>
    <t>REAR DIFUSERAN BRIO 18 URBANITE STYLE MATE BLACK</t>
  </si>
  <si>
    <t>OTO PROJECT</t>
  </si>
  <si>
    <t>Rp 2.067,.000</t>
  </si>
  <si>
    <t>Rp 2.067.000</t>
  </si>
  <si>
    <t>TANDUK ALPHARD FORTUNER INNOVA 16 LAMPU PANJANG</t>
  </si>
  <si>
    <t>OUTHER BRIO PREMIUM HITAM</t>
  </si>
  <si>
    <t>Rp 1.900.000</t>
  </si>
  <si>
    <t>Rp 3.600.000</t>
  </si>
  <si>
    <t>Rp.5.500.000</t>
  </si>
  <si>
    <t>X PANDER CROSS HEAD LIGHT COVER BLACK</t>
  </si>
  <si>
    <t>Rp 700.000</t>
  </si>
  <si>
    <t>Rp 800.000</t>
  </si>
  <si>
    <t>X PANDER CROSS TAIL LIGHT COVER BLACK</t>
  </si>
  <si>
    <t>CITY HATQBLACK TANK COVER</t>
  </si>
  <si>
    <t>Rp 120.000</t>
  </si>
  <si>
    <t>Rp 1.350.000</t>
  </si>
  <si>
    <t>TALANG AIR BRV 2022 ORI FLAT</t>
  </si>
  <si>
    <t>Rp 2.970.000</t>
  </si>
  <si>
    <t>KDP AN RUSH HITAM</t>
  </si>
  <si>
    <t>AVANZA 22/XENIA 22/VELOZ 22 DOOR HANDLE KEYLES</t>
  </si>
  <si>
    <t>AVANZA 22/XENIA 22/VELOZ 22 DOOR HANDLE STANDAR</t>
  </si>
  <si>
    <t>AVANZA 22 OUTHER HANDLE  BLACK</t>
  </si>
  <si>
    <t>AVANZA 22 TANK COVER BLACK</t>
  </si>
  <si>
    <t>XENIA 22 OUTHER HANDLE BLACK</t>
  </si>
  <si>
    <t>VELOZ 22 OUTHER HANDLE BLACK</t>
  </si>
  <si>
    <t>XENIA 22  TANK COVER BLACK</t>
  </si>
  <si>
    <t>VELOZ 22 TANK COVER BLACK</t>
  </si>
  <si>
    <t>AVANZA 22/XENIA 22/VELOZ 22 DOOR HANDLE KEYLES CHROME HENDRIK10</t>
  </si>
  <si>
    <t>AVANZA 22 OUTHER HANDLE CHROME</t>
  </si>
  <si>
    <t>XENIA 22 OUTHER HANDLE CHROME</t>
  </si>
  <si>
    <t>XENIA 22 TANK COVER CHROME</t>
  </si>
  <si>
    <t>VELOZ 22 OUTHER HANDLE CHROME</t>
  </si>
  <si>
    <t>VELOZ 22 TANK COVER CHROME</t>
  </si>
  <si>
    <t>Rp 7.150.000</t>
  </si>
  <si>
    <t>AVANZA 22 TANK COVER CHROME</t>
  </si>
  <si>
    <t>GIRO TGL 10/5/22</t>
  </si>
  <si>
    <t>GIRO TGL 30/8/22</t>
  </si>
  <si>
    <t>GIRO TGL30/7/22</t>
  </si>
  <si>
    <t>GIRO TGL 30/7/22</t>
  </si>
  <si>
    <t xml:space="preserve">KAMERA ORCA </t>
  </si>
  <si>
    <t>Rp.1.800.000</t>
  </si>
  <si>
    <t>ORCA/YUSUF</t>
  </si>
  <si>
    <t>GIRO TGL 15/5/22</t>
  </si>
  <si>
    <t>GIRO TGL 15/6/22</t>
  </si>
  <si>
    <t>PLANG BELAKANG X PANDER</t>
  </si>
  <si>
    <t>Rp 400,000</t>
  </si>
  <si>
    <t>PLANG DEPAN X PANDER</t>
  </si>
  <si>
    <t>Rp 500,000</t>
  </si>
  <si>
    <t>CENTRO AUTO</t>
  </si>
  <si>
    <t>KDP BRV</t>
  </si>
  <si>
    <t>KDP AN INNOVA</t>
  </si>
  <si>
    <t>KDP CALYA HITAM</t>
  </si>
  <si>
    <t>SARUNG JOK CARDOVA  AVANZA 2022 G HITAM</t>
  </si>
  <si>
    <t>CENTRO</t>
  </si>
  <si>
    <t>SARUNG JOK CARDOVA  AN BRIO SATYA HITAM</t>
  </si>
  <si>
    <t>LED REFLEKTOR BUMPER BELAKANG AN PAJERO 2021</t>
  </si>
  <si>
    <t>CAR COVER BELTECH GN PAJERO</t>
  </si>
  <si>
    <t>Rp 7.400.000</t>
  </si>
  <si>
    <t>FRAME HONDA ACCORD</t>
  </si>
  <si>
    <t>YUSUF</t>
  </si>
  <si>
    <t>KABEL HONDA ACCORD</t>
  </si>
  <si>
    <t>Rp 490.000</t>
  </si>
  <si>
    <t>AN PAJERO 21 TAIL LAMP GARNISH BLACTIVO</t>
  </si>
  <si>
    <t>AN PAJERO 21 TAIL LAMP GARNISH CHROME</t>
  </si>
  <si>
    <t>AN PAJERO 21/NEW TRITON 21 SIGN LAMP CHROME</t>
  </si>
  <si>
    <t>AN PAJERO 21 NEW/NEW TRITON 21 SIGN LAMP BLACK</t>
  </si>
  <si>
    <t>AN PAJERO 21/NEW TRITON 21 HEAD LAMP CHROME</t>
  </si>
  <si>
    <t>X PANDER 17 OUTHER HANDLE COVER ELEGANT BLACK</t>
  </si>
  <si>
    <t>NEW TRITON 16 OUTHER HANDLE COVER BLACTIVO</t>
  </si>
  <si>
    <t>NEW TRITON 16 OUTHER HANDLE COVER CHROME</t>
  </si>
  <si>
    <t>AN INNOVA 16 SIDE SCUFF PLATE BLACK</t>
  </si>
  <si>
    <t>AN BRIO 18 TANK COVER CADILAC CHROME</t>
  </si>
  <si>
    <t>AN BRIO REAR SCUFF PLATE ACTIVO W/REFLEKTOR</t>
  </si>
  <si>
    <t>AN PAJERO 16 SIDE SCUFF PLATE BLACK</t>
  </si>
  <si>
    <t>AN HILUX 16 HEAD LAMP GARNISH BLACTIVO</t>
  </si>
  <si>
    <t>AN HILUX 16 TAIL LAMP GARNISH BLACTIVO</t>
  </si>
  <si>
    <t>AN HILUX 16 HEAD LAMP GARNISH CHROME</t>
  </si>
  <si>
    <t>AN HILUX 16 TAIL LAMP GARNISH CHROME</t>
  </si>
  <si>
    <t>AN PAJERO 16 TANK COVER CROSSTIVO BLACTIVO</t>
  </si>
  <si>
    <t>AN PAJERO 16  TANK COVER CROSSTIVO</t>
  </si>
  <si>
    <t>Rp 10.840.000</t>
  </si>
  <si>
    <t>AN BRIO 18 SIDE SKIRT LUNAR SILVER METALIC</t>
  </si>
  <si>
    <t>AN BRIO 18 SIDE SKIRT CRYSTAL BLACK PEARL</t>
  </si>
  <si>
    <t>AN BRIO SIDE SKIRT TAFETA WHITE</t>
  </si>
  <si>
    <t>AN BRIO 18 SIDE SKIRT RALLY RED</t>
  </si>
  <si>
    <t>Rp 9.000.000</t>
  </si>
  <si>
    <t>OVER FENDER ALL NEW PAJERO SPORT 2021</t>
  </si>
  <si>
    <t>MR BOSS</t>
  </si>
  <si>
    <t>SILPLATE BELAKANG PAJERO 21</t>
  </si>
  <si>
    <t>ANTENE SIRIP HYBRID PUTIH</t>
  </si>
  <si>
    <t>SILICON KUNCI INNOVA 16  HITAM</t>
  </si>
  <si>
    <t>SILICON KUNCI G XENIA HITAM</t>
  </si>
  <si>
    <t>HANDLE MOBILIO CHROME</t>
  </si>
  <si>
    <t>LIST KACA SAMPING AVANZA 2022</t>
  </si>
  <si>
    <t>OUTHER AVANZA 2022 HITAM</t>
  </si>
  <si>
    <t>OUTHER AVANZA 2022 CHROME</t>
  </si>
  <si>
    <t>HANDLE AVANZA 2022 HITAM</t>
  </si>
  <si>
    <t>HANDLE AVANZA 2022 CHROME</t>
  </si>
  <si>
    <t>TANK COVER AVANZA 2022 HITAM</t>
  </si>
  <si>
    <t>TANK COVER AVANZA 2022 CHROME</t>
  </si>
  <si>
    <t>GARNISH DEPAN VELOZ 22 HITAM</t>
  </si>
  <si>
    <t>GARNISH BELAKANG VELOZ 22 HITAM</t>
  </si>
  <si>
    <t>GARNISH DEPAN AVANZA G 22 HITAM</t>
  </si>
  <si>
    <t>GARNISH BELAKANG AVANZA G 22 HITAM</t>
  </si>
  <si>
    <t>Rp 12,250,000</t>
  </si>
  <si>
    <t>SARUNG JOK SIGRA HITAM BD COKLAT FERARI</t>
  </si>
  <si>
    <t>SARUNG JOK TERIOS 18 HITAM BD FERARI</t>
  </si>
  <si>
    <t>SARUNG JOK RUSH 22 HITAM BD FERARI</t>
  </si>
  <si>
    <t>Rp 3,950.000</t>
  </si>
  <si>
    <t>SARUNG JOK INNOVA G CAPUCINO BD FERARI</t>
  </si>
  <si>
    <t>SARUNG JOK INNOVA CAPUCINO BD LUXURY FERARI</t>
  </si>
  <si>
    <t>SARUNG JOK INNOVA LUXURY  HITAM BD CAPUCINO</t>
  </si>
  <si>
    <t>SARUNG JOK RUSH 18 HITAM BD FERARI</t>
  </si>
  <si>
    <t>SARUNG JOK AN RUSH 22 HITAM BD FERARI</t>
  </si>
  <si>
    <t>SARUNG JOK SIGRA HITAM BD  FERARI</t>
  </si>
  <si>
    <t>SARUNG JOK G AVANZA HITAM BD FERARI</t>
  </si>
  <si>
    <t>SARUNG JOK INNOVA LUXURY  HITAM BD FERARI</t>
  </si>
  <si>
    <t>Rp 10,270,000</t>
  </si>
  <si>
    <t>GIRO TGL 10/7/22</t>
  </si>
  <si>
    <t>SARUNG JOK CALYA LEXUS MERAH HITAM</t>
  </si>
  <si>
    <t>SARUNG JOK AVANZA G LEXUS MERAH HITAM</t>
  </si>
  <si>
    <t>SARUNG JOK AVANZA CG LEXUS COFE HITAM</t>
  </si>
  <si>
    <t>Rp 9,540,000</t>
  </si>
  <si>
    <t>KARPET DASAR AN BRIO TIPIS</t>
  </si>
  <si>
    <t>KARPET DASAR PEREDAM GN XENIA</t>
  </si>
  <si>
    <t>SALIM</t>
  </si>
  <si>
    <t>Rp 2,700,000</t>
  </si>
  <si>
    <t>Rp 3,075,000</t>
  </si>
  <si>
    <t>AN BRIO 18 SIDE SKIRT MODERN STEEL METALIC</t>
  </si>
  <si>
    <t>AN BRIO 18 SIDE SKIRT CARNIVAL YELLOW</t>
  </si>
  <si>
    <t>AVANZA VELOZ /CALYA/SIGRA HANDLE COVER</t>
  </si>
  <si>
    <t>AVANZA 19 REAR SCUFF PLATE SPORTY</t>
  </si>
  <si>
    <t>Rp 7,975,000</t>
  </si>
  <si>
    <t>TOWING MCC FORTUNER</t>
  </si>
  <si>
    <t>Rp 12,000,000</t>
  </si>
  <si>
    <t>GREAT/KO AKHON</t>
  </si>
  <si>
    <t>KACA FILM PPT</t>
  </si>
  <si>
    <t>SARUNG JOK INNOVA G HITAM BD FERARI</t>
  </si>
  <si>
    <t>PLANG BELAKANG ARB VELOZ 22</t>
  </si>
  <si>
    <t>PLANG BELAKANG ARB RUSH 18</t>
  </si>
  <si>
    <t>Rp 14,000,000</t>
  </si>
  <si>
    <t>PAJERO 2021 REAR DOOR SILPLATE</t>
  </si>
  <si>
    <t>HRV REAR DOOR SILPLATE</t>
  </si>
  <si>
    <t>AVANZA 2022 DOOR SILPLATE WITHLED</t>
  </si>
  <si>
    <t>AVANZA 2022 DOOR SILPLATE NON LED</t>
  </si>
  <si>
    <t>FORTUNER 2016 DOOR SILPLATE WITH LED</t>
  </si>
  <si>
    <t>RUSH 2018 DOOR SILPLATE WITH LED</t>
  </si>
  <si>
    <t>INNOVA REBORN DOOR SILPLATE WITH LED</t>
  </si>
  <si>
    <t>PAJERO 2016 DOOR SILPLATE NON LED</t>
  </si>
  <si>
    <t>DOBLE TAPE 3M</t>
  </si>
  <si>
    <t>MUDGUARD RUSH 18</t>
  </si>
  <si>
    <t>MUDGUARD BRIO 18 SATYA</t>
  </si>
  <si>
    <t>PAJERO 2016 DOOR HANDLE COVER BLACK DOFF</t>
  </si>
  <si>
    <t>PAJERO 2016 MIRROR COVER BLACK</t>
  </si>
  <si>
    <t>RUSH 18 MIRROR COVER BLACK</t>
  </si>
  <si>
    <t>FORTUNER 2021 HEAD LIGHT COVER BLACK</t>
  </si>
  <si>
    <t>FORTUNER 2021 TAIL LIGHT COVER BLACK</t>
  </si>
  <si>
    <t>BRIO 2018 HEAD LIGHT COVER BLACK</t>
  </si>
  <si>
    <t>BRIO 2018 TAIL LIGHT COVER BLACK</t>
  </si>
  <si>
    <t>BRIO 2018 HEAD LIGHT COVER CHROME</t>
  </si>
  <si>
    <t>BRIO 2018 TAIL LIGHT COVER CHROME</t>
  </si>
  <si>
    <t>Rp 19,830,000</t>
  </si>
  <si>
    <t>Rp 2,265,000</t>
  </si>
  <si>
    <t>Rp 2.935,000</t>
  </si>
  <si>
    <t>Rp 5,085,000</t>
  </si>
  <si>
    <t>SARUNG JOK HILUX DC 21 HITAM BD FERARI</t>
  </si>
  <si>
    <t>Rp 5,805,000</t>
  </si>
  <si>
    <t>Rp 2,080,000</t>
  </si>
  <si>
    <t>Rp 4,500,000</t>
  </si>
  <si>
    <t>Rp 2,250,000</t>
  </si>
  <si>
    <t>Rp 3,375,000</t>
  </si>
  <si>
    <t>GIRO TGL 25/5/22</t>
  </si>
  <si>
    <t>SARUNG JOK AVANZA E HITAM</t>
  </si>
  <si>
    <t>SARUNG JOK VELOZ 22</t>
  </si>
  <si>
    <t>SILPLATE SAMPING + LAMPU ALL NEW BRIO</t>
  </si>
  <si>
    <t>DOOR GUARD LUXURY TOYOTA</t>
  </si>
  <si>
    <t>DOOR GUARD LUXURY HONDA</t>
  </si>
  <si>
    <t>DOOR GUARD LUXURY MITSUBISHI</t>
  </si>
  <si>
    <t>HANDLE ALL NEW AVANZA HITAM</t>
  </si>
  <si>
    <t>Rp 3,925,000</t>
  </si>
  <si>
    <t>AGUSTUS</t>
  </si>
  <si>
    <t>PERTENGAHAN AGUS</t>
  </si>
  <si>
    <t>18/20</t>
  </si>
  <si>
    <t>AWAL AGSTS</t>
  </si>
  <si>
    <t>LEO/JSL</t>
  </si>
  <si>
    <t>Rp 2,370,000</t>
  </si>
  <si>
    <t>SARUNG JOK TERIOS 21 HITAM BD LEXUS</t>
  </si>
  <si>
    <t>SARUNG JOK RUSH 22  HITA BD LEXUS</t>
  </si>
  <si>
    <t>TRITON 2019 HEAD LIGHT COVER BLACK</t>
  </si>
  <si>
    <t>TRITON 2019 FOG LIGHT COVER BLACK</t>
  </si>
  <si>
    <t>TRITON 2019 TAIL LIGHT COVER BLACK</t>
  </si>
  <si>
    <t>AVANZA 2015 HEAD LIGHT COVER BLACK</t>
  </si>
  <si>
    <t>AVANZA 2015 TAIL LIGHT COVER BLACK</t>
  </si>
  <si>
    <t>TALANG AIR CALYA SLIM</t>
  </si>
  <si>
    <t>TALANG AIR HILUX 2078 DC LEBAR</t>
  </si>
  <si>
    <t>TALANG AIR CHRETA</t>
  </si>
  <si>
    <t>Rp 5,810,000</t>
  </si>
  <si>
    <t>ANTENE SIRIP HYBRID HITAM</t>
  </si>
  <si>
    <t>ANTENA SIRIP HIU HYBRID GREY</t>
  </si>
  <si>
    <t>ANTENA SIRIP HIU HYBRID MERAH</t>
  </si>
  <si>
    <t>Rp 1,125,000</t>
  </si>
  <si>
    <t>TRANSFER</t>
  </si>
  <si>
    <t>SKEP KACA FILM SK-08 LARGE GREEN</t>
  </si>
  <si>
    <t>HANDOYO</t>
  </si>
  <si>
    <t xml:space="preserve">SKEP KACA FILM SMALL KOTAK SK </t>
  </si>
  <si>
    <t>SKEP KACA FILM SK-028 SMALL</t>
  </si>
  <si>
    <t>SKEP KACA FILM SK-260 RUBBER YELLOW</t>
  </si>
  <si>
    <t>Rp 350,000</t>
  </si>
  <si>
    <t>LIST GRILL AN BRIO HITAM RS</t>
  </si>
  <si>
    <t>Rp 3,500,000</t>
  </si>
  <si>
    <t xml:space="preserve">FRONT GUARD PAJERO 21 RHINOS </t>
  </si>
  <si>
    <t>Rp 4,300,000</t>
  </si>
  <si>
    <t>INNOVA 2021 REAR DOOR SILPLATE EXCLUSIVE</t>
  </si>
  <si>
    <t>FORTUNER 2021 REAR DOOR SILPLATE EXCLUSIVE</t>
  </si>
  <si>
    <t>VELOZ 2022 REAR DOOR SILPLATE EXCLUSIVE</t>
  </si>
  <si>
    <t>AVANZA 2022/XENIA 2022 HEAD LIGHT COVER BLACK</t>
  </si>
  <si>
    <t>AVANZA 2022/XENIA 2022 HEAD LIGHT CHROME</t>
  </si>
  <si>
    <t>AVANZA 2022/XENIA 2022 TAIL LIGHT CHROME</t>
  </si>
  <si>
    <t>AVANZA 2022/XENIA 2022 DOOR HANDLE STD BLACK</t>
  </si>
  <si>
    <t>TALANG AIR JUMBO MODEL CARBON L300</t>
  </si>
  <si>
    <t>Rp 8,400,000</t>
  </si>
  <si>
    <t>SARUNG JOK AVANZA 22 HITAM BD FR</t>
  </si>
  <si>
    <t>SARUNG JOK G AVANZA  HITAM BD FR</t>
  </si>
  <si>
    <t xml:space="preserve">BUMPER BELAKANG PAJERO'16 </t>
  </si>
  <si>
    <t>SARUNG JOK G AVANZA '22 HITAM BD</t>
  </si>
  <si>
    <t>SARUNG JOK XENIA'22 HITAM BD</t>
  </si>
  <si>
    <t>FRONT GUARD PAJERO 21 RHINO (V-)</t>
  </si>
  <si>
    <t>FRONT GUARD FORTUNER'22</t>
  </si>
  <si>
    <t>TOWING ARB RUSH/AVZ;18</t>
  </si>
  <si>
    <t>TOWING ARB X PANDER</t>
  </si>
  <si>
    <t>TANDUK ARB MINI RUSH'18</t>
  </si>
  <si>
    <t>SPOILER CALYA ISOKA PUTIH</t>
  </si>
  <si>
    <t>Rp 8,050,000</t>
  </si>
  <si>
    <t>KARPET MI BLACK GREY</t>
  </si>
  <si>
    <t>KARPET MI COFFE BEIGE</t>
  </si>
  <si>
    <t>SPOILER AVZ/XENIA/VELO'22 PUTIH</t>
  </si>
  <si>
    <t>KARPET MI BLACK RED</t>
  </si>
  <si>
    <t xml:space="preserve">KARPET MI BLACK </t>
  </si>
  <si>
    <t>Rp 12,832,500</t>
  </si>
  <si>
    <t>SPOILER BRIO PUTIH</t>
  </si>
  <si>
    <t>SPOILER BRIO HITAM</t>
  </si>
  <si>
    <t>PLANG BELAKANG ARB PAJERO'21</t>
  </si>
  <si>
    <t xml:space="preserve">KAKI RAK </t>
  </si>
  <si>
    <t>KDP X PANDER</t>
  </si>
  <si>
    <t>SARUNG JOK AVANZA 22 HITAM BD OSCAR</t>
  </si>
  <si>
    <t>Rp 3,840,000</t>
  </si>
  <si>
    <t>TEMPAT PLAT NOMOR BIASA</t>
  </si>
  <si>
    <t>GARNISH DEPAN RAIZE HTAM</t>
  </si>
  <si>
    <t>GARNISH BELAKANG RAIZE HTAM</t>
  </si>
  <si>
    <t>HANDLE RAIZE HITAM</t>
  </si>
  <si>
    <t xml:space="preserve"> OUTHER RAIZE HITAM</t>
  </si>
  <si>
    <t>GARNISH DEPAN PAJERO'21 HITAM</t>
  </si>
  <si>
    <t>GARNISH BAWAH PAJERO'21 HITAM</t>
  </si>
  <si>
    <t>GARNISH BELAKANG PAJERO'21 HITAM</t>
  </si>
  <si>
    <t>ANTENA SIRIP HIU HITAM</t>
  </si>
  <si>
    <t>ANTENA SIRIP HIU GREY</t>
  </si>
  <si>
    <t>OUTHER X PANDER CHROME</t>
  </si>
  <si>
    <t>HANDLE X PANDER CHROME</t>
  </si>
  <si>
    <t>TURBO LED 3 WARNA</t>
  </si>
  <si>
    <t>DOOR GUARD LUXURY TOYOTA MERAH</t>
  </si>
  <si>
    <t>SARUNG JOK X PANDER MB 8801 + 8808</t>
  </si>
  <si>
    <t>BU IDA</t>
  </si>
  <si>
    <t>SARUNG JOK CITY'21 MB 9001 + 9015</t>
  </si>
  <si>
    <t>OUTHER TERIOS'18 GR HITAM</t>
  </si>
  <si>
    <t>Rp 95,000</t>
  </si>
  <si>
    <t>Rp 1,900,000</t>
  </si>
  <si>
    <t>Rp 475,000</t>
  </si>
  <si>
    <t>OUTHER ROCKY HITAM</t>
  </si>
  <si>
    <t>TANK COVER ROCKY HITAM</t>
  </si>
  <si>
    <t>Rp 45,000</t>
  </si>
  <si>
    <t>Rp 225,000</t>
  </si>
  <si>
    <t>Rp 450,000</t>
  </si>
  <si>
    <t>TANK COVER CALYA HITAM</t>
  </si>
  <si>
    <t>TURBO TIMER FORTUNER'21</t>
  </si>
  <si>
    <t>Rp 1,000,000</t>
  </si>
  <si>
    <t>Rp 2,000,000</t>
  </si>
  <si>
    <t>Rp 9,000,000</t>
  </si>
  <si>
    <t>Rp 1,800,000</t>
  </si>
  <si>
    <t>TOWING FULL PLATE PAJERO'21</t>
  </si>
  <si>
    <t>OVERLAND + LAMP SOROT PAJERO'21</t>
  </si>
  <si>
    <t>Rp 7,200,000</t>
  </si>
  <si>
    <t>Rp 21,250,000</t>
  </si>
  <si>
    <t>KDP AN YARIS</t>
  </si>
  <si>
    <t>Rp 12,625,000</t>
  </si>
  <si>
    <t>LAMPU POLISI LED MERAH</t>
  </si>
  <si>
    <t>Rp 2,450,000</t>
  </si>
  <si>
    <t>KDP RUSH'168</t>
  </si>
  <si>
    <t>KDP G XENIA</t>
  </si>
  <si>
    <t>JSL/LEO</t>
  </si>
  <si>
    <t>GIRO TGL 7/8/22</t>
  </si>
  <si>
    <t>SARUNG JOK CARDOVA GRAND MAX PICK UP HITAM</t>
  </si>
  <si>
    <t xml:space="preserve">AN PAJERO 21/NEW TRITON 21 HEAD LAMP BLACKTIVO      </t>
  </si>
  <si>
    <t xml:space="preserve">X PANDER 17 OUTHER HANDLE COVER ELEGANT BLACK    </t>
  </si>
  <si>
    <t>AVANZA 2022/XENIA 2022 TAIL LIGHT COVER BLACK</t>
  </si>
  <si>
    <t>AVANZA 2022/XENIA 2022 DOOR HANDLE KEYLES BLACK</t>
  </si>
  <si>
    <t>SPOILER AVANZA/XENIA HITAM</t>
  </si>
  <si>
    <t>Rp 300,000</t>
  </si>
  <si>
    <t>Rp 900,000</t>
  </si>
  <si>
    <t>Rp 357,500</t>
  </si>
  <si>
    <t>KARPET MI BLACK</t>
  </si>
  <si>
    <t>Rp 2,860,000</t>
  </si>
  <si>
    <t>BODY KIT VIGO UPGRADE DEVO</t>
  </si>
  <si>
    <t>Rp 16,500,000</t>
  </si>
  <si>
    <t>TV ANDROID 9' ENIGMA ROM 32</t>
  </si>
  <si>
    <t>Rp 13,500,000</t>
  </si>
  <si>
    <t>Rp 4,000,000</t>
  </si>
  <si>
    <t>TV HEADREST DVD ENIGMA 1017</t>
  </si>
  <si>
    <t>LED HEADLIGHT H4</t>
  </si>
  <si>
    <t>Rp 200,000</t>
  </si>
  <si>
    <t>Rp 875,000</t>
  </si>
  <si>
    <t>Rp 175,000</t>
  </si>
  <si>
    <t>LED HEADLIGHT H11</t>
  </si>
  <si>
    <t>LED X3 PREMIUM H4 3 WARNA</t>
  </si>
  <si>
    <t>Rp 825,000</t>
  </si>
  <si>
    <t>Rp 275,000</t>
  </si>
  <si>
    <t>LED X3 PREMIUM H11 3 WARNA</t>
  </si>
  <si>
    <t>Rp 21,100,000</t>
  </si>
  <si>
    <t>FRONT GUARD PAJERO'21 (RHINOS)</t>
  </si>
  <si>
    <t>Rp 2,150,000</t>
  </si>
  <si>
    <t>TURBO TIMER INNOVA'16</t>
  </si>
  <si>
    <t>Rp 800,000</t>
  </si>
  <si>
    <t>GIRO TGL 20/8/22</t>
  </si>
  <si>
    <t>SPOILER AN BRIO + LAMPU</t>
  </si>
  <si>
    <t>TANK COVER PAJERO HITAM</t>
  </si>
  <si>
    <t>TANK COVER XPANDER CHROME</t>
  </si>
  <si>
    <t>DOORGUARD TOYOTA LUXURY</t>
  </si>
  <si>
    <t>ANTENA SIRIP HYBRID MERAH</t>
  </si>
  <si>
    <t>Rp 4,815,000</t>
  </si>
  <si>
    <t>TANDUK OVERLAND RUSH'18</t>
  </si>
  <si>
    <t>Rp 3,600,000</t>
  </si>
  <si>
    <t>Rp 29,850,000</t>
  </si>
  <si>
    <t>Rp 5,500,000</t>
  </si>
  <si>
    <t>GIRO TGL 15/8/22</t>
  </si>
  <si>
    <t>GIRO TGL 15/9/22</t>
  </si>
  <si>
    <t>GIRO TGL 10/10/22</t>
  </si>
  <si>
    <t>GIRO TGL 10/8/22</t>
  </si>
  <si>
    <t>Rp 4.500,000</t>
  </si>
  <si>
    <t>HANDLE AN PAJERO HITAM</t>
  </si>
  <si>
    <t>GARNISH DEPAN AN RUSH HITAM</t>
  </si>
  <si>
    <t>GARNISH BELAKANG AN RUSH HITAM</t>
  </si>
  <si>
    <t>GARNISH BELAKANG INNOVA HITAM</t>
  </si>
  <si>
    <t>HANDLE INNOVA 16 HITAM</t>
  </si>
  <si>
    <t>Rp 8,305,000</t>
  </si>
  <si>
    <t>`</t>
  </si>
  <si>
    <t>Rp 4,117,500</t>
  </si>
  <si>
    <t>Rp 14,555,000</t>
  </si>
  <si>
    <t>OKTOBER</t>
  </si>
  <si>
    <t>GIRO TGL 30/10/22</t>
  </si>
  <si>
    <t>EMBLEM PAJERO</t>
  </si>
  <si>
    <t>AGYA TANK COVER BLACK</t>
  </si>
  <si>
    <t>LIVINA'19 TANK COVER BLACK</t>
  </si>
  <si>
    <t>TALANG AIR PAJERO'16 SLIM LEBAR</t>
  </si>
  <si>
    <t xml:space="preserve">TALANG AIR BRIO'18 </t>
  </si>
  <si>
    <t>TALANG AIR HRV'22</t>
  </si>
  <si>
    <t>JAZZ'18 TANK COVER BLACK</t>
  </si>
  <si>
    <t xml:space="preserve">BRIO'18 DOOR HANDLE COVER </t>
  </si>
  <si>
    <t>Rp 7,970,000</t>
  </si>
  <si>
    <t>TF TGL 27/5/22</t>
  </si>
  <si>
    <t>CF 05 (BLACK NERO 80%)</t>
  </si>
  <si>
    <t>RP 11,000,000</t>
  </si>
  <si>
    <t>BLACK PEARL /HP 32 (EMERAL 40%)</t>
  </si>
  <si>
    <t>VELOZ'22 HEAD LIGHT COVER BLACK</t>
  </si>
  <si>
    <t>VELOZ'22 TAIL LIGHT COVER BLACK</t>
  </si>
  <si>
    <t>VELOZ'22 HEAD LIGHT COVER CHROME</t>
  </si>
  <si>
    <t>VELOZ'22 TAIL LIGHT COVER CHROME</t>
  </si>
  <si>
    <t>Rp 2,950,000</t>
  </si>
  <si>
    <t>CAMERA ORCA RC 185-2F</t>
  </si>
  <si>
    <t>NOVEMBER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</si>
  <si>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</si>
  <si>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</t>
  </si>
  <si>
    <t xml:space="preserve">TOWING ARB X PANDER </t>
  </si>
  <si>
    <t>TOWING DEPAN X PADER</t>
  </si>
  <si>
    <t>TF BCA 6/6/22</t>
  </si>
  <si>
    <t>TV ANDROID 9' ENIGMA</t>
  </si>
  <si>
    <t>ERIK</t>
  </si>
  <si>
    <t>DESEMBER</t>
  </si>
  <si>
    <t xml:space="preserve"> KACA FILM WINTER BLASH</t>
  </si>
  <si>
    <t>GIRO TGL 30/9/22</t>
  </si>
  <si>
    <t>INDRA PEGASUS</t>
  </si>
  <si>
    <t>SPC 40 BLACK ANTI GORES</t>
  </si>
  <si>
    <t>SPC 80 BLACK ANTI GORES</t>
  </si>
  <si>
    <t>Rp 4,440,000</t>
  </si>
  <si>
    <t>LED TEMBAK 4 LED HILOW PUTIH</t>
  </si>
  <si>
    <t>LED TEMBAK ENGLE EYES 2 MATA</t>
  </si>
  <si>
    <t>LED TEMBAK ENGLE EYES 4 MATA</t>
  </si>
  <si>
    <t>LED TEMBAK 6 LED - 10 LED</t>
  </si>
  <si>
    <t>KARPET 5D HRV LAMA</t>
  </si>
  <si>
    <t>KARPET 5D RUSH</t>
  </si>
  <si>
    <t>KARPET 5D X PANDER</t>
  </si>
  <si>
    <t>LED TEMBAK LASER GUN  MATA</t>
  </si>
  <si>
    <t>LED TEMBAK 60 CM 2 WARNA</t>
  </si>
  <si>
    <t>LED TEMBAK 34 CM 1 WARNA</t>
  </si>
  <si>
    <t>LED TEMBAK 60 CM 1 WARNA</t>
  </si>
  <si>
    <t>LED TEMBAK 80 CM</t>
  </si>
  <si>
    <t>DUDUKAN LED TEMBAK KAP MESIN</t>
  </si>
  <si>
    <t>LEAD HEADLIGHT H4</t>
  </si>
  <si>
    <t>LED 3 WARNA ICC HB4</t>
  </si>
  <si>
    <t>BOHLAMP HIR 2</t>
  </si>
  <si>
    <t xml:space="preserve">LED TEMBAK 34 CM </t>
  </si>
  <si>
    <t>LED TEMBAK 48 LED</t>
  </si>
  <si>
    <t>FOGLAMP DAYMAKER 4' UNILARE</t>
  </si>
  <si>
    <t>LED BUMPER BAUT MERAH</t>
  </si>
  <si>
    <t>LED BUMPER BAUT PUTIH</t>
  </si>
  <si>
    <t>LED TEMBAK 1.1 M</t>
  </si>
  <si>
    <t>Rp 21,195,000</t>
  </si>
  <si>
    <t>SILPLATE BELAKANG PAJERO'21</t>
  </si>
  <si>
    <t>TURBO TIMER</t>
  </si>
  <si>
    <t>OUTHER AN BRIO HITAM</t>
  </si>
  <si>
    <t>Rp 7,000,000</t>
  </si>
  <si>
    <t>KARPET 5D PAJERO + BAGASI</t>
  </si>
  <si>
    <t>KARPET 5D VRZ + BAGASI</t>
  </si>
  <si>
    <t>KARPET 5D INNOVA  REBORN + BAGASI</t>
  </si>
  <si>
    <t>KARPET 5D RAIZE</t>
  </si>
  <si>
    <t>KARPET 5D AVANZA'22</t>
  </si>
  <si>
    <t>KARPET 5D BRIO</t>
  </si>
  <si>
    <t>Rp 6,550,000</t>
  </si>
  <si>
    <t>Rp 925,000 TF BCA 6/6/22</t>
  </si>
  <si>
    <t>FORTUNER TRIO BUMPER BLK VARIASI</t>
  </si>
  <si>
    <t>PEGASUS</t>
  </si>
  <si>
    <t>Rp 3.300.000</t>
  </si>
  <si>
    <t>SDH BIKIN GIRO</t>
  </si>
  <si>
    <t xml:space="preserve">KDP BRIO </t>
  </si>
  <si>
    <t>SPC 60 BLACK (ANTI GORES 60)</t>
  </si>
  <si>
    <t>Rp 2,220,000</t>
  </si>
  <si>
    <t>FORTUNER'21 REAR DOOR SILPLATE</t>
  </si>
  <si>
    <t>INNOVA'16 REAR DOOR SILPLATE LED</t>
  </si>
  <si>
    <t>BRIO'18 DOOR SILPLATE LED</t>
  </si>
  <si>
    <t xml:space="preserve">BUMPER BELAKANG HILUX'18 </t>
  </si>
  <si>
    <t>Rp 4,800,000</t>
  </si>
  <si>
    <t>SARUNG JOK TERIOS'21 ABU HITAM</t>
  </si>
  <si>
    <t>SARUNG JOK TERIOS'21 CAPPU HITAM</t>
  </si>
  <si>
    <t>SARUNG JOK TERIOS' MERAH HITAM</t>
  </si>
  <si>
    <t>Rp 4,770,000</t>
  </si>
  <si>
    <t>GREAT</t>
  </si>
  <si>
    <t>DOLLERLID REVO</t>
  </si>
  <si>
    <t>Rp 9,250,000</t>
  </si>
  <si>
    <t>LAMPU STROBO</t>
  </si>
  <si>
    <t>OUTHER BRV'22 HITAM</t>
  </si>
  <si>
    <t>TANK COVER RUSH'18 HITAM</t>
  </si>
  <si>
    <t>GARNISH DEPAN X PANDER HITAM</t>
  </si>
  <si>
    <t>GARNISH BLKG X PANDER HITAM</t>
  </si>
  <si>
    <t>HANDLE X PANDER HITAM</t>
  </si>
  <si>
    <t>TANK COVER BRIO HITAM</t>
  </si>
  <si>
    <t>ARMEST BRIO</t>
  </si>
  <si>
    <t>GARNISH DEPAN FORTUNER HITAM</t>
  </si>
  <si>
    <t>TALANG AIR L300</t>
  </si>
  <si>
    <t>Rp 14,990,000</t>
  </si>
  <si>
    <t>GARNISH BLKG PAJERO'16 HITAM</t>
  </si>
  <si>
    <t>REFLEKTA BLK RUSH'18</t>
  </si>
  <si>
    <t>Rp 2,175,000</t>
  </si>
  <si>
    <t>X PANDER OUTHER HANDLE CHROME</t>
  </si>
  <si>
    <t>LEO</t>
  </si>
  <si>
    <t>AN RUSH'18 OUTHER HANDLE CHROME</t>
  </si>
  <si>
    <t>AN RUSH / TERIOS'18 SCUFTPLATE BLKG H</t>
  </si>
  <si>
    <t>X PANDER'17 SIDE SCUFT PLATE BLACK</t>
  </si>
  <si>
    <t>AN PAJERO'16 SIDE SCUFT PLATE BLKG</t>
  </si>
  <si>
    <t>AN FORTUNER'16 SIDE SCUFT PLATE HTM</t>
  </si>
  <si>
    <t>AN BRIO'18 REAR SCUFTPLATE W/REFLEKTOR</t>
  </si>
  <si>
    <t>AN BRIO'18 SIDE WINDOW TRIM CHROME</t>
  </si>
  <si>
    <t>AN INNOVA'16 HOOD MOLDING CHROME</t>
  </si>
  <si>
    <t>GN INNOVA HEAD LAMP GARNISH CHROME</t>
  </si>
  <si>
    <t>GN INNOVA TAIL LAMP GARNISH CHROME</t>
  </si>
  <si>
    <t>INNOVA TANK COVER ELEGANT BLACTIVO</t>
  </si>
  <si>
    <t>AN PAJERO'16 SIDE SCUFT PLATE BLACK</t>
  </si>
  <si>
    <t>CALYA'16 SIDE SCUFTPLATE BLACK</t>
  </si>
  <si>
    <t>AN INNOVA'16 SIDE WINDOW TRIM CHROME</t>
  </si>
  <si>
    <t>GN INNOVA HEAD LAMP GARNISH BLACTIVO</t>
  </si>
  <si>
    <t>GN INNOVA TAIL LAMP GARNISH BLACTIVO</t>
  </si>
  <si>
    <t>Rp 10,675,000</t>
  </si>
  <si>
    <t>BRV'22 DOOR HANDLE BLACK</t>
  </si>
  <si>
    <t>BRV'22 OUTHER HANDLE BLACK</t>
  </si>
  <si>
    <t>BRV'22 TANK COVER BLACK</t>
  </si>
  <si>
    <t>SILPLATE SAMPING INNOVA</t>
  </si>
  <si>
    <t>Rp 3,000,000</t>
  </si>
  <si>
    <t>BRV'22 DOOR HANDLE CHROME</t>
  </si>
  <si>
    <t>BRV'22 OUTHER HANDLE CHROME</t>
  </si>
  <si>
    <t>BRV'22 TANK COVER CHROME</t>
  </si>
  <si>
    <t>HRV'22 DOOR HANDLE BLACK</t>
  </si>
  <si>
    <t>HRV'22 OUTHER BLACK</t>
  </si>
  <si>
    <t>HRV'22 OUTHER HANDLE BLACK</t>
  </si>
  <si>
    <t>HRV'22 TANK COVER BLACK</t>
  </si>
  <si>
    <t>HRV'22 DOOR HANDLE COVER CHROME</t>
  </si>
  <si>
    <t>HRV'22 OUTHER HANDLE CHROME</t>
  </si>
  <si>
    <t>HRV'22 TANK COVER CHROME</t>
  </si>
  <si>
    <t>BRIO'18 DOOR HANDLE BLACK</t>
  </si>
  <si>
    <t>Rp 6,400,000</t>
  </si>
  <si>
    <t>FORTUNER'21 BUMPER AVENGER EVO HITAM</t>
  </si>
  <si>
    <t>PAJERO'21 BUMPER AVENGER HITAM</t>
  </si>
  <si>
    <t>PAJERO'21 BUMPER RHINO GUARD + LED</t>
  </si>
  <si>
    <t>Rp 8,300,000</t>
  </si>
  <si>
    <t xml:space="preserve">SUDAH BIKIN  GIRO </t>
  </si>
  <si>
    <t>Rp 3,160,000</t>
  </si>
  <si>
    <t>GIRO TGL 8/9/22</t>
  </si>
  <si>
    <t>SARUNG JOK CARDOVA 3B X PANDER H CREAM</t>
  </si>
  <si>
    <t>SARUNG JOK CARDOVA 3B TERIOS'21 H BINTIK</t>
  </si>
  <si>
    <t>SARUNG JOK CARDOVA 3B SIGRA'21 H BD</t>
  </si>
  <si>
    <t>SARUNG JOK CARDOVA 2B BRIO SATYA H BD</t>
  </si>
  <si>
    <t>SARUNGJOK CARDOVA 2B BRIO SATYA H CREAM</t>
  </si>
  <si>
    <t>SARUNG JOK CARDOVA 2B BRIO RS H CREAM</t>
  </si>
  <si>
    <t>SARUNG JOK CARDOVA 2B BRIO RS H BD</t>
  </si>
  <si>
    <t>Rp 7,015,000</t>
  </si>
  <si>
    <t>KARPET DASAR PEREDAM FORTUNER</t>
  </si>
  <si>
    <t>KARPET DASAR PEREDAM AGYA</t>
  </si>
  <si>
    <t>KARPET DASAR PEREDAM AVANZA</t>
  </si>
  <si>
    <t>Rp 7,875,000</t>
  </si>
  <si>
    <t>KDP RUSH'18</t>
  </si>
  <si>
    <t>Rp 225,0000</t>
  </si>
  <si>
    <t>KDP X PANDER CREAM</t>
  </si>
  <si>
    <t>KDP X PANDER HITAM</t>
  </si>
  <si>
    <t>KDP PAJERO</t>
  </si>
  <si>
    <t>BODY KIT X PANDER PUTIH, DPN,SAMPING,BLKG</t>
  </si>
  <si>
    <t>Rp 8,500,000</t>
  </si>
  <si>
    <t>SILICON KUNCI TOYOTA AN FORTUNER HTM</t>
  </si>
  <si>
    <t>Rp 10,000</t>
  </si>
  <si>
    <t>Rp 150,000</t>
  </si>
  <si>
    <t>SILICON KUNCI MITSUBISHI PAJERO'16 HTM</t>
  </si>
  <si>
    <t>TRANSFER 30/6/22</t>
  </si>
  <si>
    <t>OUTHER PAJERO'16 HITAM</t>
  </si>
  <si>
    <t>Rp 2,675,000</t>
  </si>
  <si>
    <t>SIGRA'16 SIDE SCUFT PLATE BLACK1</t>
  </si>
  <si>
    <t>INNOVA/FORTUNER HANDLE BLAC</t>
  </si>
  <si>
    <t>INNOVA OUTHER HANDLE BLACK</t>
  </si>
  <si>
    <t>Rp 2,150.000</t>
  </si>
  <si>
    <t>KARPET DASAR PEREDAM BRIO</t>
  </si>
  <si>
    <t>Rp 4,400,000</t>
  </si>
  <si>
    <t>TURBO RD KODE 9006</t>
  </si>
  <si>
    <t>TURBO RD KODE 9005</t>
  </si>
  <si>
    <t>Rp 2,200,000</t>
  </si>
  <si>
    <t>CENTRALLOCK</t>
  </si>
  <si>
    <t>BYR CASH 12/7/22</t>
  </si>
  <si>
    <t>FORTUNER'21 BUMPER RHINO</t>
  </si>
  <si>
    <t>SARUNG JOK INNOVA G H CREAM</t>
  </si>
  <si>
    <t>SARUNG JOK G AVANZA H CREAM</t>
  </si>
  <si>
    <t>SARUNG JOK INNOVA H CREAM</t>
  </si>
  <si>
    <t>KARPET DASAR BRIO STD</t>
  </si>
  <si>
    <t>KARPET DASAR AGYA STD</t>
  </si>
  <si>
    <t>Rp 11,170,000</t>
  </si>
  <si>
    <t>TALANG AIR SIGRA</t>
  </si>
  <si>
    <t>TALANG AIR CALYA</t>
  </si>
  <si>
    <t>TALANG AIR BRIO</t>
  </si>
  <si>
    <t>Rp 2,640,000</t>
  </si>
  <si>
    <t>SARUNG JOK AVANZA NON AB</t>
  </si>
  <si>
    <t>SARUNG JOK AVANZA VVTI</t>
  </si>
  <si>
    <t>SARUNG JOK INNOVA G CPC BD</t>
  </si>
  <si>
    <t>SARUNG JOK TERIOS'18 HTM BD</t>
  </si>
  <si>
    <t>SARUNG JOK AVANZA AB CPC BD</t>
  </si>
  <si>
    <t>SARUNG JOK X PANDER H BD</t>
  </si>
  <si>
    <t>BODY COVER G AVANZA</t>
  </si>
  <si>
    <t>SARUNG JOK INNOVA G H BD</t>
  </si>
  <si>
    <t>KD STD CALYA</t>
  </si>
  <si>
    <t>KD STD AVANZA</t>
  </si>
  <si>
    <t>KD STD RUSH</t>
  </si>
  <si>
    <t>KD STD INNOVA</t>
  </si>
  <si>
    <t>SARUNG JOK AVZ NON AB H CREAM</t>
  </si>
  <si>
    <t>SARUNG JOK RUSH'18 H BD FERARI</t>
  </si>
  <si>
    <t>SARUNG JOK G AVANZA H BD MRH</t>
  </si>
  <si>
    <t>SARUNG JOK AVZ AB H BD CPC</t>
  </si>
  <si>
    <t>SARUNG JOK BRIO SATYA H BD CPC</t>
  </si>
  <si>
    <t xml:space="preserve">DESEMBER </t>
  </si>
  <si>
    <t>Rp 6,150,000</t>
  </si>
  <si>
    <t>KF BLACK SECURITY 80%</t>
  </si>
  <si>
    <r>
      <t>KF BLACK SECURITY 60</t>
    </r>
    <r>
      <rPr>
        <strike/>
        <sz val="11"/>
        <color theme="1"/>
        <rFont val="Calibri"/>
        <family val="2"/>
        <scheme val="minor"/>
      </rPr>
      <t>%</t>
    </r>
  </si>
  <si>
    <t>Rp 19,980,000</t>
  </si>
  <si>
    <t>BODY KIT X PANDER HITAM</t>
  </si>
  <si>
    <t>ROCKY DOOR SILPLATE LED</t>
  </si>
  <si>
    <t>EMBLEM FORTUNER BLACK</t>
  </si>
  <si>
    <t>EMBLEM XPANDER BLACK</t>
  </si>
  <si>
    <t>Rp 2,500,000</t>
  </si>
  <si>
    <t>JANUARI</t>
  </si>
  <si>
    <t>SILPLATE BELAKANG INNOVA'21</t>
  </si>
  <si>
    <t>SDH DI BKN GIRO</t>
  </si>
  <si>
    <t>GIRO TGL 30/11/22</t>
  </si>
  <si>
    <t>GIRO TGL 30/12/22</t>
  </si>
  <si>
    <t>s</t>
  </si>
  <si>
    <t>BODY COVER RUSH'18</t>
  </si>
  <si>
    <t>BODY COVER AVANZA'22</t>
  </si>
  <si>
    <t>BODY COVER RAIZE</t>
  </si>
  <si>
    <t>BODY COVER HRV</t>
  </si>
  <si>
    <t>BODY COVER PAJERO'16</t>
  </si>
  <si>
    <t>BODY COVER CALYA H/M</t>
  </si>
  <si>
    <t>BODY COVER PAJERO H/M</t>
  </si>
  <si>
    <t>BODY COVER BRIO H/M</t>
  </si>
  <si>
    <t>BODY COVER CALIA H/BLUE</t>
  </si>
  <si>
    <t>BODY COVER INNOVA H/BLUE</t>
  </si>
  <si>
    <t>KDP RAIZE</t>
  </si>
  <si>
    <t>KDP CALYA</t>
  </si>
  <si>
    <t>KDP AVANZA</t>
  </si>
  <si>
    <t>SARUNG STIR BLACK+ RED LINE</t>
  </si>
  <si>
    <t>SARUNG STIR CARBON BLACK+ RED</t>
  </si>
  <si>
    <t>SARUNG STIR BLACK + BEIGE</t>
  </si>
  <si>
    <t>KARPET UNIVERSAL BLACK</t>
  </si>
  <si>
    <t>NEW VICTORY M</t>
  </si>
  <si>
    <t>RP 1,550,000</t>
  </si>
  <si>
    <t>RP 9,230,000</t>
  </si>
  <si>
    <t>SARUNG JOK AVANZA AB H BD FR</t>
  </si>
  <si>
    <t>SARUNG JOK RUSH'18 H BD FR</t>
  </si>
  <si>
    <t>SARUNG JOK X PANDER H BD+ CPC FRHERMAN</t>
  </si>
  <si>
    <t xml:space="preserve">KD STD INNOVA </t>
  </si>
  <si>
    <t>RP 2,895,000</t>
  </si>
  <si>
    <t>HANDOYO/NEW</t>
  </si>
  <si>
    <t>SARUNG JOK LIVINA'22 H BD FERARI</t>
  </si>
  <si>
    <t>SARUNG JOK AVANZA G'22 H BD FR</t>
  </si>
  <si>
    <t>SARUNG JOK X PANDER H BD FR</t>
  </si>
  <si>
    <t>SARUNG JOK XENIA'22 H BD FR</t>
  </si>
  <si>
    <t>SARUNG JOK AVZ G'22 H BD FR</t>
  </si>
  <si>
    <t>SARUNG JOK INNOVA LUX'14 H BD FR</t>
  </si>
  <si>
    <t>SARUNG JOK SIGRA H BD FR</t>
  </si>
  <si>
    <t>SARUNG JOK AN RUSH H BD FR</t>
  </si>
  <si>
    <t>SARUNG JOK INNOVA G H BD FR</t>
  </si>
  <si>
    <t>SARUNG JOK BRIO RUSH'18 H BD FR</t>
  </si>
  <si>
    <t>Rp 16,485,000</t>
  </si>
  <si>
    <t>pertnghn januari</t>
  </si>
  <si>
    <t>POWER WINDOW 4 PINTU</t>
  </si>
  <si>
    <t>Rp 1,250,000</t>
  </si>
  <si>
    <t>TRANSFER TGL 30/7/22</t>
  </si>
  <si>
    <t>Rp 1,200,000</t>
  </si>
  <si>
    <t>SARUNG JOK CALYA H BD FR</t>
  </si>
  <si>
    <t>Rp 3,180,000</t>
  </si>
  <si>
    <t>BODY COVER BRIO</t>
  </si>
  <si>
    <t>BODY COVER RUSH</t>
  </si>
  <si>
    <t>BODY COVER CALYA</t>
  </si>
  <si>
    <t>BODY COVER BRV'22</t>
  </si>
  <si>
    <t>BODY COVER AGYA</t>
  </si>
  <si>
    <t>BODY COVER CITY</t>
  </si>
  <si>
    <t>BODY COVER X PANDER</t>
  </si>
  <si>
    <t>Rp 11,870.000</t>
  </si>
  <si>
    <t>TF BCA 3/8/22</t>
  </si>
  <si>
    <t>TF BCA TGL 3/8/22</t>
  </si>
  <si>
    <t>FRONT GUARD PAJERO'21</t>
  </si>
  <si>
    <t>TF TGL 3/8/22</t>
  </si>
  <si>
    <t>SARUNG JOK BRIO RS H BD FR</t>
  </si>
  <si>
    <t>SARUNG JOK HRV'18 H BD FR</t>
  </si>
  <si>
    <t>SARUNG JOK AVZ'22 H BD FR</t>
  </si>
  <si>
    <t>SARUNG JOK BRIO SATYA H BD FR</t>
  </si>
  <si>
    <t>Rp 7,695,000</t>
  </si>
  <si>
    <t>BUMPER BLKG FORTUNER VARIASI</t>
  </si>
  <si>
    <t>BUMPER BLKG RUSH VARIASI</t>
  </si>
  <si>
    <t>Rp 8,000,000</t>
  </si>
  <si>
    <t>BODY COVER HRV H/RED</t>
  </si>
  <si>
    <t>BODY COVER PAJERO H/RED</t>
  </si>
  <si>
    <t>BODY COVER BRV H/REB</t>
  </si>
  <si>
    <t>BODY COVER INNOVA'16 H RED</t>
  </si>
  <si>
    <t>BODY COVER X PANDER H/RED</t>
  </si>
  <si>
    <t>Rp 3,675,000</t>
  </si>
  <si>
    <t>SARUNG STIR CARBON HTM</t>
  </si>
  <si>
    <t>SARUNG STIR CARBON COFFE</t>
  </si>
  <si>
    <t>SARUNG STIR CARBON SADDLE</t>
  </si>
  <si>
    <t>SARUNG STIR CARBON MERAH</t>
  </si>
  <si>
    <t>JAN-FEB</t>
  </si>
  <si>
    <t>GIRO TGL 30/1/23</t>
  </si>
  <si>
    <t>TOWING ARB FORTUNER'16</t>
  </si>
  <si>
    <t>TOWING ARB INNOVA'16</t>
  </si>
  <si>
    <t>Rp 5,460,000</t>
  </si>
  <si>
    <t>RP 9,990,000</t>
  </si>
  <si>
    <t xml:space="preserve">CPF BLACK SECURITY </t>
  </si>
  <si>
    <t>KDP WULING CONFERO</t>
  </si>
  <si>
    <t>KDP WULING ALMAZ</t>
  </si>
  <si>
    <t>KDP SIENTA</t>
  </si>
  <si>
    <t>KDP RUSH</t>
  </si>
  <si>
    <t>KF CPF BLACK NEO 50%</t>
  </si>
  <si>
    <t>Rp 5,550,000</t>
  </si>
  <si>
    <t>FORTUNER TRD BUMPER BLK VARIAI</t>
  </si>
  <si>
    <t>RUSH'18 BUMPER DPN ARMOR</t>
  </si>
  <si>
    <t>XPANDER CROSS'22 BUMPER DPN</t>
  </si>
  <si>
    <t>XPANDER CROSS'22 BUMPER BLKG</t>
  </si>
  <si>
    <t>Rp 7,050,000</t>
  </si>
  <si>
    <t>TOWING ARB XPANDER</t>
  </si>
  <si>
    <t>TOWING ARB AVZ'22</t>
  </si>
  <si>
    <t>Rp 11,330,000</t>
  </si>
  <si>
    <t>FEBRUARY</t>
  </si>
  <si>
    <t>GRILL PRADO PAJERO'16</t>
  </si>
  <si>
    <t>GRILL REKTFAD PAJERO'16</t>
  </si>
  <si>
    <t>GRILL PRADO RUSH'18</t>
  </si>
  <si>
    <t>GRILL SPORTY RUSH'18</t>
  </si>
  <si>
    <t>OUTHER CALYA HITAM</t>
  </si>
  <si>
    <t>TOA POLISI</t>
  </si>
  <si>
    <t>Rp 8,290,000</t>
  </si>
  <si>
    <t>SARUNG JOK RAIZE H BD FR</t>
  </si>
  <si>
    <t>RP 795,000</t>
  </si>
  <si>
    <t>Rp 1,350,000</t>
  </si>
  <si>
    <t>LED 3 WARNA V3X H4</t>
  </si>
  <si>
    <t>RP 900,000</t>
  </si>
  <si>
    <t>RP 850,000</t>
  </si>
  <si>
    <t>RP 425,000</t>
  </si>
  <si>
    <t>LED 3 WARNA V3X HB4</t>
  </si>
  <si>
    <t>LED 3 WARNA V3X H11</t>
  </si>
  <si>
    <t>RP 378,000</t>
  </si>
  <si>
    <t>RP 18,000</t>
  </si>
  <si>
    <t>PARFUM GANTUNG CHANNEL</t>
  </si>
  <si>
    <t>PARFUM GANTUNG YSL</t>
  </si>
  <si>
    <t>RP 360,000</t>
  </si>
  <si>
    <t>SUBWOFER ENIGMA 8'</t>
  </si>
  <si>
    <t>LED 1 WARNA V55X H4 55 WATT</t>
  </si>
  <si>
    <t>RP 550,000</t>
  </si>
  <si>
    <t>RP 1,100,000</t>
  </si>
  <si>
    <t>RP 1,050,000</t>
  </si>
  <si>
    <t>RP 525,000</t>
  </si>
  <si>
    <t>LED 1 WARNA V55X H11 55 WATT</t>
  </si>
  <si>
    <t>LED 1 WARNA V55X HB4 55WATT</t>
  </si>
  <si>
    <t>PARFUM GANTUNG GUCCI</t>
  </si>
  <si>
    <t>RP 180,000</t>
  </si>
  <si>
    <t>RP 13,500,000</t>
  </si>
  <si>
    <t>POT GIRO JAN-FEB</t>
  </si>
  <si>
    <t>Rp 22,418,000</t>
  </si>
  <si>
    <t>RP 2,200,000</t>
  </si>
  <si>
    <t>YUSUF/ORCA</t>
  </si>
  <si>
    <t>2 DIN MP5 PLAYER MODEL NO ADR-9988</t>
  </si>
  <si>
    <t>Rp 2,400,000</t>
  </si>
  <si>
    <t>KABEL TOTOL 0.5 MM 1000 MTR</t>
  </si>
  <si>
    <t>SPOILER BRIO MUGEN HITAM</t>
  </si>
  <si>
    <t>RP 410,000</t>
  </si>
  <si>
    <t>RP 820,000</t>
  </si>
  <si>
    <t>SPOILER BRIO MUGEN PUTIH</t>
  </si>
  <si>
    <t>GARNISH DEPAN CALYA HITAM</t>
  </si>
  <si>
    <t>RP 135,000</t>
  </si>
  <si>
    <t>RP 1,350,000</t>
  </si>
  <si>
    <t>RP 85,000</t>
  </si>
  <si>
    <t>HANDLE AN AVANZA HITAM</t>
  </si>
  <si>
    <t>HANDLE AN RUSH'18 HITAM</t>
  </si>
  <si>
    <t>RP 680,000</t>
  </si>
  <si>
    <t>HANDLE RUSH'18 CHROME</t>
  </si>
  <si>
    <t>RP 250,000</t>
  </si>
  <si>
    <t>RP 50,000</t>
  </si>
  <si>
    <t>TANK COVER HILYX HITAM</t>
  </si>
  <si>
    <t>MUAD GUARD AVZ'22</t>
  </si>
  <si>
    <t>RP 125,000</t>
  </si>
  <si>
    <t>RP 625,000</t>
  </si>
  <si>
    <t>MUAD GUARD CALYA</t>
  </si>
  <si>
    <t>GARNISH DPN YARIS'18 HTM</t>
  </si>
  <si>
    <t>RP 140,000</t>
  </si>
  <si>
    <t>RP 700,000</t>
  </si>
  <si>
    <t>RP 750,000</t>
  </si>
  <si>
    <t>RP 150,000</t>
  </si>
  <si>
    <t>GARNISH BLKG YARIS'18</t>
  </si>
  <si>
    <t>GARNISH DPN BRIO HTM</t>
  </si>
  <si>
    <t>RP 1,250,000</t>
  </si>
  <si>
    <t>GARNISH BLKG BRIO HTM</t>
  </si>
  <si>
    <t>MIRROR COVER RUSH'18 HTM</t>
  </si>
  <si>
    <t>RP 130,000</t>
  </si>
  <si>
    <t>RP 1,300,000</t>
  </si>
  <si>
    <t>RP 2,250,000</t>
  </si>
  <si>
    <t>BODY COVER MBTECH FORTUNER'16</t>
  </si>
  <si>
    <t>BODY COVER MBTECH PAJERO'16</t>
  </si>
  <si>
    <t>BODY COVER MBTECH INNOVA'16</t>
  </si>
  <si>
    <t>TANK COVER VELOZ HTM</t>
  </si>
  <si>
    <t>RP 55,000</t>
  </si>
  <si>
    <t>RP 275,000</t>
  </si>
  <si>
    <t>TANK COVER YARIS'18 HTM</t>
  </si>
  <si>
    <t>TABK COVER RAIZA HTM</t>
  </si>
  <si>
    <t>RP 45,000</t>
  </si>
  <si>
    <t>RP 90,000</t>
  </si>
  <si>
    <t>RP 230,000</t>
  </si>
  <si>
    <t>RP 115,000</t>
  </si>
  <si>
    <t>OUTHER XENIA'22 HTM</t>
  </si>
  <si>
    <t>HANDLE AVZ'22 HTM</t>
  </si>
  <si>
    <t>RP 105,000</t>
  </si>
  <si>
    <t>RP 210,000</t>
  </si>
  <si>
    <t>RP 110,000</t>
  </si>
  <si>
    <t>TANK COVER XENIA'22 HTM</t>
  </si>
  <si>
    <t>RP 100,000</t>
  </si>
  <si>
    <t>RP 2,000,000</t>
  </si>
  <si>
    <t>SARUNG STIR MRH HTM</t>
  </si>
  <si>
    <t>SARUNG STIR CREAM POLOS</t>
  </si>
  <si>
    <t>BALANCE AN FORTUNER</t>
  </si>
  <si>
    <t>FEB-MAR</t>
  </si>
  <si>
    <t>TDK DI ORDER</t>
  </si>
  <si>
    <t>Rp 30,635,000</t>
  </si>
  <si>
    <t>COVER FENDER AN PAJERO'21</t>
  </si>
  <si>
    <t>COVER FENDER AN RUSH/TERIOS'18</t>
  </si>
  <si>
    <t>SPOILER CALYA/SIGRA GREY</t>
  </si>
  <si>
    <t>EMBLEM PAJERO CHROME</t>
  </si>
  <si>
    <t>Rp 7,730,000</t>
  </si>
  <si>
    <t>GIRO TGL 5/9/22</t>
  </si>
  <si>
    <t>Rp 137,552,500</t>
  </si>
  <si>
    <t>KACA FIL FX 40%</t>
  </si>
  <si>
    <t>Rp 1,400,000</t>
  </si>
  <si>
    <t xml:space="preserve"> </t>
  </si>
  <si>
    <t>SARUNg STIR DRD HTM POLOS</t>
  </si>
  <si>
    <t>JANUARY</t>
  </si>
  <si>
    <t>CAR PASSIVE SPEAKER MODEL</t>
  </si>
  <si>
    <t>TF TGL 31/8/22</t>
  </si>
  <si>
    <t>TFBCA TGL 31/8/22</t>
  </si>
  <si>
    <t>TF BCA TGL 31/8/22</t>
  </si>
  <si>
    <t>BRG BLM DIKURANGIN</t>
  </si>
  <si>
    <t>SILICON KUNCI AN RUSH'18/VELOZ'19 HTM</t>
  </si>
  <si>
    <t xml:space="preserve">SARUNG JOK CALYA H  BD </t>
  </si>
  <si>
    <t>SARUNG JOK RAIZE HITAM BD</t>
  </si>
  <si>
    <t>Rp 2,385,000</t>
  </si>
  <si>
    <t>PAJERO'21 BUMPER BLK VARIASI</t>
  </si>
  <si>
    <t xml:space="preserve">RUSH'18 AVANZA BUMPER BLKG </t>
  </si>
  <si>
    <t>AVANZA'22 BUMPER DPN AMOR</t>
  </si>
  <si>
    <t>AVANZA'22 BUMPER BLKG AMOR</t>
  </si>
  <si>
    <t>Rp 14,450,000</t>
  </si>
  <si>
    <t>KACA FILM 3M 60%</t>
  </si>
  <si>
    <t>KACA FILM 3M 80%</t>
  </si>
  <si>
    <t>OUTHER CALYA CHROME</t>
  </si>
  <si>
    <t>OUTHER X PANDER HITAM</t>
  </si>
  <si>
    <t>LOGO HONDA BLKG BRIO HTM</t>
  </si>
  <si>
    <t>OUTHER BRIO HITAM</t>
  </si>
  <si>
    <t>OUTHER LIVINA'19 HTM</t>
  </si>
  <si>
    <t>LAMPU ALIS PUTIH KUNING</t>
  </si>
  <si>
    <t>LAMPU ALIS BIRU KUNING</t>
  </si>
  <si>
    <t>HANDLE HITAM PAJERO'16</t>
  </si>
  <si>
    <t>OUTHER SIGRA HITAM</t>
  </si>
  <si>
    <t>RP 10,150,000</t>
  </si>
  <si>
    <t>PAJERO'21 BUMPER BLKG VARIASI</t>
  </si>
  <si>
    <t>FORTUNER/INNOVA BUMPER DPN</t>
  </si>
  <si>
    <t>XPANDER CROSS'22 BUMPER DPN ARMOR</t>
  </si>
  <si>
    <t>Rp 5,450,000</t>
  </si>
  <si>
    <t>Rp 10,775,000</t>
  </si>
  <si>
    <t>Rp 6,360,000</t>
  </si>
  <si>
    <t>TALANG AIR ACRILYC MODEL SLIM BRIO</t>
  </si>
  <si>
    <t>OTOPROJEC</t>
  </si>
  <si>
    <t>REAR DIFUSER AN BRIO URBANIC</t>
  </si>
  <si>
    <t>Rp 2,067,000</t>
  </si>
  <si>
    <t xml:space="preserve">SARUNG JOK HITAM COKLAT </t>
  </si>
  <si>
    <t>GIRO TGL 20/2/23</t>
  </si>
  <si>
    <t>STICKER RED SATIN LICIN</t>
  </si>
  <si>
    <t>SPC 40-BLACK (ANTI GORES)</t>
  </si>
  <si>
    <t>SPC 60-BLACK (ANTI GORES)</t>
  </si>
  <si>
    <t>HENDRIK/LEO</t>
  </si>
  <si>
    <t>Rp 9,990,000</t>
  </si>
  <si>
    <t>MARET</t>
  </si>
  <si>
    <t>KF 3M 40%</t>
  </si>
  <si>
    <t>TF 5/10/22</t>
  </si>
  <si>
    <t>XPANDER CROSS'22 BUMPER DPN AMOR</t>
  </si>
  <si>
    <t>X PANDER CROSS'22 BUMPER BLKG ARMOR</t>
  </si>
  <si>
    <t>PAJERO BUMPER RHINO GUARD II LED PJG</t>
  </si>
  <si>
    <t>EMBLEM PAJERO HTM</t>
  </si>
  <si>
    <t>Rp 750,000</t>
  </si>
  <si>
    <t>BUMPER BLKG HILUX'18</t>
  </si>
  <si>
    <t>KDP BRIO</t>
  </si>
  <si>
    <t>OVER VENDER HILUX REVO AS HITAM</t>
  </si>
  <si>
    <t>Rp 1,550,000</t>
  </si>
  <si>
    <t>Rp 109,471,000</t>
  </si>
  <si>
    <t>HANDOYO/TJM</t>
  </si>
  <si>
    <t>GIRO TGL 31/1/23</t>
  </si>
  <si>
    <t>SPION LIPAT INNOVA'15</t>
  </si>
  <si>
    <t>PAJERO'21 BUMPER BLK VARIASI LED</t>
  </si>
  <si>
    <t>FORTUNER BUMPER DPN ARMOR</t>
  </si>
  <si>
    <t>Rp 5,900,000</t>
  </si>
  <si>
    <t>KDP AGYA</t>
  </si>
  <si>
    <t>KAMERA OSCA</t>
  </si>
  <si>
    <t>Rp 2,025,000</t>
  </si>
  <si>
    <t>FRONT GUARD PAJERO 21</t>
  </si>
  <si>
    <t>BUMPER BLKG PAJERO 21 MDL WARIOR</t>
  </si>
  <si>
    <t>Rp 4,650,000</t>
  </si>
  <si>
    <t>KARPET MI 3B HITAM</t>
  </si>
  <si>
    <t>Rp 2,600,000</t>
  </si>
  <si>
    <t>TRANSFER 24/10/22</t>
  </si>
  <si>
    <t>Rp 2,050,000</t>
  </si>
  <si>
    <t>TRANSFER TGL 24/10/22</t>
  </si>
  <si>
    <t>TRANSFER TGL  24/12/22</t>
  </si>
  <si>
    <t>ADR-9988 ECO UTE 9 INCH LHD</t>
  </si>
  <si>
    <t>CAR ACTIVE SPEAKER MODEL NO SW-2663</t>
  </si>
  <si>
    <t>TEMPAT PLAT NOMOR</t>
  </si>
  <si>
    <t>dikurangi tf centro</t>
  </si>
  <si>
    <t>dikurangi tf tjm</t>
  </si>
  <si>
    <t>KARPET MI 3B HTM ABU</t>
  </si>
  <si>
    <t>KARPET MI 3B HITAM MERAH</t>
  </si>
  <si>
    <t>KARPET MI 2B HITAM</t>
  </si>
  <si>
    <t>KARPET MI 2B HITAM ABU</t>
  </si>
  <si>
    <t>KARPET MI 2B COKLAT</t>
  </si>
  <si>
    <t>KARPET MI 3B COKLAT</t>
  </si>
  <si>
    <t>Rp 13,425,000</t>
  </si>
  <si>
    <t>Tf tgl 28/10/22</t>
  </si>
  <si>
    <t>Rp 93,206,000</t>
  </si>
  <si>
    <t>dikurangi tf ko akhon</t>
  </si>
  <si>
    <t>INNOVA'21/FORTUNER BUMPER DPN ARMOR</t>
  </si>
  <si>
    <t>RUSH'18 BUMPER BLKG ARMOR</t>
  </si>
  <si>
    <t>Rp 3,200,000</t>
  </si>
  <si>
    <t>GARNISH DEPAN INNOVA'16 HITAM</t>
  </si>
  <si>
    <t>GARNISH BLKG INNOVA'16 HITAM</t>
  </si>
  <si>
    <t>OUTHER AN PAJERO'16 HITAM</t>
  </si>
  <si>
    <t>OUTHER HANDLE BLKG HRV HTM</t>
  </si>
  <si>
    <t>HANDLE AN BRIO HITAM</t>
  </si>
  <si>
    <t>HANDLE AN FORTUNER HITAM</t>
  </si>
  <si>
    <t>HANDLE PAJERO HITAM</t>
  </si>
  <si>
    <t>TANK COVER HRV HITAM</t>
  </si>
  <si>
    <t>TOWING ARB RUSH 2001</t>
  </si>
  <si>
    <t>TOWING ARB CALYA</t>
  </si>
  <si>
    <t>TALANG AIR HRV'17</t>
  </si>
  <si>
    <t>TALANG AIR AN BRIO'12</t>
  </si>
  <si>
    <t>Rp 12,170,000</t>
  </si>
  <si>
    <t>TOWING MCC INNOVA</t>
  </si>
  <si>
    <t>Rp 6,000,000</t>
  </si>
  <si>
    <t>KF CPF 80</t>
  </si>
  <si>
    <t>KF AG 40</t>
  </si>
  <si>
    <t>Rp 7,770,000</t>
  </si>
  <si>
    <t>DIFUSER BRIO 2018</t>
  </si>
  <si>
    <t>KAMERA DVR ADAS</t>
  </si>
  <si>
    <t>FOGLAMP HILUX 2021</t>
  </si>
  <si>
    <t>Rp 8,450,000</t>
  </si>
  <si>
    <t>OUTHER+ HANDLE HRV'22 HITAM</t>
  </si>
  <si>
    <t>HANDLE BRIO</t>
  </si>
  <si>
    <t>HANDLE AN PAJERO</t>
  </si>
  <si>
    <t>HANDLE AN RUSH HITAM</t>
  </si>
  <si>
    <t>Rp 3,325,000</t>
  </si>
  <si>
    <t>Rp 113,974,000</t>
  </si>
  <si>
    <t>Rp 3,045,000</t>
  </si>
  <si>
    <t>Rp 4,450,000</t>
  </si>
  <si>
    <t>SPOILER BRIO URBANITE BLACK CRYSTAL</t>
  </si>
  <si>
    <t>SPOILER BRIO URBANITE TAFFETA WHITE</t>
  </si>
  <si>
    <t>SPOILER BRIO URBANITE CARNIVAL YELLOW</t>
  </si>
  <si>
    <t>SPOILER BRIO URBANITE MODERN STEEL</t>
  </si>
  <si>
    <t>Rp 4,680,000</t>
  </si>
  <si>
    <t>LUNAS</t>
  </si>
  <si>
    <t>OVERLAND DPN WARRIOR PAJERO'22</t>
  </si>
  <si>
    <t>OVERLAND DPN WARRIOR FORTUNER'22</t>
  </si>
  <si>
    <t>TOWING BLKG OFFROAD WARRIOR PAJEREO</t>
  </si>
  <si>
    <t>TOWING BLKG OFFROAD WARRIOR FORTUNER</t>
  </si>
  <si>
    <t>BRIO'18 SILPLATE WITH LED</t>
  </si>
  <si>
    <t>HRV'22 SILPLATE WITH LED</t>
  </si>
  <si>
    <t>XPANDER'22 H EAD LIGHT COVER BLACK DOFF</t>
  </si>
  <si>
    <t>XPANDER'22 TAIL LIGHT COVER BLACK DOFF</t>
  </si>
  <si>
    <t>CRETA OUTHER HANDLE COVER CHROME</t>
  </si>
  <si>
    <t>CRETA TANK COVER CHROME</t>
  </si>
  <si>
    <t>BRIO'18 DOOR HANDLE COVER BLACK</t>
  </si>
  <si>
    <t>BRIO'18 OUTHER HANDLE COVER BLACK</t>
  </si>
  <si>
    <t>BRIO'18 TANK COVER BLACK</t>
  </si>
  <si>
    <t>Rp 15,750,000</t>
  </si>
  <si>
    <t>LEM 3M</t>
  </si>
  <si>
    <t>BH</t>
  </si>
  <si>
    <t>FRAME BRV,MOBILIO</t>
  </si>
  <si>
    <t>KD. STD BRIO</t>
  </si>
  <si>
    <t>Rp 10,300,000</t>
  </si>
  <si>
    <t>Rp 5,350,000</t>
  </si>
  <si>
    <t>PARFUME</t>
  </si>
  <si>
    <t>STOPLAMP</t>
  </si>
  <si>
    <t>Rp 4,250,000</t>
  </si>
  <si>
    <t>SARUNG JOK BRIO SATYA HITAM</t>
  </si>
  <si>
    <t>NAURA JAYA</t>
  </si>
  <si>
    <t>Rp 2,100,000</t>
  </si>
  <si>
    <t>GARNISH DPN RUSH HITAM</t>
  </si>
  <si>
    <t>GARNISH BLKG RUSH HITAM</t>
  </si>
  <si>
    <t>GARNISH DEPAN BRIO HTM</t>
  </si>
  <si>
    <t>OUTHER PAJERO'16</t>
  </si>
  <si>
    <t>Rp 8,125,000</t>
  </si>
  <si>
    <t>TALANG AIR PAJERO</t>
  </si>
  <si>
    <t>RP 1,320,000</t>
  </si>
  <si>
    <t>DIFUSER BRIO 2018 URBANITE</t>
  </si>
  <si>
    <t>LOGO HONDA BRIO BLKG</t>
  </si>
  <si>
    <t>EMBLEM RS ORI</t>
  </si>
  <si>
    <t>Rp 1,650,000</t>
  </si>
  <si>
    <t>TALANG AIR CRETA</t>
  </si>
  <si>
    <t>TALANG AIR STARGAZER</t>
  </si>
  <si>
    <t xml:space="preserve">OVER VENDER HILUX </t>
  </si>
  <si>
    <t>Rp 120,345,000</t>
  </si>
  <si>
    <t>OVERLAND WARRIOR PAJERO</t>
  </si>
  <si>
    <t>TOWING BLKG OFFROAD PAJERO</t>
  </si>
  <si>
    <t>Rp 10,000,000</t>
  </si>
  <si>
    <t>SARUNG JOK AGYA HTM BD</t>
  </si>
  <si>
    <t>SARUNG JOK AGYA H ABU</t>
  </si>
  <si>
    <t>SARUNG JOK AYLA HTM BD</t>
  </si>
  <si>
    <t>SARUNG JOK AYLA HTM ABU</t>
  </si>
  <si>
    <t>Rp 5,520,000</t>
  </si>
  <si>
    <t>SARUNG JOK RUSH H BD</t>
  </si>
  <si>
    <t>RAFELLO</t>
  </si>
  <si>
    <t>Rp 1,500,000</t>
  </si>
  <si>
    <t>FORTUNER TRD BUMPER BLKG</t>
  </si>
  <si>
    <t>Rp 9,900,000</t>
  </si>
  <si>
    <t>Rp 7,400,000</t>
  </si>
  <si>
    <t>GARNISH DPN HRV'22 HTM</t>
  </si>
  <si>
    <t>GARNISH BLKG HRV'22 HTM</t>
  </si>
  <si>
    <t>SILIKON KUNCI BRV HTM</t>
  </si>
  <si>
    <t>SILIKON KUNCI BRV MERAH</t>
  </si>
  <si>
    <t>SILIKON KUNCI INNOVA'16 HTM</t>
  </si>
  <si>
    <t>SILIKON KUNCI PAJERO HTM</t>
  </si>
  <si>
    <t>SPOILER BRIO HTM</t>
  </si>
  <si>
    <t>SPOILER BRIO MODERN STEEL</t>
  </si>
  <si>
    <t>SPOILER BRIO RED</t>
  </si>
  <si>
    <t>SPOILER BRIO KUNING</t>
  </si>
  <si>
    <t>TANK COVER BRIO HTM</t>
  </si>
  <si>
    <t>OUTHER FORTUNER '16 HITAM</t>
  </si>
  <si>
    <t>Rp 13,405,000</t>
  </si>
  <si>
    <t>PAJERO'16  BUMPER RHINO GUARD</t>
  </si>
  <si>
    <t>Rp 7,300,000</t>
  </si>
  <si>
    <t>KARPET DASAR CRETA HITAM</t>
  </si>
  <si>
    <t>LUNAS 10/12/22</t>
  </si>
  <si>
    <t>ROLL BAR HILUX</t>
  </si>
  <si>
    <t>Rp 5,200,000</t>
  </si>
  <si>
    <t>CAHAYA VARIASI</t>
  </si>
  <si>
    <t>SARUNG JOK CALYA H BD</t>
  </si>
  <si>
    <t>SARUNG JOK CALYA H ABU</t>
  </si>
  <si>
    <t>SARUNG JOK CALYA H COKLAT</t>
  </si>
  <si>
    <t>OVER FENDER HILUX</t>
  </si>
  <si>
    <t>OUTHER AGYA HTM</t>
  </si>
  <si>
    <t>GARNISH DEPAN AN AGYA HTM</t>
  </si>
  <si>
    <t>GARNISH BLKG AN AGYA HTM</t>
  </si>
  <si>
    <t>S JOK CALYA H ABU</t>
  </si>
  <si>
    <t>S JOK CALYA H BD</t>
  </si>
  <si>
    <t>KARPET DASAR PEREDAM DATSUN</t>
  </si>
  <si>
    <t>Rp 6,140,000</t>
  </si>
  <si>
    <t>BUMPER RHINO GUARD 11 PAJERO</t>
  </si>
  <si>
    <t>Rp 4,600,000</t>
  </si>
  <si>
    <t>Rp 113,330,000</t>
  </si>
  <si>
    <t>LIST PINTU&amp;KACA AN FORTUNER</t>
  </si>
  <si>
    <t>MR.BOOS</t>
  </si>
  <si>
    <t>MR.BOS</t>
  </si>
  <si>
    <t>KDP AN BRIO HTM</t>
  </si>
  <si>
    <t>KDP AGYA HTM</t>
  </si>
  <si>
    <t>KDP AN BRV HTM</t>
  </si>
  <si>
    <t>KDP RUSH HTM</t>
  </si>
  <si>
    <t>KDP KARIMUN</t>
  </si>
  <si>
    <t>KDP INNOVA ZENIX HTM</t>
  </si>
  <si>
    <t>Rp 7,800,000</t>
  </si>
  <si>
    <t>MOTOR SPIOM LIPAT AVANZA</t>
  </si>
  <si>
    <t>KF 3M 80%</t>
  </si>
  <si>
    <t>SARUNG JOK AN BRV CAMARO H RED</t>
  </si>
  <si>
    <t>S JOK MBTECH BRIO SATYA HTM</t>
  </si>
  <si>
    <t>S JOK AN INNOVA V HTM</t>
  </si>
  <si>
    <t>S JOK INNOVA ZENIX G</t>
  </si>
  <si>
    <t>S JOK INNOVA ZENIX V</t>
  </si>
  <si>
    <t>S JOK AN BRIO SATYA H CREAM</t>
  </si>
  <si>
    <t>S JOK AN BRIO SATYA HITAM</t>
  </si>
  <si>
    <t>S JOK AN BRIO RS HTM</t>
  </si>
  <si>
    <t>KARPET AN BRV LANGSUNG</t>
  </si>
  <si>
    <t>Rp 11,000,000</t>
  </si>
  <si>
    <t>Rp 93,120,000</t>
  </si>
  <si>
    <t>Rp 126,430,000</t>
  </si>
  <si>
    <t>MARET/ DIPECAH</t>
  </si>
  <si>
    <t>DUTA SUARA</t>
  </si>
  <si>
    <t>TRANSFER TGL 27/1/23</t>
  </si>
  <si>
    <t>TF TGL 31/1/23</t>
  </si>
  <si>
    <t>GIRO TGL 30/4/23</t>
  </si>
  <si>
    <t>GIRO TGL 30/3/23</t>
  </si>
  <si>
    <t>GIRO TGL 28/2/23</t>
  </si>
  <si>
    <t>GIRO  TGL 28/2/23</t>
  </si>
  <si>
    <t>TF TGL 28/2/23</t>
  </si>
  <si>
    <t>TF TGL 28/10/23</t>
  </si>
  <si>
    <t>TF TGL 1/2/23</t>
  </si>
  <si>
    <t>TF TGL 27/2/23</t>
  </si>
  <si>
    <t>TF TGL 4/3/23</t>
  </si>
  <si>
    <t>Rp 96,600,000</t>
  </si>
  <si>
    <t>TF TGL 4/3/22</t>
  </si>
  <si>
    <t>TF TGL 24/12/22</t>
  </si>
  <si>
    <t>TF TGL 21/3/23</t>
  </si>
  <si>
    <t>TRANSFER 27/3/23</t>
  </si>
  <si>
    <t>TF TGL 27/3/23</t>
  </si>
  <si>
    <t>TF TGL 3/4/23</t>
  </si>
  <si>
    <t>TF TGL 8/5/23</t>
  </si>
</sst>
</file>

<file path=xl/styles.xml><?xml version="1.0" encoding="utf-8"?>
<styleSheet xmlns="http://schemas.openxmlformats.org/spreadsheetml/2006/main">
  <numFmts count="7">
    <numFmt numFmtId="164" formatCode="_-&quot;£&quot;* #,##0_-;\-&quot;£&quot;* #,##0_-;_-&quot;£&quot;* &quot;-&quot;_-;_-@_-"/>
    <numFmt numFmtId="165" formatCode="_-&quot;£&quot;* #,##0.00_-;\-&quot;£&quot;* #,##0.00_-;_-&quot;£&quot;* &quot;-&quot;??_-;_-@_-"/>
    <numFmt numFmtId="166" formatCode="_-* #,##0.00_-;\-* #,##0.00_-;_-* &quot;-&quot;??_-;_-@_-"/>
    <numFmt numFmtId="167" formatCode="_(&quot;Rp&quot;* #,##0_);_(&quot;Rp&quot;* \(#,##0\);_(&quot;Rp&quot;* &quot;-&quot;_);_(@_)"/>
    <numFmt numFmtId="168" formatCode="_-[$Rp-421]* #,##0_ ;_-[$Rp-421]* \-#,##0\ ;_-[$Rp-421]* &quot;-&quot;_ ;_-@_ "/>
    <numFmt numFmtId="169" formatCode="_-[$Rp-421]* #,##0_ ;_-[$Rp-421]* \-#,##0\ ;_-[$Rp-421]* &quot;-&quot;??_ ;_-@_ "/>
    <numFmt numFmtId="170" formatCode="_-[$Rp-421]* #,##0.00_ ;_-[$Rp-421]* \-#,##0.00\ ;_-[$Rp-421]* &quot;-&quot;??_ ;_-@_ "/>
  </numFmts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haroni"/>
      <charset val="177"/>
    </font>
    <font>
      <sz val="11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486">
    <xf numFmtId="0" fontId="0" fillId="0" borderId="0" xfId="0"/>
    <xf numFmtId="0" fontId="2" fillId="0" borderId="0" xfId="0" applyFont="1"/>
    <xf numFmtId="0" fontId="0" fillId="0" borderId="0" xfId="0" applyAlignment="1">
      <alignment horizontal="center" vertical="center"/>
    </xf>
    <xf numFmtId="167" fontId="0" fillId="0" borderId="0" xfId="1" applyNumberFormat="1" applyFont="1"/>
    <xf numFmtId="1" fontId="2" fillId="0" borderId="0" xfId="0" applyNumberFormat="1" applyFont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67" fontId="0" fillId="0" borderId="1" xfId="1" applyNumberFormat="1" applyFont="1" applyBorder="1" applyAlignment="1">
      <alignment horizontal="center" vertical="center" wrapText="1"/>
    </xf>
    <xf numFmtId="167" fontId="0" fillId="0" borderId="1" xfId="1" applyNumberFormat="1" applyFon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16" fontId="0" fillId="0" borderId="1" xfId="0" applyNumberFormat="1" applyBorder="1"/>
    <xf numFmtId="0" fontId="0" fillId="0" borderId="1" xfId="0" applyBorder="1"/>
    <xf numFmtId="0" fontId="0" fillId="0" borderId="1" xfId="0" applyBorder="1" applyAlignment="1">
      <alignment horizontal="center"/>
    </xf>
    <xf numFmtId="168" fontId="0" fillId="0" borderId="1" xfId="0" applyNumberFormat="1" applyBorder="1"/>
    <xf numFmtId="168" fontId="0" fillId="0" borderId="1" xfId="0" applyNumberFormat="1" applyBorder="1" applyAlignment="1">
      <alignment vertical="center"/>
    </xf>
    <xf numFmtId="0" fontId="3" fillId="0" borderId="0" xfId="0" applyFont="1" applyAlignment="1">
      <alignment vertical="center"/>
    </xf>
    <xf numFmtId="1" fontId="3" fillId="0" borderId="1" xfId="0" quotePrefix="1" applyNumberFormat="1" applyFont="1" applyFill="1" applyBorder="1" applyAlignment="1">
      <alignment vertical="center"/>
    </xf>
    <xf numFmtId="0" fontId="3" fillId="0" borderId="0" xfId="0" applyFont="1" applyFill="1" applyAlignment="1"/>
    <xf numFmtId="1" fontId="3" fillId="2" borderId="1" xfId="0" quotePrefix="1" applyNumberFormat="1" applyFont="1" applyFill="1" applyBorder="1" applyAlignment="1">
      <alignment vertical="center"/>
    </xf>
    <xf numFmtId="16" fontId="3" fillId="2" borderId="1" xfId="0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0" borderId="0" xfId="0" applyFont="1" applyAlignment="1"/>
    <xf numFmtId="1" fontId="3" fillId="0" borderId="1" xfId="0" quotePrefix="1" applyNumberFormat="1" applyFont="1" applyBorder="1" applyAlignment="1">
      <alignment vertical="center"/>
    </xf>
    <xf numFmtId="16" fontId="3" fillId="0" borderId="1" xfId="0" applyNumberFormat="1" applyFont="1" applyBorder="1" applyAlignment="1">
      <alignment horizontal="center"/>
    </xf>
    <xf numFmtId="0" fontId="3" fillId="0" borderId="0" xfId="0" applyFont="1"/>
    <xf numFmtId="0" fontId="3" fillId="0" borderId="1" xfId="0" applyFont="1" applyBorder="1" applyAlignment="1">
      <alignment horizontal="center"/>
    </xf>
    <xf numFmtId="168" fontId="3" fillId="0" borderId="1" xfId="0" applyNumberFormat="1" applyFont="1" applyBorder="1"/>
    <xf numFmtId="0" fontId="3" fillId="0" borderId="1" xfId="0" applyFont="1" applyBorder="1"/>
    <xf numFmtId="168" fontId="3" fillId="0" borderId="1" xfId="0" applyNumberFormat="1" applyFont="1" applyFill="1" applyBorder="1"/>
    <xf numFmtId="0" fontId="3" fillId="0" borderId="1" xfId="0" applyNumberFormat="1" applyFont="1" applyBorder="1" applyAlignment="1">
      <alignment horizontal="center"/>
    </xf>
    <xf numFmtId="16" fontId="3" fillId="0" borderId="1" xfId="0" applyNumberFormat="1" applyFont="1" applyBorder="1"/>
    <xf numFmtId="16" fontId="0" fillId="0" borderId="1" xfId="0" applyNumberFormat="1" applyBorder="1" applyAlignment="1">
      <alignment horizontal="center"/>
    </xf>
    <xf numFmtId="0" fontId="3" fillId="0" borderId="0" xfId="0" applyFont="1" applyAlignment="1">
      <alignment horizontal="center"/>
    </xf>
    <xf numFmtId="167" fontId="3" fillId="0" borderId="0" xfId="0" applyNumberFormat="1" applyFont="1"/>
    <xf numFmtId="168" fontId="0" fillId="0" borderId="0" xfId="0" applyNumberFormat="1"/>
    <xf numFmtId="167" fontId="0" fillId="0" borderId="0" xfId="0" applyNumberFormat="1"/>
    <xf numFmtId="0" fontId="3" fillId="0" borderId="1" xfId="0" applyFont="1" applyBorder="1" applyAlignment="1">
      <alignment horizontal="right"/>
    </xf>
    <xf numFmtId="1" fontId="3" fillId="0" borderId="1" xfId="0" quotePrefix="1" applyNumberFormat="1" applyFont="1" applyFill="1" applyBorder="1" applyAlignment="1">
      <alignment horizontal="center" vertical="center"/>
    </xf>
    <xf numFmtId="16" fontId="0" fillId="3" borderId="1" xfId="0" applyNumberFormat="1" applyFill="1" applyBorder="1" applyAlignment="1">
      <alignment horizontal="center" wrapText="1"/>
    </xf>
    <xf numFmtId="0" fontId="3" fillId="3" borderId="1" xfId="0" applyFont="1" applyFill="1" applyBorder="1" applyAlignment="1">
      <alignment horizontal="center"/>
    </xf>
    <xf numFmtId="167" fontId="0" fillId="3" borderId="1" xfId="1" applyNumberFormat="1" applyFont="1" applyFill="1" applyBorder="1" applyAlignment="1">
      <alignment horizontal="center" vertical="center"/>
    </xf>
    <xf numFmtId="16" fontId="3" fillId="3" borderId="1" xfId="0" applyNumberFormat="1" applyFont="1" applyFill="1" applyBorder="1" applyAlignment="1">
      <alignment horizontal="center"/>
    </xf>
    <xf numFmtId="168" fontId="3" fillId="3" borderId="1" xfId="0" applyNumberFormat="1" applyFont="1" applyFill="1" applyBorder="1"/>
    <xf numFmtId="167" fontId="3" fillId="3" borderId="1" xfId="1" applyNumberFormat="1" applyFont="1" applyFill="1" applyBorder="1" applyAlignment="1"/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16" fontId="0" fillId="3" borderId="1" xfId="0" applyNumberFormat="1" applyFill="1" applyBorder="1" applyAlignment="1">
      <alignment horizontal="center"/>
    </xf>
    <xf numFmtId="169" fontId="0" fillId="3" borderId="1" xfId="0" applyNumberFormat="1" applyFill="1" applyBorder="1"/>
    <xf numFmtId="168" fontId="3" fillId="0" borderId="0" xfId="0" applyNumberFormat="1" applyFont="1" applyAlignment="1"/>
    <xf numFmtId="169" fontId="0" fillId="0" borderId="1" xfId="0" applyNumberFormat="1" applyBorder="1"/>
    <xf numFmtId="16" fontId="0" fillId="3" borderId="1" xfId="0" applyNumberFormat="1" applyFill="1" applyBorder="1"/>
    <xf numFmtId="168" fontId="0" fillId="3" borderId="1" xfId="0" applyNumberFormat="1" applyFill="1" applyBorder="1"/>
    <xf numFmtId="168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16" fontId="3" fillId="4" borderId="1" xfId="0" applyNumberFormat="1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68" fontId="3" fillId="4" borderId="1" xfId="0" applyNumberFormat="1" applyFont="1" applyFill="1" applyBorder="1"/>
    <xf numFmtId="16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167" fontId="3" fillId="5" borderId="1" xfId="1" applyNumberFormat="1" applyFont="1" applyFill="1" applyBorder="1" applyAlignment="1"/>
    <xf numFmtId="169" fontId="0" fillId="0" borderId="0" xfId="0" applyNumberFormat="1"/>
    <xf numFmtId="0" fontId="3" fillId="0" borderId="3" xfId="0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right"/>
    </xf>
    <xf numFmtId="16" fontId="0" fillId="5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69" fontId="0" fillId="5" borderId="1" xfId="0" applyNumberFormat="1" applyFill="1" applyBorder="1"/>
    <xf numFmtId="16" fontId="0" fillId="4" borderId="1" xfId="0" applyNumberForma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169" fontId="0" fillId="4" borderId="1" xfId="0" applyNumberFormat="1" applyFill="1" applyBorder="1"/>
    <xf numFmtId="0" fontId="0" fillId="5" borderId="1" xfId="0" applyFill="1" applyBorder="1" applyAlignment="1">
      <alignment horizontal="right"/>
    </xf>
    <xf numFmtId="0" fontId="3" fillId="0" borderId="0" xfId="0" applyFont="1" applyBorder="1" applyAlignment="1">
      <alignment horizontal="center" vertical="center" wrapText="1"/>
    </xf>
    <xf numFmtId="1" fontId="3" fillId="0" borderId="1" xfId="0" quotePrefix="1" applyNumberFormat="1" applyFont="1" applyFill="1" applyBorder="1" applyAlignment="1">
      <alignment horizontal="center"/>
    </xf>
    <xf numFmtId="1" fontId="3" fillId="2" borderId="1" xfId="0" quotePrefix="1" applyNumberFormat="1" applyFont="1" applyFill="1" applyBorder="1" applyAlignment="1">
      <alignment horizontal="center"/>
    </xf>
    <xf numFmtId="1" fontId="3" fillId="0" borderId="1" xfId="0" quotePrefix="1" applyNumberFormat="1" applyFont="1" applyBorder="1" applyAlignment="1">
      <alignment horizontal="center"/>
    </xf>
    <xf numFmtId="169" fontId="3" fillId="0" borderId="1" xfId="0" applyNumberFormat="1" applyFont="1" applyBorder="1"/>
    <xf numFmtId="168" fontId="0" fillId="0" borderId="6" xfId="0" applyNumberFormat="1" applyBorder="1"/>
    <xf numFmtId="168" fontId="0" fillId="0" borderId="2" xfId="0" applyNumberFormat="1" applyBorder="1"/>
    <xf numFmtId="0" fontId="0" fillId="0" borderId="2" xfId="0" applyBorder="1"/>
    <xf numFmtId="0" fontId="0" fillId="0" borderId="6" xfId="0" applyBorder="1"/>
    <xf numFmtId="168" fontId="0" fillId="0" borderId="7" xfId="0" applyNumberFormat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Fill="1" applyBorder="1"/>
    <xf numFmtId="0" fontId="0" fillId="0" borderId="16" xfId="0" applyBorder="1"/>
    <xf numFmtId="0" fontId="0" fillId="0" borderId="15" xfId="0" applyBorder="1"/>
    <xf numFmtId="0" fontId="0" fillId="0" borderId="17" xfId="0" applyBorder="1"/>
    <xf numFmtId="168" fontId="0" fillId="0" borderId="10" xfId="0" applyNumberFormat="1" applyBorder="1"/>
    <xf numFmtId="168" fontId="0" fillId="0" borderId="11" xfId="0" applyNumberFormat="1" applyBorder="1"/>
    <xf numFmtId="168" fontId="0" fillId="0" borderId="8" xfId="0" applyNumberFormat="1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3" fontId="0" fillId="0" borderId="6" xfId="0" applyNumberFormat="1" applyBorder="1"/>
    <xf numFmtId="4" fontId="0" fillId="0" borderId="6" xfId="0" applyNumberFormat="1" applyBorder="1"/>
    <xf numFmtId="16" fontId="0" fillId="6" borderId="1" xfId="0" applyNumberForma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1" xfId="0" applyFill="1" applyBorder="1"/>
    <xf numFmtId="16" fontId="3" fillId="6" borderId="1" xfId="0" applyNumberFormat="1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168" fontId="3" fillId="6" borderId="1" xfId="0" applyNumberFormat="1" applyFont="1" applyFill="1" applyBorder="1"/>
    <xf numFmtId="0" fontId="3" fillId="6" borderId="1" xfId="0" applyFont="1" applyFill="1" applyBorder="1" applyAlignment="1">
      <alignment horizontal="right"/>
    </xf>
    <xf numFmtId="16" fontId="0" fillId="8" borderId="1" xfId="0" applyNumberFormat="1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169" fontId="0" fillId="8" borderId="1" xfId="0" applyNumberFormat="1" applyFill="1" applyBorder="1"/>
    <xf numFmtId="16" fontId="0" fillId="9" borderId="1" xfId="0" applyNumberFormat="1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169" fontId="0" fillId="9" borderId="1" xfId="0" applyNumberFormat="1" applyFill="1" applyBorder="1"/>
    <xf numFmtId="0" fontId="0" fillId="9" borderId="1" xfId="0" applyFill="1" applyBorder="1"/>
    <xf numFmtId="16" fontId="3" fillId="10" borderId="1" xfId="0" applyNumberFormat="1" applyFont="1" applyFill="1" applyBorder="1" applyAlignment="1">
      <alignment horizontal="center"/>
    </xf>
    <xf numFmtId="0" fontId="3" fillId="10" borderId="1" xfId="0" applyFont="1" applyFill="1" applyBorder="1" applyAlignment="1">
      <alignment horizontal="center"/>
    </xf>
    <xf numFmtId="168" fontId="3" fillId="10" borderId="1" xfId="0" applyNumberFormat="1" applyFont="1" applyFill="1" applyBorder="1"/>
    <xf numFmtId="16" fontId="3" fillId="8" borderId="1" xfId="0" applyNumberFormat="1" applyFont="1" applyFill="1" applyBorder="1" applyAlignment="1">
      <alignment horizontal="center"/>
    </xf>
    <xf numFmtId="0" fontId="3" fillId="8" borderId="1" xfId="0" applyFont="1" applyFill="1" applyBorder="1" applyAlignment="1">
      <alignment horizontal="center"/>
    </xf>
    <xf numFmtId="168" fontId="3" fillId="8" borderId="1" xfId="0" applyNumberFormat="1" applyFont="1" applyFill="1" applyBorder="1"/>
    <xf numFmtId="0" fontId="3" fillId="10" borderId="1" xfId="0" applyFont="1" applyFill="1" applyBorder="1"/>
    <xf numFmtId="0" fontId="3" fillId="8" borderId="1" xfId="0" applyFont="1" applyFill="1" applyBorder="1"/>
    <xf numFmtId="169" fontId="0" fillId="3" borderId="1" xfId="0" applyNumberFormat="1" applyFill="1" applyBorder="1" applyAlignment="1">
      <alignment horizontal="center"/>
    </xf>
    <xf numFmtId="0" fontId="3" fillId="3" borderId="1" xfId="0" applyFont="1" applyFill="1" applyBorder="1"/>
    <xf numFmtId="16" fontId="0" fillId="10" borderId="1" xfId="0" applyNumberFormat="1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10" borderId="1" xfId="0" applyFill="1" applyBorder="1" applyAlignment="1">
      <alignment horizontal="left"/>
    </xf>
    <xf numFmtId="16" fontId="3" fillId="7" borderId="1" xfId="0" applyNumberFormat="1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168" fontId="3" fillId="7" borderId="1" xfId="0" applyNumberFormat="1" applyFont="1" applyFill="1" applyBorder="1"/>
    <xf numFmtId="0" fontId="3" fillId="7" borderId="1" xfId="0" applyFont="1" applyFill="1" applyBorder="1"/>
    <xf numFmtId="16" fontId="3" fillId="11" borderId="1" xfId="0" applyNumberFormat="1" applyFont="1" applyFill="1" applyBorder="1" applyAlignment="1">
      <alignment horizontal="center"/>
    </xf>
    <xf numFmtId="0" fontId="3" fillId="11" borderId="1" xfId="0" applyFont="1" applyFill="1" applyBorder="1" applyAlignment="1">
      <alignment horizontal="center"/>
    </xf>
    <xf numFmtId="168" fontId="3" fillId="11" borderId="1" xfId="0" applyNumberFormat="1" applyFont="1" applyFill="1" applyBorder="1"/>
    <xf numFmtId="0" fontId="3" fillId="11" borderId="1" xfId="0" applyFont="1" applyFill="1" applyBorder="1"/>
    <xf numFmtId="0" fontId="3" fillId="12" borderId="1" xfId="0" applyFont="1" applyFill="1" applyBorder="1" applyAlignment="1">
      <alignment horizontal="right"/>
    </xf>
    <xf numFmtId="16" fontId="0" fillId="13" borderId="1" xfId="0" applyNumberFormat="1" applyFill="1" applyBorder="1" applyAlignment="1">
      <alignment horizontal="center"/>
    </xf>
    <xf numFmtId="0" fontId="0" fillId="13" borderId="1" xfId="0" applyFill="1" applyBorder="1" applyAlignment="1">
      <alignment horizontal="center"/>
    </xf>
    <xf numFmtId="169" fontId="0" fillId="13" borderId="1" xfId="0" applyNumberFormat="1" applyFill="1" applyBorder="1"/>
    <xf numFmtId="16" fontId="0" fillId="14" borderId="1" xfId="0" applyNumberFormat="1" applyFill="1" applyBorder="1" applyAlignment="1">
      <alignment horizontal="center"/>
    </xf>
    <xf numFmtId="0" fontId="0" fillId="14" borderId="1" xfId="0" applyFill="1" applyBorder="1" applyAlignment="1">
      <alignment horizontal="center"/>
    </xf>
    <xf numFmtId="169" fontId="0" fillId="14" borderId="1" xfId="0" applyNumberFormat="1" applyFill="1" applyBorder="1"/>
    <xf numFmtId="0" fontId="3" fillId="14" borderId="1" xfId="0" applyFont="1" applyFill="1" applyBorder="1" applyAlignment="1">
      <alignment horizontal="right"/>
    </xf>
    <xf numFmtId="16" fontId="0" fillId="16" borderId="1" xfId="0" applyNumberFormat="1" applyFill="1" applyBorder="1" applyAlignment="1">
      <alignment horizontal="center"/>
    </xf>
    <xf numFmtId="169" fontId="0" fillId="16" borderId="1" xfId="0" applyNumberFormat="1" applyFill="1" applyBorder="1"/>
    <xf numFmtId="16" fontId="0" fillId="17" borderId="1" xfId="0" applyNumberFormat="1" applyFill="1" applyBorder="1" applyAlignment="1">
      <alignment horizontal="center"/>
    </xf>
    <xf numFmtId="0" fontId="0" fillId="17" borderId="1" xfId="0" applyFill="1" applyBorder="1" applyAlignment="1">
      <alignment horizontal="center"/>
    </xf>
    <xf numFmtId="169" fontId="0" fillId="17" borderId="1" xfId="0" applyNumberFormat="1" applyFill="1" applyBorder="1"/>
    <xf numFmtId="0" fontId="3" fillId="17" borderId="1" xfId="0" applyFont="1" applyFill="1" applyBorder="1" applyAlignment="1">
      <alignment horizontal="right"/>
    </xf>
    <xf numFmtId="0" fontId="0" fillId="16" borderId="1" xfId="0" applyFill="1" applyBorder="1"/>
    <xf numFmtId="0" fontId="0" fillId="4" borderId="1" xfId="0" applyFill="1" applyBorder="1"/>
    <xf numFmtId="16" fontId="0" fillId="18" borderId="1" xfId="0" applyNumberFormat="1" applyFill="1" applyBorder="1" applyAlignment="1">
      <alignment horizontal="center"/>
    </xf>
    <xf numFmtId="0" fontId="0" fillId="18" borderId="1" xfId="0" applyFill="1" applyBorder="1" applyAlignment="1">
      <alignment horizontal="center"/>
    </xf>
    <xf numFmtId="169" fontId="0" fillId="18" borderId="1" xfId="0" applyNumberFormat="1" applyFill="1" applyBorder="1"/>
    <xf numFmtId="0" fontId="0" fillId="13" borderId="1" xfId="0" applyFill="1" applyBorder="1"/>
    <xf numFmtId="16" fontId="3" fillId="12" borderId="1" xfId="0" applyNumberFormat="1" applyFont="1" applyFill="1" applyBorder="1" applyAlignment="1">
      <alignment horizontal="center"/>
    </xf>
    <xf numFmtId="0" fontId="3" fillId="12" borderId="1" xfId="0" applyFont="1" applyFill="1" applyBorder="1" applyAlignment="1">
      <alignment horizontal="center"/>
    </xf>
    <xf numFmtId="168" fontId="3" fillId="12" borderId="1" xfId="0" applyNumberFormat="1" applyFont="1" applyFill="1" applyBorder="1"/>
    <xf numFmtId="1" fontId="3" fillId="19" borderId="1" xfId="0" quotePrefix="1" applyNumberFormat="1" applyFont="1" applyFill="1" applyBorder="1" applyAlignment="1">
      <alignment vertical="center"/>
    </xf>
    <xf numFmtId="16" fontId="3" fillId="19" borderId="1" xfId="0" applyNumberFormat="1" applyFont="1" applyFill="1" applyBorder="1" applyAlignment="1">
      <alignment horizontal="center"/>
    </xf>
    <xf numFmtId="0" fontId="3" fillId="19" borderId="1" xfId="0" applyFont="1" applyFill="1" applyBorder="1" applyAlignment="1">
      <alignment horizontal="center"/>
    </xf>
    <xf numFmtId="168" fontId="3" fillId="19" borderId="1" xfId="0" applyNumberFormat="1" applyFont="1" applyFill="1" applyBorder="1"/>
    <xf numFmtId="0" fontId="3" fillId="19" borderId="1" xfId="0" applyFont="1" applyFill="1" applyBorder="1" applyAlignment="1">
      <alignment horizontal="right"/>
    </xf>
    <xf numFmtId="169" fontId="0" fillId="6" borderId="1" xfId="0" applyNumberFormat="1" applyFill="1" applyBorder="1" applyAlignment="1">
      <alignment horizontal="center"/>
    </xf>
    <xf numFmtId="16" fontId="0" fillId="20" borderId="1" xfId="0" applyNumberFormat="1" applyFill="1" applyBorder="1" applyAlignment="1">
      <alignment horizontal="center"/>
    </xf>
    <xf numFmtId="0" fontId="0" fillId="20" borderId="1" xfId="0" applyFill="1" applyBorder="1" applyAlignment="1">
      <alignment horizontal="center"/>
    </xf>
    <xf numFmtId="169" fontId="0" fillId="20" borderId="1" xfId="0" applyNumberFormat="1" applyFill="1" applyBorder="1"/>
    <xf numFmtId="0" fontId="0" fillId="20" borderId="1" xfId="0" applyFill="1" applyBorder="1"/>
    <xf numFmtId="16" fontId="3" fillId="20" borderId="1" xfId="0" applyNumberFormat="1" applyFont="1" applyFill="1" applyBorder="1" applyAlignment="1">
      <alignment horizontal="center"/>
    </xf>
    <xf numFmtId="0" fontId="3" fillId="20" borderId="1" xfId="0" applyFont="1" applyFill="1" applyBorder="1" applyAlignment="1">
      <alignment horizontal="center"/>
    </xf>
    <xf numFmtId="167" fontId="3" fillId="20" borderId="1" xfId="1" applyNumberFormat="1" applyFont="1" applyFill="1" applyBorder="1" applyAlignment="1"/>
    <xf numFmtId="168" fontId="3" fillId="20" borderId="1" xfId="0" applyNumberFormat="1" applyFont="1" applyFill="1" applyBorder="1"/>
    <xf numFmtId="0" fontId="3" fillId="20" borderId="1" xfId="0" applyFont="1" applyFill="1" applyBorder="1" applyAlignment="1">
      <alignment horizontal="right"/>
    </xf>
    <xf numFmtId="3" fontId="0" fillId="20" borderId="1" xfId="0" applyNumberFormat="1" applyFill="1" applyBorder="1"/>
    <xf numFmtId="168" fontId="0" fillId="0" borderId="21" xfId="0" applyNumberFormat="1" applyBorder="1" applyAlignment="1">
      <alignment vertical="center"/>
    </xf>
    <xf numFmtId="167" fontId="0" fillId="0" borderId="2" xfId="1" applyNumberFormat="1" applyFont="1" applyBorder="1" applyAlignment="1">
      <alignment horizontal="center" vertical="center" wrapText="1"/>
    </xf>
    <xf numFmtId="168" fontId="0" fillId="0" borderId="22" xfId="0" applyNumberFormat="1" applyBorder="1" applyAlignment="1">
      <alignment vertical="center"/>
    </xf>
    <xf numFmtId="168" fontId="0" fillId="0" borderId="23" xfId="0" applyNumberFormat="1" applyBorder="1" applyAlignment="1">
      <alignment vertical="center"/>
    </xf>
    <xf numFmtId="168" fontId="3" fillId="0" borderId="6" xfId="0" applyNumberFormat="1" applyFont="1" applyBorder="1"/>
    <xf numFmtId="0" fontId="3" fillId="0" borderId="21" xfId="0" applyFont="1" applyBorder="1" applyAlignment="1">
      <alignment horizontal="center"/>
    </xf>
    <xf numFmtId="0" fontId="3" fillId="0" borderId="21" xfId="0" applyFont="1" applyBorder="1"/>
    <xf numFmtId="0" fontId="0" fillId="0" borderId="21" xfId="0" applyBorder="1"/>
    <xf numFmtId="168" fontId="0" fillId="0" borderId="4" xfId="0" applyNumberFormat="1" applyBorder="1"/>
    <xf numFmtId="168" fontId="3" fillId="0" borderId="22" xfId="0" applyNumberFormat="1" applyFont="1" applyBorder="1"/>
    <xf numFmtId="168" fontId="3" fillId="0" borderId="23" xfId="0" applyNumberFormat="1" applyFont="1" applyBorder="1"/>
    <xf numFmtId="168" fontId="0" fillId="0" borderId="23" xfId="0" applyNumberFormat="1" applyBorder="1"/>
    <xf numFmtId="168" fontId="0" fillId="0" borderId="22" xfId="0" applyNumberFormat="1" applyBorder="1"/>
    <xf numFmtId="168" fontId="0" fillId="0" borderId="24" xfId="0" applyNumberFormat="1" applyBorder="1"/>
    <xf numFmtId="16" fontId="0" fillId="21" borderId="1" xfId="0" applyNumberFormat="1" applyFill="1" applyBorder="1" applyAlignment="1">
      <alignment horizontal="center"/>
    </xf>
    <xf numFmtId="0" fontId="0" fillId="21" borderId="1" xfId="0" applyFill="1" applyBorder="1" applyAlignment="1">
      <alignment horizontal="center"/>
    </xf>
    <xf numFmtId="169" fontId="0" fillId="21" borderId="1" xfId="0" applyNumberFormat="1" applyFill="1" applyBorder="1"/>
    <xf numFmtId="0" fontId="3" fillId="21" borderId="1" xfId="0" applyFont="1" applyFill="1" applyBorder="1" applyAlignment="1">
      <alignment horizontal="right"/>
    </xf>
    <xf numFmtId="168" fontId="0" fillId="0" borderId="24" xfId="0" applyNumberFormat="1" applyBorder="1" applyAlignment="1">
      <alignment vertical="center"/>
    </xf>
    <xf numFmtId="168" fontId="3" fillId="9" borderId="1" xfId="0" applyNumberFormat="1" applyFont="1" applyFill="1" applyBorder="1"/>
    <xf numFmtId="0" fontId="3" fillId="11" borderId="1" xfId="0" applyFont="1" applyFill="1" applyBorder="1" applyAlignment="1">
      <alignment horizontal="right"/>
    </xf>
    <xf numFmtId="16" fontId="3" fillId="22" borderId="1" xfId="0" applyNumberFormat="1" applyFont="1" applyFill="1" applyBorder="1" applyAlignment="1">
      <alignment horizontal="center"/>
    </xf>
    <xf numFmtId="0" fontId="3" fillId="22" borderId="1" xfId="0" applyFont="1" applyFill="1" applyBorder="1" applyAlignment="1">
      <alignment horizontal="center"/>
    </xf>
    <xf numFmtId="16" fontId="3" fillId="13" borderId="1" xfId="0" applyNumberFormat="1" applyFont="1" applyFill="1" applyBorder="1" applyAlignment="1">
      <alignment horizontal="center"/>
    </xf>
    <xf numFmtId="0" fontId="3" fillId="13" borderId="1" xfId="0" applyFont="1" applyFill="1" applyBorder="1" applyAlignment="1">
      <alignment horizontal="center"/>
    </xf>
    <xf numFmtId="167" fontId="3" fillId="13" borderId="1" xfId="1" applyNumberFormat="1" applyFont="1" applyFill="1" applyBorder="1" applyAlignment="1"/>
    <xf numFmtId="1" fontId="3" fillId="13" borderId="1" xfId="0" quotePrefix="1" applyNumberFormat="1" applyFont="1" applyFill="1" applyBorder="1" applyAlignment="1">
      <alignment vertical="center"/>
    </xf>
    <xf numFmtId="1" fontId="3" fillId="6" borderId="1" xfId="0" quotePrefix="1" applyNumberFormat="1" applyFont="1" applyFill="1" applyBorder="1" applyAlignment="1">
      <alignment vertical="center"/>
    </xf>
    <xf numFmtId="1" fontId="3" fillId="23" borderId="1" xfId="0" quotePrefix="1" applyNumberFormat="1" applyFont="1" applyFill="1" applyBorder="1" applyAlignment="1">
      <alignment vertical="center"/>
    </xf>
    <xf numFmtId="16" fontId="3" fillId="23" borderId="1" xfId="0" applyNumberFormat="1" applyFont="1" applyFill="1" applyBorder="1" applyAlignment="1">
      <alignment horizontal="center"/>
    </xf>
    <xf numFmtId="0" fontId="3" fillId="23" borderId="1" xfId="0" applyFont="1" applyFill="1" applyBorder="1" applyAlignment="1">
      <alignment horizontal="center"/>
    </xf>
    <xf numFmtId="168" fontId="3" fillId="23" borderId="1" xfId="0" applyNumberFormat="1" applyFont="1" applyFill="1" applyBorder="1"/>
    <xf numFmtId="0" fontId="0" fillId="23" borderId="1" xfId="0" applyFill="1" applyBorder="1"/>
    <xf numFmtId="1" fontId="3" fillId="22" borderId="1" xfId="0" quotePrefix="1" applyNumberFormat="1" applyFont="1" applyFill="1" applyBorder="1" applyAlignment="1">
      <alignment vertical="center"/>
    </xf>
    <xf numFmtId="168" fontId="3" fillId="22" borderId="1" xfId="0" applyNumberFormat="1" applyFont="1" applyFill="1" applyBorder="1"/>
    <xf numFmtId="168" fontId="0" fillId="0" borderId="26" xfId="0" applyNumberFormat="1" applyBorder="1"/>
    <xf numFmtId="168" fontId="0" fillId="0" borderId="27" xfId="0" applyNumberFormat="1" applyBorder="1"/>
    <xf numFmtId="1" fontId="3" fillId="24" borderId="1" xfId="0" quotePrefix="1" applyNumberFormat="1" applyFont="1" applyFill="1" applyBorder="1" applyAlignment="1">
      <alignment vertical="center"/>
    </xf>
    <xf numFmtId="168" fontId="3" fillId="24" borderId="1" xfId="0" applyNumberFormat="1" applyFont="1" applyFill="1" applyBorder="1"/>
    <xf numFmtId="0" fontId="3" fillId="24" borderId="1" xfId="0" applyFont="1" applyFill="1" applyBorder="1" applyAlignment="1">
      <alignment horizontal="right"/>
    </xf>
    <xf numFmtId="168" fontId="3" fillId="13" borderId="1" xfId="0" applyNumberFormat="1" applyFont="1" applyFill="1" applyBorder="1"/>
    <xf numFmtId="0" fontId="3" fillId="13" borderId="1" xfId="0" applyFont="1" applyFill="1" applyBorder="1" applyAlignment="1">
      <alignment horizontal="right"/>
    </xf>
    <xf numFmtId="16" fontId="3" fillId="24" borderId="1" xfId="0" applyNumberFormat="1" applyFont="1" applyFill="1" applyBorder="1" applyAlignment="1">
      <alignment horizontal="center"/>
    </xf>
    <xf numFmtId="0" fontId="3" fillId="24" borderId="1" xfId="0" applyFont="1" applyFill="1" applyBorder="1" applyAlignment="1">
      <alignment horizontal="center"/>
    </xf>
    <xf numFmtId="0" fontId="0" fillId="24" borderId="1" xfId="0" applyFill="1" applyBorder="1" applyAlignment="1">
      <alignment horizontal="right"/>
    </xf>
    <xf numFmtId="168" fontId="0" fillId="0" borderId="28" xfId="0" applyNumberFormat="1" applyBorder="1"/>
    <xf numFmtId="16" fontId="0" fillId="2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69" fontId="0" fillId="2" borderId="1" xfId="0" applyNumberFormat="1" applyFill="1" applyBorder="1"/>
    <xf numFmtId="0" fontId="3" fillId="2" borderId="1" xfId="0" applyFont="1" applyFill="1" applyBorder="1" applyAlignment="1">
      <alignment horizontal="right"/>
    </xf>
    <xf numFmtId="168" fontId="0" fillId="0" borderId="6" xfId="0" applyNumberFormat="1" applyBorder="1" applyAlignment="1">
      <alignment horizontal="center"/>
    </xf>
    <xf numFmtId="169" fontId="3" fillId="0" borderId="1" xfId="0" applyNumberFormat="1" applyFont="1" applyBorder="1" applyAlignment="1">
      <alignment horizontal="center"/>
    </xf>
    <xf numFmtId="168" fontId="0" fillId="6" borderId="1" xfId="0" applyNumberFormat="1" applyFill="1" applyBorder="1"/>
    <xf numFmtId="168" fontId="0" fillId="6" borderId="6" xfId="0" applyNumberFormat="1" applyFill="1" applyBorder="1"/>
    <xf numFmtId="168" fontId="0" fillId="6" borderId="23" xfId="0" applyNumberFormat="1" applyFill="1" applyBorder="1"/>
    <xf numFmtId="0" fontId="0" fillId="0" borderId="6" xfId="0" applyBorder="1" applyAlignment="1">
      <alignment horizontal="center"/>
    </xf>
    <xf numFmtId="0" fontId="0" fillId="0" borderId="4" xfId="0" applyBorder="1"/>
    <xf numFmtId="0" fontId="0" fillId="0" borderId="23" xfId="0" applyBorder="1"/>
    <xf numFmtId="0" fontId="0" fillId="0" borderId="24" xfId="0" applyBorder="1"/>
    <xf numFmtId="1" fontId="3" fillId="25" borderId="1" xfId="0" quotePrefix="1" applyNumberFormat="1" applyFont="1" applyFill="1" applyBorder="1" applyAlignment="1">
      <alignment vertical="center"/>
    </xf>
    <xf numFmtId="16" fontId="3" fillId="25" borderId="1" xfId="0" applyNumberFormat="1" applyFont="1" applyFill="1" applyBorder="1" applyAlignment="1">
      <alignment horizontal="center"/>
    </xf>
    <xf numFmtId="0" fontId="3" fillId="25" borderId="1" xfId="0" applyFont="1" applyFill="1" applyBorder="1" applyAlignment="1">
      <alignment horizontal="center"/>
    </xf>
    <xf numFmtId="168" fontId="3" fillId="25" borderId="1" xfId="0" applyNumberFormat="1" applyFont="1" applyFill="1" applyBorder="1"/>
    <xf numFmtId="0" fontId="3" fillId="25" borderId="1" xfId="0" applyFont="1" applyFill="1" applyBorder="1" applyAlignment="1">
      <alignment horizontal="right"/>
    </xf>
    <xf numFmtId="1" fontId="3" fillId="15" borderId="1" xfId="0" quotePrefix="1" applyNumberFormat="1" applyFont="1" applyFill="1" applyBorder="1" applyAlignment="1">
      <alignment vertical="center"/>
    </xf>
    <xf numFmtId="16" fontId="3" fillId="15" borderId="1" xfId="0" applyNumberFormat="1" applyFont="1" applyFill="1" applyBorder="1" applyAlignment="1">
      <alignment horizontal="center"/>
    </xf>
    <xf numFmtId="0" fontId="3" fillId="15" borderId="1" xfId="0" applyFont="1" applyFill="1" applyBorder="1" applyAlignment="1">
      <alignment horizontal="center"/>
    </xf>
    <xf numFmtId="168" fontId="3" fillId="15" borderId="1" xfId="0" applyNumberFormat="1" applyFont="1" applyFill="1" applyBorder="1"/>
    <xf numFmtId="0" fontId="3" fillId="15" borderId="1" xfId="0" applyFont="1" applyFill="1" applyBorder="1" applyAlignment="1">
      <alignment horizontal="right"/>
    </xf>
    <xf numFmtId="1" fontId="3" fillId="3" borderId="1" xfId="0" quotePrefix="1" applyNumberFormat="1" applyFont="1" applyFill="1" applyBorder="1" applyAlignment="1">
      <alignment vertical="center"/>
    </xf>
    <xf numFmtId="0" fontId="3" fillId="3" borderId="1" xfId="0" applyFont="1" applyFill="1" applyBorder="1" applyAlignment="1">
      <alignment horizontal="right"/>
    </xf>
    <xf numFmtId="170" fontId="3" fillId="0" borderId="1" xfId="3" applyNumberFormat="1" applyFont="1" applyBorder="1"/>
    <xf numFmtId="170" fontId="3" fillId="0" borderId="0" xfId="3" applyNumberFormat="1" applyFont="1"/>
    <xf numFmtId="170" fontId="3" fillId="0" borderId="0" xfId="0" applyNumberFormat="1" applyFont="1"/>
    <xf numFmtId="170" fontId="3" fillId="19" borderId="1" xfId="3" applyNumberFormat="1" applyFont="1" applyFill="1" applyBorder="1" applyAlignment="1">
      <alignment horizontal="right"/>
    </xf>
    <xf numFmtId="0" fontId="0" fillId="19" borderId="1" xfId="0" applyFill="1" applyBorder="1"/>
    <xf numFmtId="1" fontId="3" fillId="9" borderId="1" xfId="0" quotePrefix="1" applyNumberFormat="1" applyFont="1" applyFill="1" applyBorder="1" applyAlignment="1">
      <alignment vertical="center"/>
    </xf>
    <xf numFmtId="170" fontId="0" fillId="9" borderId="1" xfId="2" applyNumberFormat="1" applyFont="1" applyFill="1" applyBorder="1" applyAlignment="1">
      <alignment horizontal="right"/>
    </xf>
    <xf numFmtId="16" fontId="3" fillId="9" borderId="1" xfId="0" applyNumberFormat="1" applyFont="1" applyFill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170" fontId="3" fillId="9" borderId="1" xfId="3" applyNumberFormat="1" applyFont="1" applyFill="1" applyBorder="1" applyAlignment="1">
      <alignment horizontal="right"/>
    </xf>
    <xf numFmtId="170" fontId="3" fillId="6" borderId="1" xfId="2" applyNumberFormat="1" applyFont="1" applyFill="1" applyBorder="1" applyAlignment="1">
      <alignment horizontal="right"/>
    </xf>
    <xf numFmtId="170" fontId="3" fillId="6" borderId="1" xfId="3" applyNumberFormat="1" applyFont="1" applyFill="1" applyBorder="1" applyAlignment="1">
      <alignment horizontal="right"/>
    </xf>
    <xf numFmtId="170" fontId="3" fillId="19" borderId="1" xfId="3" applyNumberFormat="1" applyFont="1" applyFill="1" applyBorder="1"/>
    <xf numFmtId="0" fontId="0" fillId="0" borderId="22" xfId="0" applyBorder="1"/>
    <xf numFmtId="0" fontId="3" fillId="6" borderId="1" xfId="0" applyFont="1" applyFill="1" applyBorder="1" applyAlignment="1">
      <alignment horizontal="left"/>
    </xf>
    <xf numFmtId="0" fontId="3" fillId="22" borderId="1" xfId="0" applyFont="1" applyFill="1" applyBorder="1" applyAlignment="1">
      <alignment horizontal="left"/>
    </xf>
    <xf numFmtId="16" fontId="3" fillId="20" borderId="1" xfId="0" applyNumberFormat="1" applyFont="1" applyFill="1" applyBorder="1" applyAlignment="1">
      <alignment horizontal="left"/>
    </xf>
    <xf numFmtId="0" fontId="0" fillId="6" borderId="4" xfId="0" applyFill="1" applyBorder="1" applyAlignment="1">
      <alignment horizontal="left" vertical="center"/>
    </xf>
    <xf numFmtId="0" fontId="0" fillId="8" borderId="1" xfId="0" applyFill="1" applyBorder="1" applyAlignment="1">
      <alignment horizontal="left"/>
    </xf>
    <xf numFmtId="0" fontId="3" fillId="9" borderId="1" xfId="0" applyFont="1" applyFill="1" applyBorder="1" applyAlignment="1">
      <alignment horizontal="left"/>
    </xf>
    <xf numFmtId="0" fontId="3" fillId="8" borderId="1" xfId="0" applyFont="1" applyFill="1" applyBorder="1" applyAlignment="1">
      <alignment horizontal="right"/>
    </xf>
    <xf numFmtId="0" fontId="0" fillId="0" borderId="3" xfId="0" applyFill="1" applyBorder="1" applyAlignment="1">
      <alignment horizontal="center"/>
    </xf>
    <xf numFmtId="0" fontId="0" fillId="0" borderId="25" xfId="0" applyBorder="1"/>
    <xf numFmtId="1" fontId="3" fillId="4" borderId="1" xfId="0" quotePrefix="1" applyNumberFormat="1" applyFont="1" applyFill="1" applyBorder="1" applyAlignment="1">
      <alignment vertical="center"/>
    </xf>
    <xf numFmtId="168" fontId="0" fillId="0" borderId="16" xfId="0" applyNumberFormat="1" applyBorder="1"/>
    <xf numFmtId="0" fontId="3" fillId="24" borderId="0" xfId="0" applyFont="1" applyFill="1" applyBorder="1"/>
    <xf numFmtId="16" fontId="3" fillId="24" borderId="0" xfId="0" applyNumberFormat="1" applyFont="1" applyFill="1" applyBorder="1" applyAlignment="1">
      <alignment horizontal="center"/>
    </xf>
    <xf numFmtId="0" fontId="3" fillId="24" borderId="0" xfId="0" applyFont="1" applyFill="1" applyBorder="1" applyAlignment="1">
      <alignment horizontal="center"/>
    </xf>
    <xf numFmtId="168" fontId="3" fillId="24" borderId="0" xfId="0" applyNumberFormat="1" applyFont="1" applyFill="1" applyBorder="1"/>
    <xf numFmtId="0" fontId="0" fillId="0" borderId="23" xfId="0" applyFill="1" applyBorder="1" applyAlignment="1">
      <alignment horizontal="center"/>
    </xf>
    <xf numFmtId="168" fontId="3" fillId="0" borderId="0" xfId="0" applyNumberFormat="1" applyFont="1" applyBorder="1"/>
    <xf numFmtId="168" fontId="3" fillId="0" borderId="5" xfId="0" applyNumberFormat="1" applyFont="1" applyBorder="1"/>
    <xf numFmtId="168" fontId="3" fillId="0" borderId="7" xfId="0" applyNumberFormat="1" applyFont="1" applyBorder="1"/>
    <xf numFmtId="168" fontId="3" fillId="0" borderId="4" xfId="0" applyNumberFormat="1" applyFont="1" applyBorder="1"/>
    <xf numFmtId="168" fontId="3" fillId="0" borderId="25" xfId="0" applyNumberFormat="1" applyFont="1" applyBorder="1"/>
    <xf numFmtId="169" fontId="0" fillId="6" borderId="1" xfId="0" applyNumberFormat="1" applyFill="1" applyBorder="1"/>
    <xf numFmtId="0" fontId="3" fillId="27" borderId="1" xfId="0" applyFont="1" applyFill="1" applyBorder="1"/>
    <xf numFmtId="16" fontId="3" fillId="27" borderId="1" xfId="0" applyNumberFormat="1" applyFont="1" applyFill="1" applyBorder="1" applyAlignment="1">
      <alignment horizontal="center"/>
    </xf>
    <xf numFmtId="0" fontId="3" fillId="27" borderId="1" xfId="0" applyFont="1" applyFill="1" applyBorder="1" applyAlignment="1">
      <alignment horizontal="center"/>
    </xf>
    <xf numFmtId="168" fontId="3" fillId="27" borderId="1" xfId="0" applyNumberFormat="1" applyFont="1" applyFill="1" applyBorder="1"/>
    <xf numFmtId="168" fontId="3" fillId="0" borderId="0" xfId="0" applyNumberFormat="1" applyFont="1"/>
    <xf numFmtId="1" fontId="3" fillId="20" borderId="1" xfId="0" quotePrefix="1" applyNumberFormat="1" applyFont="1" applyFill="1" applyBorder="1" applyAlignment="1">
      <alignment vertical="center"/>
    </xf>
    <xf numFmtId="16" fontId="0" fillId="20" borderId="1" xfId="0" applyNumberFormat="1" applyFill="1" applyBorder="1"/>
    <xf numFmtId="1" fontId="3" fillId="28" borderId="1" xfId="0" quotePrefix="1" applyNumberFormat="1" applyFont="1" applyFill="1" applyBorder="1" applyAlignment="1">
      <alignment vertical="center"/>
    </xf>
    <xf numFmtId="16" fontId="3" fillId="28" borderId="1" xfId="0" applyNumberFormat="1" applyFont="1" applyFill="1" applyBorder="1" applyAlignment="1">
      <alignment horizontal="center"/>
    </xf>
    <xf numFmtId="0" fontId="3" fillId="28" borderId="1" xfId="0" applyFont="1" applyFill="1" applyBorder="1" applyAlignment="1">
      <alignment horizontal="center"/>
    </xf>
    <xf numFmtId="168" fontId="3" fillId="28" borderId="1" xfId="0" applyNumberFormat="1" applyFont="1" applyFill="1" applyBorder="1"/>
    <xf numFmtId="0" fontId="0" fillId="28" borderId="1" xfId="0" applyFill="1" applyBorder="1"/>
    <xf numFmtId="167" fontId="3" fillId="28" borderId="1" xfId="1" applyNumberFormat="1" applyFont="1" applyFill="1" applyBorder="1" applyAlignment="1"/>
    <xf numFmtId="0" fontId="3" fillId="28" borderId="1" xfId="0" applyFont="1" applyFill="1" applyBorder="1" applyAlignment="1">
      <alignment horizontal="right"/>
    </xf>
    <xf numFmtId="0" fontId="3" fillId="23" borderId="1" xfId="0" applyFont="1" applyFill="1" applyBorder="1" applyAlignment="1">
      <alignment horizontal="right"/>
    </xf>
    <xf numFmtId="170" fontId="3" fillId="6" borderId="1" xfId="3" applyNumberFormat="1" applyFont="1" applyFill="1" applyBorder="1"/>
    <xf numFmtId="0" fontId="0" fillId="6" borderId="1" xfId="0" applyFill="1" applyBorder="1" applyAlignment="1">
      <alignment horizontal="right"/>
    </xf>
    <xf numFmtId="1" fontId="3" fillId="26" borderId="1" xfId="0" quotePrefix="1" applyNumberFormat="1" applyFont="1" applyFill="1" applyBorder="1" applyAlignment="1">
      <alignment vertical="center"/>
    </xf>
    <xf numFmtId="16" fontId="3" fillId="26" borderId="1" xfId="0" applyNumberFormat="1" applyFont="1" applyFill="1" applyBorder="1" applyAlignment="1">
      <alignment horizontal="center"/>
    </xf>
    <xf numFmtId="0" fontId="3" fillId="26" borderId="1" xfId="0" applyFont="1" applyFill="1" applyBorder="1" applyAlignment="1">
      <alignment horizontal="center"/>
    </xf>
    <xf numFmtId="170" fontId="3" fillId="26" borderId="1" xfId="3" applyNumberFormat="1" applyFont="1" applyFill="1" applyBorder="1"/>
    <xf numFmtId="0" fontId="3" fillId="26" borderId="1" xfId="0" applyFont="1" applyFill="1" applyBorder="1" applyAlignment="1">
      <alignment horizontal="right"/>
    </xf>
    <xf numFmtId="168" fontId="0" fillId="0" borderId="2" xfId="0" applyNumberFormat="1" applyBorder="1" applyAlignment="1">
      <alignment vertical="center"/>
    </xf>
    <xf numFmtId="168" fontId="0" fillId="0" borderId="3" xfId="0" applyNumberFormat="1" applyBorder="1"/>
    <xf numFmtId="168" fontId="0" fillId="0" borderId="25" xfId="0" applyNumberFormat="1" applyBorder="1"/>
    <xf numFmtId="0" fontId="0" fillId="2" borderId="1" xfId="0" applyFill="1" applyBorder="1"/>
    <xf numFmtId="168" fontId="0" fillId="2" borderId="1" xfId="0" applyNumberFormat="1" applyFill="1" applyBorder="1"/>
    <xf numFmtId="168" fontId="0" fillId="2" borderId="6" xfId="0" applyNumberFormat="1" applyFill="1" applyBorder="1"/>
    <xf numFmtId="168" fontId="0" fillId="2" borderId="22" xfId="0" applyNumberFormat="1" applyFill="1" applyBorder="1"/>
    <xf numFmtId="3" fontId="0" fillId="13" borderId="1" xfId="0" applyNumberFormat="1" applyFill="1" applyBorder="1" applyAlignment="1">
      <alignment horizontal="center"/>
    </xf>
    <xf numFmtId="1" fontId="3" fillId="27" borderId="1" xfId="0" quotePrefix="1" applyNumberFormat="1" applyFont="1" applyFill="1" applyBorder="1" applyAlignment="1">
      <alignment vertical="center"/>
    </xf>
    <xf numFmtId="170" fontId="3" fillId="27" borderId="1" xfId="3" applyNumberFormat="1" applyFont="1" applyFill="1" applyBorder="1"/>
    <xf numFmtId="0" fontId="3" fillId="27" borderId="1" xfId="0" applyFont="1" applyFill="1" applyBorder="1" applyAlignment="1">
      <alignment horizontal="right"/>
    </xf>
    <xf numFmtId="0" fontId="0" fillId="27" borderId="1" xfId="0" applyFill="1" applyBorder="1"/>
    <xf numFmtId="16" fontId="0" fillId="27" borderId="1" xfId="0" applyNumberFormat="1" applyFill="1" applyBorder="1" applyAlignment="1">
      <alignment horizontal="center"/>
    </xf>
    <xf numFmtId="0" fontId="0" fillId="27" borderId="1" xfId="0" applyFill="1" applyBorder="1" applyAlignment="1">
      <alignment horizontal="center"/>
    </xf>
    <xf numFmtId="167" fontId="3" fillId="6" borderId="1" xfId="1" applyNumberFormat="1" applyFont="1" applyFill="1" applyBorder="1" applyAlignment="1"/>
    <xf numFmtId="1" fontId="3" fillId="29" borderId="1" xfId="0" quotePrefix="1" applyNumberFormat="1" applyFont="1" applyFill="1" applyBorder="1" applyAlignment="1">
      <alignment vertical="center"/>
    </xf>
    <xf numFmtId="16" fontId="3" fillId="29" borderId="1" xfId="0" applyNumberFormat="1" applyFont="1" applyFill="1" applyBorder="1" applyAlignment="1">
      <alignment horizontal="center"/>
    </xf>
    <xf numFmtId="0" fontId="3" fillId="29" borderId="1" xfId="0" applyFont="1" applyFill="1" applyBorder="1" applyAlignment="1">
      <alignment horizontal="center"/>
    </xf>
    <xf numFmtId="168" fontId="3" fillId="29" borderId="1" xfId="0" applyNumberFormat="1" applyFont="1" applyFill="1" applyBorder="1"/>
    <xf numFmtId="0" fontId="3" fillId="29" borderId="1" xfId="0" applyFont="1" applyFill="1" applyBorder="1" applyAlignment="1">
      <alignment horizontal="right"/>
    </xf>
    <xf numFmtId="0" fontId="0" fillId="29" borderId="1" xfId="0" applyFill="1" applyBorder="1"/>
    <xf numFmtId="0" fontId="3" fillId="2" borderId="1" xfId="0" applyFont="1" applyFill="1" applyBorder="1"/>
    <xf numFmtId="168" fontId="3" fillId="2" borderId="1" xfId="0" applyNumberFormat="1" applyFont="1" applyFill="1" applyBorder="1"/>
    <xf numFmtId="1" fontId="3" fillId="30" borderId="1" xfId="0" quotePrefix="1" applyNumberFormat="1" applyFont="1" applyFill="1" applyBorder="1" applyAlignment="1">
      <alignment vertical="center"/>
    </xf>
    <xf numFmtId="16" fontId="3" fillId="30" borderId="1" xfId="0" applyNumberFormat="1" applyFont="1" applyFill="1" applyBorder="1" applyAlignment="1">
      <alignment horizontal="center"/>
    </xf>
    <xf numFmtId="0" fontId="3" fillId="30" borderId="1" xfId="0" applyFont="1" applyFill="1" applyBorder="1" applyAlignment="1">
      <alignment horizontal="center"/>
    </xf>
    <xf numFmtId="168" fontId="3" fillId="30" borderId="1" xfId="0" applyNumberFormat="1" applyFont="1" applyFill="1" applyBorder="1"/>
    <xf numFmtId="0" fontId="3" fillId="30" borderId="1" xfId="0" applyFont="1" applyFill="1" applyBorder="1" applyAlignment="1">
      <alignment horizontal="right"/>
    </xf>
    <xf numFmtId="1" fontId="3" fillId="18" borderId="1" xfId="0" quotePrefix="1" applyNumberFormat="1" applyFont="1" applyFill="1" applyBorder="1" applyAlignment="1">
      <alignment vertical="center"/>
    </xf>
    <xf numFmtId="1" fontId="3" fillId="12" borderId="1" xfId="0" quotePrefix="1" applyNumberFormat="1" applyFont="1" applyFill="1" applyBorder="1" applyAlignment="1">
      <alignment vertical="center"/>
    </xf>
    <xf numFmtId="0" fontId="3" fillId="9" borderId="1" xfId="0" applyFont="1" applyFill="1" applyBorder="1" applyAlignment="1">
      <alignment horizontal="right"/>
    </xf>
    <xf numFmtId="1" fontId="3" fillId="21" borderId="1" xfId="0" quotePrefix="1" applyNumberFormat="1" applyFont="1" applyFill="1" applyBorder="1" applyAlignment="1">
      <alignment vertical="center"/>
    </xf>
    <xf numFmtId="16" fontId="3" fillId="21" borderId="1" xfId="0" applyNumberFormat="1" applyFont="1" applyFill="1" applyBorder="1" applyAlignment="1">
      <alignment horizontal="center"/>
    </xf>
    <xf numFmtId="0" fontId="3" fillId="21" borderId="1" xfId="0" applyFont="1" applyFill="1" applyBorder="1" applyAlignment="1">
      <alignment horizontal="center"/>
    </xf>
    <xf numFmtId="168" fontId="3" fillId="21" borderId="1" xfId="0" applyNumberFormat="1" applyFont="1" applyFill="1" applyBorder="1"/>
    <xf numFmtId="167" fontId="3" fillId="27" borderId="1" xfId="1" applyNumberFormat="1" applyFont="1" applyFill="1" applyBorder="1" applyAlignment="1"/>
    <xf numFmtId="16" fontId="3" fillId="18" borderId="1" xfId="0" applyNumberFormat="1" applyFont="1" applyFill="1" applyBorder="1" applyAlignment="1">
      <alignment horizontal="center"/>
    </xf>
    <xf numFmtId="0" fontId="3" fillId="18" borderId="1" xfId="0" applyFont="1" applyFill="1" applyBorder="1" applyAlignment="1">
      <alignment horizontal="center"/>
    </xf>
    <xf numFmtId="168" fontId="3" fillId="18" borderId="1" xfId="0" applyNumberFormat="1" applyFont="1" applyFill="1" applyBorder="1"/>
    <xf numFmtId="0" fontId="3" fillId="18" borderId="1" xfId="0" applyFont="1" applyFill="1" applyBorder="1" applyAlignment="1">
      <alignment horizontal="right"/>
    </xf>
    <xf numFmtId="0" fontId="0" fillId="4" borderId="1" xfId="0" applyFill="1" applyBorder="1" applyAlignment="1">
      <alignment horizontal="right"/>
    </xf>
    <xf numFmtId="0" fontId="3" fillId="6" borderId="1" xfId="0" applyFont="1" applyFill="1" applyBorder="1"/>
    <xf numFmtId="0" fontId="3" fillId="6" borderId="1" xfId="0" applyNumberFormat="1" applyFont="1" applyFill="1" applyBorder="1" applyAlignment="1">
      <alignment horizontal="center"/>
    </xf>
    <xf numFmtId="168" fontId="3" fillId="6" borderId="6" xfId="0" applyNumberFormat="1" applyFont="1" applyFill="1" applyBorder="1"/>
    <xf numFmtId="168" fontId="3" fillId="6" borderId="23" xfId="0" applyNumberFormat="1" applyFont="1" applyFill="1" applyBorder="1"/>
    <xf numFmtId="168" fontId="0" fillId="6" borderId="24" xfId="0" applyNumberFormat="1" applyFill="1" applyBorder="1"/>
    <xf numFmtId="168" fontId="3" fillId="0" borderId="24" xfId="0" applyNumberFormat="1" applyFont="1" applyBorder="1"/>
    <xf numFmtId="168" fontId="3" fillId="0" borderId="26" xfId="0" applyNumberFormat="1" applyFont="1" applyBorder="1"/>
    <xf numFmtId="168" fontId="3" fillId="0" borderId="27" xfId="0" applyNumberFormat="1" applyFont="1" applyBorder="1"/>
    <xf numFmtId="168" fontId="3" fillId="0" borderId="28" xfId="0" applyNumberFormat="1" applyFont="1" applyBorder="1"/>
    <xf numFmtId="0" fontId="3" fillId="7" borderId="1" xfId="0" applyFont="1" applyFill="1" applyBorder="1" applyAlignment="1">
      <alignment horizontal="left"/>
    </xf>
    <xf numFmtId="16" fontId="3" fillId="7" borderId="1" xfId="0" applyNumberFormat="1" applyFont="1" applyFill="1" applyBorder="1" applyAlignment="1">
      <alignment horizontal="left"/>
    </xf>
    <xf numFmtId="168" fontId="3" fillId="7" borderId="1" xfId="0" applyNumberFormat="1" applyFont="1" applyFill="1" applyBorder="1" applyAlignment="1">
      <alignment horizontal="left"/>
    </xf>
    <xf numFmtId="0" fontId="3" fillId="2" borderId="0" xfId="0" applyFont="1" applyFill="1" applyBorder="1" applyAlignment="1">
      <alignment horizontal="left"/>
    </xf>
    <xf numFmtId="16" fontId="3" fillId="2" borderId="0" xfId="0" applyNumberFormat="1" applyFont="1" applyFill="1" applyBorder="1" applyAlignment="1">
      <alignment horizontal="left"/>
    </xf>
    <xf numFmtId="168" fontId="3" fillId="2" borderId="0" xfId="0" applyNumberFormat="1" applyFont="1" applyFill="1" applyBorder="1" applyAlignment="1">
      <alignment horizontal="left"/>
    </xf>
    <xf numFmtId="1" fontId="3" fillId="8" borderId="1" xfId="0" quotePrefix="1" applyNumberFormat="1" applyFont="1" applyFill="1" applyBorder="1" applyAlignment="1">
      <alignment vertical="center"/>
    </xf>
    <xf numFmtId="16" fontId="0" fillId="8" borderId="1" xfId="0" applyNumberFormat="1" applyFill="1" applyBorder="1"/>
    <xf numFmtId="0" fontId="0" fillId="8" borderId="1" xfId="0" applyFill="1" applyBorder="1"/>
    <xf numFmtId="167" fontId="3" fillId="9" borderId="1" xfId="1" applyNumberFormat="1" applyFont="1" applyFill="1" applyBorder="1" applyAlignment="1"/>
    <xf numFmtId="1" fontId="3" fillId="10" borderId="1" xfId="0" quotePrefix="1" applyNumberFormat="1" applyFont="1" applyFill="1" applyBorder="1" applyAlignment="1">
      <alignment vertical="center"/>
    </xf>
    <xf numFmtId="0" fontId="3" fillId="10" borderId="1" xfId="0" applyFont="1" applyFill="1" applyBorder="1" applyAlignment="1">
      <alignment horizontal="right"/>
    </xf>
    <xf numFmtId="3" fontId="0" fillId="0" borderId="1" xfId="0" applyNumberFormat="1" applyBorder="1" applyAlignment="1">
      <alignment horizontal="center"/>
    </xf>
    <xf numFmtId="3" fontId="0" fillId="0" borderId="6" xfId="0" applyNumberFormat="1" applyBorder="1" applyAlignment="1">
      <alignment horizontal="center"/>
    </xf>
    <xf numFmtId="1" fontId="3" fillId="31" borderId="1" xfId="0" quotePrefix="1" applyNumberFormat="1" applyFont="1" applyFill="1" applyBorder="1" applyAlignment="1">
      <alignment vertical="center"/>
    </xf>
    <xf numFmtId="16" fontId="3" fillId="31" borderId="1" xfId="0" applyNumberFormat="1" applyFont="1" applyFill="1" applyBorder="1" applyAlignment="1">
      <alignment horizontal="center"/>
    </xf>
    <xf numFmtId="0" fontId="3" fillId="31" borderId="1" xfId="0" applyFont="1" applyFill="1" applyBorder="1" applyAlignment="1">
      <alignment horizontal="center"/>
    </xf>
    <xf numFmtId="168" fontId="3" fillId="31" borderId="1" xfId="0" applyNumberFormat="1" applyFont="1" applyFill="1" applyBorder="1"/>
    <xf numFmtId="0" fontId="3" fillId="31" borderId="1" xfId="0" applyFont="1" applyFill="1" applyBorder="1" applyAlignment="1">
      <alignment horizontal="right"/>
    </xf>
    <xf numFmtId="168" fontId="0" fillId="6" borderId="23" xfId="0" applyNumberFormat="1" applyFill="1" applyBorder="1" applyAlignment="1">
      <alignment vertical="center"/>
    </xf>
    <xf numFmtId="1" fontId="3" fillId="17" borderId="1" xfId="0" quotePrefix="1" applyNumberFormat="1" applyFont="1" applyFill="1" applyBorder="1" applyAlignment="1">
      <alignment vertical="center"/>
    </xf>
    <xf numFmtId="16" fontId="3" fillId="17" borderId="1" xfId="0" applyNumberFormat="1" applyFont="1" applyFill="1" applyBorder="1" applyAlignment="1">
      <alignment horizontal="center"/>
    </xf>
    <xf numFmtId="0" fontId="3" fillId="17" borderId="1" xfId="0" applyFont="1" applyFill="1" applyBorder="1" applyAlignment="1">
      <alignment horizontal="center"/>
    </xf>
    <xf numFmtId="168" fontId="3" fillId="17" borderId="1" xfId="0" applyNumberFormat="1" applyFont="1" applyFill="1" applyBorder="1"/>
    <xf numFmtId="170" fontId="3" fillId="4" borderId="1" xfId="3" applyNumberFormat="1" applyFont="1" applyFill="1" applyBorder="1"/>
    <xf numFmtId="168" fontId="0" fillId="2" borderId="25" xfId="0" applyNumberFormat="1" applyFill="1" applyBorder="1"/>
    <xf numFmtId="0" fontId="0" fillId="28" borderId="1" xfId="0" applyFill="1" applyBorder="1" applyAlignment="1">
      <alignment horizontal="right"/>
    </xf>
    <xf numFmtId="168" fontId="0" fillId="2" borderId="21" xfId="0" applyNumberFormat="1" applyFill="1" applyBorder="1" applyAlignment="1">
      <alignment vertical="center"/>
    </xf>
    <xf numFmtId="0" fontId="3" fillId="2" borderId="21" xfId="0" applyFont="1" applyFill="1" applyBorder="1"/>
    <xf numFmtId="0" fontId="0" fillId="2" borderId="21" xfId="0" applyFill="1" applyBorder="1"/>
    <xf numFmtId="0" fontId="3" fillId="0" borderId="29" xfId="0" applyFont="1" applyBorder="1"/>
    <xf numFmtId="0" fontId="3" fillId="0" borderId="25" xfId="0" applyFont="1" applyBorder="1"/>
    <xf numFmtId="0" fontId="3" fillId="32" borderId="1" xfId="0" applyFont="1" applyFill="1" applyBorder="1"/>
    <xf numFmtId="16" fontId="3" fillId="32" borderId="1" xfId="0" applyNumberFormat="1" applyFont="1" applyFill="1" applyBorder="1" applyAlignment="1">
      <alignment horizontal="center"/>
    </xf>
    <xf numFmtId="0" fontId="3" fillId="32" borderId="1" xfId="0" applyFont="1" applyFill="1" applyBorder="1" applyAlignment="1">
      <alignment horizontal="center"/>
    </xf>
    <xf numFmtId="168" fontId="3" fillId="32" borderId="1" xfId="0" applyNumberFormat="1" applyFont="1" applyFill="1" applyBorder="1"/>
    <xf numFmtId="0" fontId="3" fillId="0" borderId="30" xfId="0" applyFont="1" applyBorder="1"/>
    <xf numFmtId="168" fontId="3" fillId="0" borderId="31" xfId="0" applyNumberFormat="1" applyFont="1" applyBorder="1"/>
    <xf numFmtId="1" fontId="3" fillId="16" borderId="1" xfId="0" quotePrefix="1" applyNumberFormat="1" applyFont="1" applyFill="1" applyBorder="1" applyAlignment="1">
      <alignment vertical="center"/>
    </xf>
    <xf numFmtId="0" fontId="0" fillId="16" borderId="1" xfId="0" applyFill="1" applyBorder="1" applyAlignment="1">
      <alignment horizontal="center"/>
    </xf>
    <xf numFmtId="168" fontId="0" fillId="0" borderId="25" xfId="0" applyNumberFormat="1" applyBorder="1" applyAlignment="1">
      <alignment vertical="center"/>
    </xf>
    <xf numFmtId="167" fontId="0" fillId="0" borderId="6" xfId="1" applyNumberFormat="1" applyFont="1" applyBorder="1" applyAlignment="1">
      <alignment horizontal="center" vertical="center"/>
    </xf>
    <xf numFmtId="167" fontId="0" fillId="0" borderId="0" xfId="1" applyNumberFormat="1" applyFont="1" applyBorder="1" applyAlignment="1">
      <alignment horizontal="center" vertical="center" wrapText="1"/>
    </xf>
    <xf numFmtId="0" fontId="0" fillId="0" borderId="21" xfId="0" applyBorder="1" applyAlignment="1">
      <alignment horizontal="center" vertical="center"/>
    </xf>
    <xf numFmtId="16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25" borderId="1" xfId="0" applyFill="1" applyBorder="1" applyAlignment="1">
      <alignment horizontal="right"/>
    </xf>
    <xf numFmtId="1" fontId="3" fillId="7" borderId="1" xfId="0" quotePrefix="1" applyNumberFormat="1" applyFont="1" applyFill="1" applyBorder="1" applyAlignment="1">
      <alignment vertical="center"/>
    </xf>
    <xf numFmtId="0" fontId="3" fillId="7" borderId="1" xfId="0" applyFont="1" applyFill="1" applyBorder="1" applyAlignment="1">
      <alignment horizontal="right"/>
    </xf>
    <xf numFmtId="16" fontId="0" fillId="28" borderId="1" xfId="0" applyNumberFormat="1" applyFill="1" applyBorder="1" applyAlignment="1">
      <alignment horizontal="center"/>
    </xf>
    <xf numFmtId="0" fontId="0" fillId="28" borderId="1" xfId="0" applyFill="1" applyBorder="1" applyAlignment="1">
      <alignment horizontal="center"/>
    </xf>
    <xf numFmtId="0" fontId="0" fillId="25" borderId="1" xfId="0" applyFill="1" applyBorder="1"/>
    <xf numFmtId="168" fontId="3" fillId="0" borderId="2" xfId="0" applyNumberFormat="1" applyFont="1" applyBorder="1"/>
    <xf numFmtId="168" fontId="3" fillId="0" borderId="32" xfId="0" applyNumberFormat="1" applyFont="1" applyBorder="1"/>
    <xf numFmtId="168" fontId="3" fillId="0" borderId="3" xfId="0" applyNumberFormat="1" applyFont="1" applyBorder="1"/>
    <xf numFmtId="3" fontId="3" fillId="0" borderId="0" xfId="0" applyNumberFormat="1" applyFont="1"/>
    <xf numFmtId="1" fontId="3" fillId="33" borderId="1" xfId="0" quotePrefix="1" applyNumberFormat="1" applyFont="1" applyFill="1" applyBorder="1" applyAlignment="1">
      <alignment vertical="center"/>
    </xf>
    <xf numFmtId="16" fontId="3" fillId="33" borderId="1" xfId="0" applyNumberFormat="1" applyFont="1" applyFill="1" applyBorder="1" applyAlignment="1">
      <alignment horizontal="center"/>
    </xf>
    <xf numFmtId="0" fontId="3" fillId="33" borderId="1" xfId="0" applyFont="1" applyFill="1" applyBorder="1" applyAlignment="1">
      <alignment horizontal="center"/>
    </xf>
    <xf numFmtId="168" fontId="3" fillId="33" borderId="1" xfId="0" applyNumberFormat="1" applyFont="1" applyFill="1" applyBorder="1"/>
    <xf numFmtId="0" fontId="3" fillId="33" borderId="1" xfId="0" applyFont="1" applyFill="1" applyBorder="1" applyAlignment="1">
      <alignment horizontal="right"/>
    </xf>
    <xf numFmtId="1" fontId="3" fillId="34" borderId="1" xfId="0" quotePrefix="1" applyNumberFormat="1" applyFont="1" applyFill="1" applyBorder="1" applyAlignment="1">
      <alignment vertical="center"/>
    </xf>
    <xf numFmtId="16" fontId="3" fillId="34" borderId="1" xfId="0" applyNumberFormat="1" applyFont="1" applyFill="1" applyBorder="1" applyAlignment="1">
      <alignment horizontal="center"/>
    </xf>
    <xf numFmtId="0" fontId="3" fillId="34" borderId="1" xfId="0" applyFont="1" applyFill="1" applyBorder="1" applyAlignment="1">
      <alignment horizontal="center"/>
    </xf>
    <xf numFmtId="168" fontId="3" fillId="34" borderId="1" xfId="0" applyNumberFormat="1" applyFont="1" applyFill="1" applyBorder="1"/>
    <xf numFmtId="0" fontId="0" fillId="34" borderId="1" xfId="0" applyFill="1" applyBorder="1"/>
    <xf numFmtId="16" fontId="0" fillId="18" borderId="1" xfId="0" applyNumberFormat="1" applyFill="1" applyBorder="1"/>
    <xf numFmtId="0" fontId="0" fillId="18" borderId="1" xfId="0" applyFill="1" applyBorder="1"/>
    <xf numFmtId="1" fontId="3" fillId="11" borderId="1" xfId="0" quotePrefix="1" applyNumberFormat="1" applyFont="1" applyFill="1" applyBorder="1" applyAlignment="1">
      <alignment vertical="center"/>
    </xf>
    <xf numFmtId="0" fontId="0" fillId="0" borderId="0" xfId="0" applyBorder="1"/>
    <xf numFmtId="168" fontId="3" fillId="26" borderId="1" xfId="0" applyNumberFormat="1" applyFont="1" applyFill="1" applyBorder="1"/>
    <xf numFmtId="1" fontId="3" fillId="35" borderId="1" xfId="0" quotePrefix="1" applyNumberFormat="1" applyFont="1" applyFill="1" applyBorder="1" applyAlignment="1">
      <alignment vertical="center"/>
    </xf>
    <xf numFmtId="16" fontId="3" fillId="35" borderId="1" xfId="0" applyNumberFormat="1" applyFont="1" applyFill="1" applyBorder="1" applyAlignment="1">
      <alignment horizontal="center"/>
    </xf>
    <xf numFmtId="0" fontId="3" fillId="35" borderId="1" xfId="0" applyFont="1" applyFill="1" applyBorder="1" applyAlignment="1">
      <alignment horizontal="center"/>
    </xf>
    <xf numFmtId="168" fontId="3" fillId="35" borderId="1" xfId="0" applyNumberFormat="1" applyFont="1" applyFill="1" applyBorder="1"/>
    <xf numFmtId="0" fontId="0" fillId="35" borderId="1" xfId="0" applyFill="1" applyBorder="1" applyAlignment="1">
      <alignment horizontal="right"/>
    </xf>
    <xf numFmtId="16" fontId="0" fillId="9" borderId="1" xfId="0" applyNumberFormat="1" applyFill="1" applyBorder="1"/>
    <xf numFmtId="1" fontId="3" fillId="36" borderId="1" xfId="0" quotePrefix="1" applyNumberFormat="1" applyFont="1" applyFill="1" applyBorder="1" applyAlignment="1">
      <alignment vertical="center"/>
    </xf>
    <xf numFmtId="16" fontId="3" fillId="36" borderId="1" xfId="0" applyNumberFormat="1" applyFont="1" applyFill="1" applyBorder="1" applyAlignment="1">
      <alignment horizontal="center"/>
    </xf>
    <xf numFmtId="0" fontId="3" fillId="36" borderId="1" xfId="0" applyFont="1" applyFill="1" applyBorder="1" applyAlignment="1">
      <alignment horizontal="center"/>
    </xf>
    <xf numFmtId="168" fontId="3" fillId="36" borderId="1" xfId="0" applyNumberFormat="1" applyFont="1" applyFill="1" applyBorder="1"/>
    <xf numFmtId="0" fontId="3" fillId="36" borderId="1" xfId="0" applyFont="1" applyFill="1" applyBorder="1" applyAlignment="1">
      <alignment horizontal="right"/>
    </xf>
    <xf numFmtId="168" fontId="0" fillId="0" borderId="3" xfId="0" applyNumberFormat="1" applyBorder="1" applyAlignment="1">
      <alignment vertical="center"/>
    </xf>
    <xf numFmtId="168" fontId="3" fillId="0" borderId="33" xfId="0" applyNumberFormat="1" applyFont="1" applyBorder="1"/>
    <xf numFmtId="168" fontId="0" fillId="0" borderId="32" xfId="0" applyNumberFormat="1" applyBorder="1"/>
    <xf numFmtId="168" fontId="3" fillId="0" borderId="21" xfId="0" applyNumberFormat="1" applyFont="1" applyBorder="1"/>
    <xf numFmtId="1" fontId="3" fillId="37" borderId="1" xfId="0" quotePrefix="1" applyNumberFormat="1" applyFont="1" applyFill="1" applyBorder="1" applyAlignment="1">
      <alignment vertical="center"/>
    </xf>
    <xf numFmtId="16" fontId="3" fillId="37" borderId="1" xfId="0" applyNumberFormat="1" applyFont="1" applyFill="1" applyBorder="1" applyAlignment="1">
      <alignment horizontal="center"/>
    </xf>
    <xf numFmtId="0" fontId="3" fillId="37" borderId="1" xfId="0" applyFont="1" applyFill="1" applyBorder="1" applyAlignment="1">
      <alignment horizontal="center"/>
    </xf>
    <xf numFmtId="168" fontId="3" fillId="37" borderId="1" xfId="0" applyNumberFormat="1" applyFont="1" applyFill="1" applyBorder="1"/>
    <xf numFmtId="0" fontId="0" fillId="37" borderId="1" xfId="0" applyFill="1" applyBorder="1" applyAlignment="1">
      <alignment horizontal="right"/>
    </xf>
    <xf numFmtId="16" fontId="0" fillId="37" borderId="1" xfId="0" applyNumberFormat="1" applyFill="1" applyBorder="1" applyAlignment="1">
      <alignment horizontal="center"/>
    </xf>
    <xf numFmtId="0" fontId="0" fillId="37" borderId="1" xfId="0" applyFill="1" applyBorder="1" applyAlignment="1">
      <alignment horizontal="center"/>
    </xf>
    <xf numFmtId="0" fontId="3" fillId="37" borderId="1" xfId="0" applyFont="1" applyFill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169" fontId="0" fillId="0" borderId="2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168" fontId="3" fillId="0" borderId="2" xfId="0" applyNumberFormat="1" applyFont="1" applyBorder="1" applyAlignment="1">
      <alignment horizontal="center"/>
    </xf>
    <xf numFmtId="168" fontId="3" fillId="0" borderId="3" xfId="0" applyNumberFormat="1" applyFont="1" applyBorder="1" applyAlignment="1">
      <alignment horizontal="center"/>
    </xf>
    <xf numFmtId="168" fontId="3" fillId="0" borderId="4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0" fillId="3" borderId="2" xfId="0" applyFill="1" applyBorder="1" applyAlignment="1">
      <alignment horizontal="right" vertical="center"/>
    </xf>
    <xf numFmtId="0" fontId="0" fillId="3" borderId="3" xfId="0" applyFill="1" applyBorder="1" applyAlignment="1">
      <alignment horizontal="right" vertical="center"/>
    </xf>
    <xf numFmtId="0" fontId="0" fillId="3" borderId="4" xfId="0" applyFill="1" applyBorder="1" applyAlignment="1">
      <alignment horizontal="right" vertical="center"/>
    </xf>
    <xf numFmtId="168" fontId="0" fillId="0" borderId="2" xfId="0" applyNumberFormat="1" applyBorder="1" applyAlignment="1">
      <alignment horizontal="center" vertical="center"/>
    </xf>
    <xf numFmtId="168" fontId="0" fillId="0" borderId="3" xfId="0" applyNumberFormat="1" applyBorder="1" applyAlignment="1">
      <alignment horizontal="center" vertical="center"/>
    </xf>
    <xf numFmtId="168" fontId="0" fillId="0" borderId="4" xfId="0" applyNumberFormat="1" applyBorder="1" applyAlignment="1">
      <alignment horizontal="center" vertical="center"/>
    </xf>
    <xf numFmtId="168" fontId="3" fillId="0" borderId="2" xfId="0" applyNumberFormat="1" applyFont="1" applyBorder="1" applyAlignment="1">
      <alignment horizontal="center" vertical="center"/>
    </xf>
    <xf numFmtId="168" fontId="3" fillId="0" borderId="3" xfId="0" applyNumberFormat="1" applyFont="1" applyBorder="1" applyAlignment="1">
      <alignment horizontal="center" vertical="center"/>
    </xf>
    <xf numFmtId="168" fontId="3" fillId="0" borderId="4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69" fontId="0" fillId="0" borderId="2" xfId="0" applyNumberFormat="1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3" xfId="0" applyBorder="1" applyAlignment="1">
      <alignment horizontal="center"/>
    </xf>
    <xf numFmtId="168" fontId="0" fillId="0" borderId="2" xfId="0" applyNumberFormat="1" applyBorder="1" applyAlignment="1">
      <alignment horizontal="center"/>
    </xf>
    <xf numFmtId="168" fontId="0" fillId="0" borderId="4" xfId="0" applyNumberFormat="1" applyBorder="1" applyAlignment="1">
      <alignment horizontal="center"/>
    </xf>
    <xf numFmtId="170" fontId="0" fillId="0" borderId="2" xfId="0" applyNumberFormat="1" applyBorder="1" applyAlignment="1">
      <alignment horizontal="center" vertical="center"/>
    </xf>
    <xf numFmtId="170" fontId="0" fillId="0" borderId="3" xfId="0" applyNumberFormat="1" applyBorder="1" applyAlignment="1">
      <alignment horizontal="center" vertical="center"/>
    </xf>
    <xf numFmtId="170" fontId="0" fillId="0" borderId="4" xfId="0" applyNumberFormat="1" applyBorder="1" applyAlignment="1">
      <alignment horizontal="center" vertical="center"/>
    </xf>
    <xf numFmtId="169" fontId="0" fillId="0" borderId="3" xfId="0" applyNumberFormat="1" applyBorder="1" applyAlignment="1">
      <alignment horizontal="center" vertical="center"/>
    </xf>
  </cellXfs>
  <cellStyles count="4">
    <cellStyle name="Comma" xfId="2" builtinId="3"/>
    <cellStyle name="Currency" xfId="3" builtinId="4"/>
    <cellStyle name="Currency [0]" xfId="1" builtinId="7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09"/>
  <sheetViews>
    <sheetView workbookViewId="0">
      <selection activeCell="G95" sqref="G95"/>
    </sheetView>
  </sheetViews>
  <sheetFormatPr defaultRowHeight="15"/>
  <cols>
    <col min="1" max="1" width="8.42578125" customWidth="1"/>
    <col min="2" max="2" width="64" bestFit="1" customWidth="1"/>
    <col min="3" max="3" width="14.42578125" customWidth="1"/>
    <col min="6" max="6" width="13.7109375" customWidth="1"/>
    <col min="7" max="7" width="14.85546875" customWidth="1"/>
    <col min="8" max="8" width="15.42578125" customWidth="1"/>
    <col min="9" max="9" width="13.85546875" customWidth="1"/>
    <col min="10" max="10" width="12.5703125" bestFit="1" customWidth="1"/>
    <col min="12" max="12" width="15.42578125" customWidth="1"/>
    <col min="13" max="13" width="16.140625" customWidth="1"/>
    <col min="14" max="14" width="15.28515625" customWidth="1"/>
    <col min="15" max="15" width="21.28515625" customWidth="1"/>
    <col min="16" max="16" width="18.7109375" customWidth="1"/>
    <col min="17" max="18" width="14" bestFit="1" customWidth="1"/>
    <col min="19" max="19" width="15.140625" customWidth="1"/>
  </cols>
  <sheetData>
    <row r="1" spans="1:19">
      <c r="A1" s="1" t="s">
        <v>0</v>
      </c>
      <c r="C1" s="2"/>
      <c r="D1" s="2"/>
      <c r="E1" s="2"/>
      <c r="F1" s="3"/>
      <c r="G1" s="3"/>
      <c r="H1" s="3"/>
      <c r="L1" s="4" t="s">
        <v>14</v>
      </c>
      <c r="M1" s="5"/>
      <c r="N1" s="5"/>
      <c r="O1" s="3"/>
    </row>
    <row r="2" spans="1:19" ht="45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9" t="s">
        <v>7</v>
      </c>
      <c r="H2" s="8" t="s">
        <v>8</v>
      </c>
      <c r="I2" s="7" t="s">
        <v>9</v>
      </c>
      <c r="L2" s="10" t="s">
        <v>10</v>
      </c>
      <c r="M2" s="11" t="s">
        <v>11</v>
      </c>
      <c r="N2" s="6" t="s">
        <v>12</v>
      </c>
      <c r="O2" s="9" t="s">
        <v>13</v>
      </c>
      <c r="P2" s="7" t="s">
        <v>9</v>
      </c>
    </row>
    <row r="3" spans="1:19">
      <c r="A3" s="12">
        <v>44564</v>
      </c>
      <c r="B3" s="13" t="s">
        <v>26</v>
      </c>
      <c r="C3" s="14" t="s">
        <v>29</v>
      </c>
      <c r="D3" s="14">
        <v>15</v>
      </c>
      <c r="E3" s="14" t="s">
        <v>30</v>
      </c>
      <c r="F3" s="15">
        <v>185000</v>
      </c>
      <c r="G3" s="15">
        <f>F3*D3</f>
        <v>2775000</v>
      </c>
      <c r="H3" s="467">
        <f>SUM(G3:G5)</f>
        <v>7400000</v>
      </c>
      <c r="I3" s="467" t="s">
        <v>44</v>
      </c>
      <c r="J3" s="17"/>
      <c r="K3" s="17"/>
      <c r="L3" s="10">
        <v>1</v>
      </c>
      <c r="M3" s="40">
        <v>44477</v>
      </c>
      <c r="N3" s="41" t="s">
        <v>15</v>
      </c>
      <c r="O3" s="42">
        <v>6430000</v>
      </c>
      <c r="P3" s="464" t="s">
        <v>22</v>
      </c>
      <c r="Q3" s="37"/>
    </row>
    <row r="4" spans="1:19">
      <c r="A4" s="13"/>
      <c r="B4" s="13" t="s">
        <v>27</v>
      </c>
      <c r="C4" s="14" t="s">
        <v>29</v>
      </c>
      <c r="D4" s="14">
        <v>10</v>
      </c>
      <c r="E4" s="14" t="s">
        <v>30</v>
      </c>
      <c r="F4" s="15">
        <v>185000</v>
      </c>
      <c r="G4" s="15">
        <f t="shared" ref="G4:G81" si="0">F4*D4</f>
        <v>1850000</v>
      </c>
      <c r="H4" s="468"/>
      <c r="I4" s="468"/>
      <c r="J4" s="19"/>
      <c r="K4" s="19"/>
      <c r="L4" s="10">
        <v>2</v>
      </c>
      <c r="M4" s="43">
        <v>44476</v>
      </c>
      <c r="N4" s="41" t="s">
        <v>15</v>
      </c>
      <c r="O4" s="45">
        <v>16000000</v>
      </c>
      <c r="P4" s="465"/>
      <c r="Q4" s="37"/>
      <c r="R4" s="37">
        <f>SUM(O3:O5)</f>
        <v>30680000</v>
      </c>
    </row>
    <row r="5" spans="1:19">
      <c r="A5" s="13"/>
      <c r="B5" s="13" t="s">
        <v>28</v>
      </c>
      <c r="C5" s="14" t="s">
        <v>29</v>
      </c>
      <c r="D5" s="14">
        <v>15</v>
      </c>
      <c r="E5" s="14" t="s">
        <v>30</v>
      </c>
      <c r="F5" s="15">
        <v>185000</v>
      </c>
      <c r="G5" s="15">
        <f t="shared" si="0"/>
        <v>2775000</v>
      </c>
      <c r="H5" s="469"/>
      <c r="I5" s="468"/>
      <c r="J5" s="50">
        <f>SUM(H3:H7)</f>
        <v>7880000</v>
      </c>
      <c r="K5" s="50"/>
      <c r="L5" s="39">
        <v>3</v>
      </c>
      <c r="M5" s="43">
        <v>44477</v>
      </c>
      <c r="N5" s="41" t="s">
        <v>15</v>
      </c>
      <c r="O5" s="44">
        <v>8250000</v>
      </c>
      <c r="P5" s="466"/>
      <c r="Q5" s="37"/>
      <c r="S5" s="37"/>
    </row>
    <row r="6" spans="1:19">
      <c r="A6" s="12">
        <v>44564</v>
      </c>
      <c r="B6" s="13" t="s">
        <v>31</v>
      </c>
      <c r="C6" s="14" t="s">
        <v>29</v>
      </c>
      <c r="D6" s="14">
        <v>5</v>
      </c>
      <c r="E6" s="14" t="s">
        <v>33</v>
      </c>
      <c r="F6" s="15">
        <v>40000</v>
      </c>
      <c r="G6" s="15">
        <f t="shared" si="0"/>
        <v>200000</v>
      </c>
      <c r="H6" s="467">
        <f>SUM(G6:G7)</f>
        <v>480000</v>
      </c>
      <c r="I6" s="468"/>
      <c r="J6" s="26"/>
      <c r="K6" s="26"/>
      <c r="L6" s="10">
        <v>4</v>
      </c>
      <c r="M6" s="118">
        <v>44515</v>
      </c>
      <c r="N6" s="119" t="s">
        <v>16</v>
      </c>
      <c r="O6" s="120">
        <v>2200000</v>
      </c>
      <c r="P6" s="122" t="s">
        <v>107</v>
      </c>
      <c r="Q6" s="37"/>
    </row>
    <row r="7" spans="1:19">
      <c r="A7" s="13"/>
      <c r="B7" s="13" t="s">
        <v>32</v>
      </c>
      <c r="C7" s="14" t="s">
        <v>29</v>
      </c>
      <c r="D7" s="14">
        <v>7</v>
      </c>
      <c r="E7" s="14" t="s">
        <v>33</v>
      </c>
      <c r="F7" s="15">
        <v>40000</v>
      </c>
      <c r="G7" s="15">
        <f t="shared" si="0"/>
        <v>280000</v>
      </c>
      <c r="H7" s="469"/>
      <c r="I7" s="469"/>
      <c r="J7" s="26"/>
      <c r="K7" s="26"/>
      <c r="L7" s="10">
        <v>5</v>
      </c>
      <c r="M7" s="56">
        <v>44511</v>
      </c>
      <c r="N7" s="57" t="s">
        <v>17</v>
      </c>
      <c r="O7" s="58">
        <v>1500000</v>
      </c>
      <c r="P7" s="64" t="s">
        <v>108</v>
      </c>
      <c r="Q7" s="37"/>
    </row>
    <row r="8" spans="1:19">
      <c r="A8" s="12">
        <v>44564</v>
      </c>
      <c r="B8" s="13" t="s">
        <v>34</v>
      </c>
      <c r="C8" s="14" t="s">
        <v>17</v>
      </c>
      <c r="D8" s="14">
        <v>1</v>
      </c>
      <c r="E8" s="14" t="s">
        <v>30</v>
      </c>
      <c r="F8" s="15">
        <v>735000</v>
      </c>
      <c r="G8" s="15">
        <f t="shared" si="0"/>
        <v>735000</v>
      </c>
      <c r="H8" s="467">
        <f>SUM(G8:G17)</f>
        <v>11630000</v>
      </c>
      <c r="I8" s="467" t="s">
        <v>51</v>
      </c>
      <c r="J8" s="26"/>
      <c r="K8" s="26"/>
      <c r="L8" s="39">
        <v>6</v>
      </c>
      <c r="M8" s="56">
        <v>44512</v>
      </c>
      <c r="N8" s="57" t="s">
        <v>17</v>
      </c>
      <c r="O8" s="58">
        <v>12815000</v>
      </c>
      <c r="P8" s="64" t="s">
        <v>107</v>
      </c>
      <c r="S8" s="36">
        <f>SUM(O7:O11)</f>
        <v>31455000</v>
      </c>
    </row>
    <row r="9" spans="1:19">
      <c r="A9" s="13"/>
      <c r="B9" s="13" t="s">
        <v>35</v>
      </c>
      <c r="C9" s="14" t="s">
        <v>17</v>
      </c>
      <c r="D9" s="14">
        <v>2</v>
      </c>
      <c r="E9" s="14" t="s">
        <v>30</v>
      </c>
      <c r="F9" s="15">
        <v>635000</v>
      </c>
      <c r="G9" s="15">
        <f t="shared" si="0"/>
        <v>1270000</v>
      </c>
      <c r="H9" s="468"/>
      <c r="I9" s="468"/>
      <c r="J9" s="26"/>
      <c r="K9" s="26"/>
      <c r="L9" s="10">
        <v>7</v>
      </c>
      <c r="M9" s="56">
        <v>44516</v>
      </c>
      <c r="N9" s="57" t="s">
        <v>17</v>
      </c>
      <c r="O9" s="58">
        <v>7250000</v>
      </c>
      <c r="P9" s="64" t="s">
        <v>107</v>
      </c>
    </row>
    <row r="10" spans="1:19">
      <c r="A10" s="29"/>
      <c r="B10" s="29" t="s">
        <v>36</v>
      </c>
      <c r="C10" s="14" t="s">
        <v>17</v>
      </c>
      <c r="D10" s="31">
        <v>1</v>
      </c>
      <c r="E10" s="14" t="s">
        <v>30</v>
      </c>
      <c r="F10" s="15">
        <v>635000</v>
      </c>
      <c r="G10" s="15">
        <f t="shared" si="0"/>
        <v>635000</v>
      </c>
      <c r="H10" s="468"/>
      <c r="I10" s="468"/>
      <c r="L10" s="10">
        <v>8</v>
      </c>
      <c r="M10" s="56">
        <v>44519</v>
      </c>
      <c r="N10" s="57" t="s">
        <v>17</v>
      </c>
      <c r="O10" s="58">
        <v>6515000</v>
      </c>
      <c r="P10" s="64" t="s">
        <v>107</v>
      </c>
    </row>
    <row r="11" spans="1:19">
      <c r="A11" s="29"/>
      <c r="B11" s="29" t="s">
        <v>37</v>
      </c>
      <c r="C11" s="14" t="s">
        <v>17</v>
      </c>
      <c r="D11" s="31">
        <v>1</v>
      </c>
      <c r="E11" s="14" t="s">
        <v>30</v>
      </c>
      <c r="F11" s="15">
        <v>735000</v>
      </c>
      <c r="G11" s="15">
        <f t="shared" si="0"/>
        <v>735000</v>
      </c>
      <c r="H11" s="468"/>
      <c r="I11" s="468"/>
      <c r="J11" s="26"/>
      <c r="K11" s="26"/>
      <c r="L11" s="39">
        <v>9</v>
      </c>
      <c r="M11" s="56">
        <v>44522</v>
      </c>
      <c r="N11" s="57" t="s">
        <v>17</v>
      </c>
      <c r="O11" s="58">
        <v>3375000</v>
      </c>
      <c r="P11" s="64" t="s">
        <v>107</v>
      </c>
    </row>
    <row r="12" spans="1:19">
      <c r="A12" s="29"/>
      <c r="B12" s="29" t="s">
        <v>38</v>
      </c>
      <c r="C12" s="14" t="s">
        <v>17</v>
      </c>
      <c r="D12" s="31">
        <v>1</v>
      </c>
      <c r="E12" s="14" t="s">
        <v>30</v>
      </c>
      <c r="F12" s="28">
        <v>635000</v>
      </c>
      <c r="G12" s="15">
        <f t="shared" si="0"/>
        <v>635000</v>
      </c>
      <c r="H12" s="468"/>
      <c r="I12" s="468"/>
      <c r="J12" s="26"/>
      <c r="K12" s="26"/>
      <c r="L12" s="10">
        <v>10</v>
      </c>
      <c r="M12" s="118">
        <v>44524</v>
      </c>
      <c r="N12" s="119" t="s">
        <v>16</v>
      </c>
      <c r="O12" s="120">
        <v>3300000</v>
      </c>
      <c r="P12" s="122" t="s">
        <v>107</v>
      </c>
      <c r="R12" s="36"/>
    </row>
    <row r="13" spans="1:19">
      <c r="A13" s="29"/>
      <c r="B13" s="29" t="s">
        <v>41</v>
      </c>
      <c r="C13" s="14" t="s">
        <v>17</v>
      </c>
      <c r="D13" s="31">
        <v>1</v>
      </c>
      <c r="E13" s="14" t="s">
        <v>30</v>
      </c>
      <c r="F13" s="28">
        <v>635000</v>
      </c>
      <c r="G13" s="15">
        <f t="shared" si="0"/>
        <v>635000</v>
      </c>
      <c r="H13" s="468"/>
      <c r="I13" s="468"/>
      <c r="J13" s="26"/>
      <c r="K13" s="26"/>
      <c r="L13" s="10">
        <v>11</v>
      </c>
      <c r="M13" s="118">
        <v>44527</v>
      </c>
      <c r="N13" s="119" t="s">
        <v>16</v>
      </c>
      <c r="O13" s="120">
        <v>2200000</v>
      </c>
      <c r="P13" s="122" t="s">
        <v>107</v>
      </c>
    </row>
    <row r="14" spans="1:19">
      <c r="A14" s="32"/>
      <c r="B14" s="29" t="s">
        <v>39</v>
      </c>
      <c r="C14" s="14" t="s">
        <v>17</v>
      </c>
      <c r="D14" s="31">
        <v>4</v>
      </c>
      <c r="E14" s="14" t="s">
        <v>30</v>
      </c>
      <c r="F14" s="28">
        <v>635000</v>
      </c>
      <c r="G14" s="15">
        <f t="shared" si="0"/>
        <v>2540000</v>
      </c>
      <c r="H14" s="468"/>
      <c r="I14" s="468"/>
      <c r="J14" s="26"/>
      <c r="K14" s="26"/>
      <c r="L14" s="39">
        <v>12</v>
      </c>
      <c r="M14" s="125">
        <v>44537</v>
      </c>
      <c r="N14" s="126" t="s">
        <v>261</v>
      </c>
      <c r="O14" s="117">
        <v>8400000</v>
      </c>
      <c r="P14" s="127" t="s">
        <v>262</v>
      </c>
    </row>
    <row r="15" spans="1:19">
      <c r="A15" s="29"/>
      <c r="B15" s="29" t="s">
        <v>40</v>
      </c>
      <c r="C15" s="14" t="s">
        <v>17</v>
      </c>
      <c r="D15" s="31">
        <v>4</v>
      </c>
      <c r="E15" s="14" t="s">
        <v>30</v>
      </c>
      <c r="F15" s="28">
        <v>635000</v>
      </c>
      <c r="G15" s="15">
        <f t="shared" si="0"/>
        <v>2540000</v>
      </c>
      <c r="H15" s="468"/>
      <c r="I15" s="468"/>
      <c r="J15" s="26"/>
      <c r="K15" s="26"/>
      <c r="L15" s="10">
        <v>13</v>
      </c>
      <c r="M15" s="128">
        <v>44540</v>
      </c>
      <c r="N15" s="129" t="s">
        <v>16</v>
      </c>
      <c r="O15" s="130">
        <v>1650000</v>
      </c>
      <c r="P15" s="131"/>
      <c r="Q15" s="62">
        <f>O22+O21+O11+O10+O9+O8+O7</f>
        <v>40625000</v>
      </c>
    </row>
    <row r="16" spans="1:19">
      <c r="A16" s="29"/>
      <c r="B16" s="29" t="s">
        <v>42</v>
      </c>
      <c r="C16" s="14" t="s">
        <v>17</v>
      </c>
      <c r="D16" s="31">
        <v>2</v>
      </c>
      <c r="E16" s="14" t="s">
        <v>30</v>
      </c>
      <c r="F16" s="28">
        <v>635000</v>
      </c>
      <c r="G16" s="15">
        <f t="shared" si="0"/>
        <v>1270000</v>
      </c>
      <c r="H16" s="468"/>
      <c r="I16" s="468"/>
      <c r="J16" s="26"/>
      <c r="K16" s="26"/>
      <c r="L16" s="10">
        <v>14</v>
      </c>
      <c r="M16" s="115">
        <v>44546</v>
      </c>
      <c r="N16" s="116" t="s">
        <v>261</v>
      </c>
      <c r="O16" s="117">
        <v>325000</v>
      </c>
      <c r="P16" s="121" t="s">
        <v>262</v>
      </c>
    </row>
    <row r="17" spans="1:20">
      <c r="A17" s="29"/>
      <c r="B17" s="29" t="s">
        <v>43</v>
      </c>
      <c r="C17" s="14" t="s">
        <v>17</v>
      </c>
      <c r="D17" s="31">
        <v>1</v>
      </c>
      <c r="E17" s="14" t="s">
        <v>30</v>
      </c>
      <c r="F17" s="28">
        <v>635000</v>
      </c>
      <c r="G17" s="15">
        <f t="shared" si="0"/>
        <v>635000</v>
      </c>
      <c r="H17" s="469"/>
      <c r="I17" s="469"/>
      <c r="J17" s="26"/>
      <c r="K17" s="26"/>
      <c r="L17" s="39">
        <v>15</v>
      </c>
      <c r="M17" s="115">
        <v>44551</v>
      </c>
      <c r="N17" s="116" t="s">
        <v>261</v>
      </c>
      <c r="O17" s="117">
        <v>1620000</v>
      </c>
      <c r="P17" s="121" t="s">
        <v>262</v>
      </c>
    </row>
    <row r="18" spans="1:20">
      <c r="A18" s="32">
        <v>44564</v>
      </c>
      <c r="B18" s="29" t="s">
        <v>47</v>
      </c>
      <c r="C18" s="27" t="s">
        <v>48</v>
      </c>
      <c r="D18" s="31">
        <v>1</v>
      </c>
      <c r="E18" s="31" t="s">
        <v>49</v>
      </c>
      <c r="F18" s="28">
        <v>0</v>
      </c>
      <c r="G18" s="28">
        <f t="shared" si="0"/>
        <v>0</v>
      </c>
      <c r="H18" s="458"/>
      <c r="I18" s="461"/>
      <c r="J18" s="26"/>
      <c r="K18" s="26"/>
      <c r="L18" s="10">
        <v>16</v>
      </c>
      <c r="M18" s="132">
        <v>44571</v>
      </c>
      <c r="N18" s="133" t="s">
        <v>61</v>
      </c>
      <c r="O18" s="134">
        <v>4845000</v>
      </c>
      <c r="P18" s="135" t="s">
        <v>255</v>
      </c>
    </row>
    <row r="19" spans="1:20">
      <c r="A19" s="29"/>
      <c r="B19" s="29" t="s">
        <v>45</v>
      </c>
      <c r="C19" s="27" t="s">
        <v>48</v>
      </c>
      <c r="D19" s="31">
        <v>1</v>
      </c>
      <c r="E19" s="31" t="s">
        <v>49</v>
      </c>
      <c r="F19" s="28">
        <v>0</v>
      </c>
      <c r="G19" s="28">
        <f t="shared" si="0"/>
        <v>0</v>
      </c>
      <c r="H19" s="459"/>
      <c r="I19" s="462"/>
      <c r="J19" s="26"/>
      <c r="K19" s="26"/>
      <c r="L19" s="10">
        <v>17</v>
      </c>
      <c r="M19" s="48">
        <v>44571</v>
      </c>
      <c r="N19" s="47" t="s">
        <v>15</v>
      </c>
      <c r="O19" s="123">
        <v>6500000</v>
      </c>
      <c r="P19" s="124" t="s">
        <v>107</v>
      </c>
    </row>
    <row r="20" spans="1:20">
      <c r="A20" s="29"/>
      <c r="B20" s="29" t="s">
        <v>46</v>
      </c>
      <c r="C20" s="27" t="s">
        <v>48</v>
      </c>
      <c r="D20" s="31">
        <v>1</v>
      </c>
      <c r="E20" s="31" t="s">
        <v>49</v>
      </c>
      <c r="F20" s="28">
        <v>0</v>
      </c>
      <c r="G20" s="28">
        <f t="shared" si="0"/>
        <v>0</v>
      </c>
      <c r="H20" s="460"/>
      <c r="I20" s="463"/>
      <c r="J20" s="26"/>
      <c r="K20" s="26"/>
      <c r="L20" s="39">
        <v>18</v>
      </c>
      <c r="M20" s="48">
        <v>44574</v>
      </c>
      <c r="N20" s="47" t="s">
        <v>15</v>
      </c>
      <c r="O20" s="49">
        <v>6225000</v>
      </c>
      <c r="P20" s="124" t="s">
        <v>107</v>
      </c>
    </row>
    <row r="21" spans="1:20">
      <c r="A21" s="32">
        <v>44568</v>
      </c>
      <c r="B21" s="29" t="s">
        <v>50</v>
      </c>
      <c r="C21" s="27" t="s">
        <v>16</v>
      </c>
      <c r="D21" s="31">
        <v>1</v>
      </c>
      <c r="E21" s="31" t="s">
        <v>49</v>
      </c>
      <c r="F21" s="28">
        <v>9900000</v>
      </c>
      <c r="G21" s="28">
        <f t="shared" si="0"/>
        <v>9900000</v>
      </c>
      <c r="H21" s="28">
        <f>SUM(G21)</f>
        <v>9900000</v>
      </c>
      <c r="I21" s="27" t="s">
        <v>52</v>
      </c>
      <c r="J21" s="26"/>
      <c r="K21" s="26"/>
      <c r="L21" s="10">
        <v>19</v>
      </c>
      <c r="M21" s="68">
        <v>44901</v>
      </c>
      <c r="N21" s="69" t="s">
        <v>17</v>
      </c>
      <c r="O21" s="70">
        <v>4680000</v>
      </c>
      <c r="P21" s="64" t="s">
        <v>109</v>
      </c>
      <c r="T21" s="37">
        <f>SUM(FEBRUARI!N6:N11)</f>
        <v>62795000</v>
      </c>
    </row>
    <row r="22" spans="1:20">
      <c r="A22" s="32">
        <v>44571</v>
      </c>
      <c r="B22" s="29" t="s">
        <v>53</v>
      </c>
      <c r="C22" s="27" t="s">
        <v>61</v>
      </c>
      <c r="D22" s="31">
        <v>5</v>
      </c>
      <c r="E22" s="31" t="s">
        <v>30</v>
      </c>
      <c r="F22" s="28">
        <v>70000</v>
      </c>
      <c r="G22" s="28">
        <f t="shared" si="0"/>
        <v>350000</v>
      </c>
      <c r="H22" s="470">
        <f>SUM(G22:G38)</f>
        <v>8745000</v>
      </c>
      <c r="I22" s="473" t="s">
        <v>71</v>
      </c>
      <c r="J22" s="455" t="s">
        <v>72</v>
      </c>
      <c r="K22" s="72"/>
      <c r="L22" s="10">
        <v>20</v>
      </c>
      <c r="M22" s="68">
        <v>44897</v>
      </c>
      <c r="N22" s="69" t="s">
        <v>17</v>
      </c>
      <c r="O22" s="70">
        <v>4490000</v>
      </c>
      <c r="P22" s="64" t="s">
        <v>110</v>
      </c>
      <c r="S22" s="36"/>
    </row>
    <row r="23" spans="1:20">
      <c r="A23" s="29"/>
      <c r="B23" s="29" t="s">
        <v>54</v>
      </c>
      <c r="C23" s="27" t="s">
        <v>61</v>
      </c>
      <c r="D23" s="31">
        <v>5</v>
      </c>
      <c r="E23" s="31" t="s">
        <v>30</v>
      </c>
      <c r="F23" s="28">
        <v>75000</v>
      </c>
      <c r="G23" s="28">
        <f t="shared" si="0"/>
        <v>375000</v>
      </c>
      <c r="H23" s="471"/>
      <c r="I23" s="474"/>
      <c r="J23" s="456"/>
      <c r="K23" s="63"/>
      <c r="L23" s="10">
        <v>21</v>
      </c>
      <c r="M23" s="140">
        <v>44592</v>
      </c>
      <c r="N23" s="141" t="s">
        <v>140</v>
      </c>
      <c r="O23" s="142">
        <v>4330000</v>
      </c>
      <c r="P23" s="143" t="s">
        <v>107</v>
      </c>
    </row>
    <row r="24" spans="1:20">
      <c r="A24" s="29"/>
      <c r="B24" s="29" t="s">
        <v>55</v>
      </c>
      <c r="C24" s="27" t="s">
        <v>61</v>
      </c>
      <c r="D24" s="31">
        <v>1</v>
      </c>
      <c r="E24" s="31" t="s">
        <v>30</v>
      </c>
      <c r="F24" s="28">
        <v>55000</v>
      </c>
      <c r="G24" s="28">
        <f t="shared" si="0"/>
        <v>55000</v>
      </c>
      <c r="H24" s="471"/>
      <c r="I24" s="474"/>
      <c r="J24" s="456"/>
      <c r="K24" s="63"/>
      <c r="L24" s="10">
        <v>22</v>
      </c>
      <c r="M24" s="146">
        <v>44597</v>
      </c>
      <c r="N24" s="147" t="s">
        <v>173</v>
      </c>
      <c r="O24" s="148">
        <v>3145000</v>
      </c>
      <c r="P24" s="149" t="s">
        <v>391</v>
      </c>
    </row>
    <row r="25" spans="1:20">
      <c r="A25" s="29"/>
      <c r="B25" s="29" t="s">
        <v>56</v>
      </c>
      <c r="C25" s="27" t="s">
        <v>61</v>
      </c>
      <c r="D25" s="31">
        <v>5</v>
      </c>
      <c r="E25" s="31" t="s">
        <v>30</v>
      </c>
      <c r="F25" s="28">
        <v>85000</v>
      </c>
      <c r="G25" s="28">
        <f t="shared" si="0"/>
        <v>425000</v>
      </c>
      <c r="H25" s="471"/>
      <c r="I25" s="474"/>
      <c r="J25" s="456"/>
      <c r="K25" s="72"/>
      <c r="L25" s="10">
        <v>23</v>
      </c>
      <c r="M25" s="101">
        <v>44578</v>
      </c>
      <c r="N25" s="102" t="s">
        <v>83</v>
      </c>
      <c r="O25" s="281">
        <v>12000000</v>
      </c>
      <c r="P25" s="107" t="s">
        <v>577</v>
      </c>
    </row>
    <row r="26" spans="1:20">
      <c r="A26" s="29"/>
      <c r="B26" s="29" t="s">
        <v>57</v>
      </c>
      <c r="C26" s="27" t="s">
        <v>61</v>
      </c>
      <c r="D26" s="31">
        <v>5</v>
      </c>
      <c r="E26" s="31" t="s">
        <v>30</v>
      </c>
      <c r="F26" s="28">
        <v>50000</v>
      </c>
      <c r="G26" s="28">
        <f t="shared" si="0"/>
        <v>250000</v>
      </c>
      <c r="H26" s="471"/>
      <c r="I26" s="474"/>
      <c r="J26" s="456"/>
      <c r="K26" s="72"/>
      <c r="L26" s="10">
        <v>24</v>
      </c>
      <c r="M26" s="221">
        <v>44641</v>
      </c>
      <c r="N26" s="222" t="s">
        <v>173</v>
      </c>
      <c r="O26" s="223">
        <v>2150000</v>
      </c>
      <c r="P26" s="224"/>
    </row>
    <row r="27" spans="1:20">
      <c r="A27" s="29"/>
      <c r="B27" s="29" t="s">
        <v>58</v>
      </c>
      <c r="C27" s="27" t="s">
        <v>61</v>
      </c>
      <c r="D27" s="31">
        <v>10</v>
      </c>
      <c r="E27" s="31" t="s">
        <v>30</v>
      </c>
      <c r="F27" s="28">
        <v>200000</v>
      </c>
      <c r="G27" s="28">
        <f t="shared" si="0"/>
        <v>2000000</v>
      </c>
      <c r="H27" s="471"/>
      <c r="I27" s="474"/>
      <c r="J27" s="456"/>
      <c r="K27" s="72"/>
      <c r="L27" s="39">
        <v>25</v>
      </c>
      <c r="M27" s="189">
        <v>44901</v>
      </c>
      <c r="N27" s="190" t="s">
        <v>16</v>
      </c>
      <c r="O27" s="191">
        <v>1650000</v>
      </c>
      <c r="P27" s="192" t="s">
        <v>107</v>
      </c>
    </row>
    <row r="28" spans="1:20">
      <c r="A28" s="29"/>
      <c r="B28" s="29" t="s">
        <v>59</v>
      </c>
      <c r="C28" s="27" t="s">
        <v>61</v>
      </c>
      <c r="D28" s="31">
        <v>5</v>
      </c>
      <c r="E28" s="31" t="s">
        <v>30</v>
      </c>
      <c r="F28" s="28">
        <v>200000</v>
      </c>
      <c r="G28" s="28">
        <f t="shared" si="0"/>
        <v>1000000</v>
      </c>
      <c r="H28" s="471"/>
      <c r="I28" s="474"/>
      <c r="J28" s="456"/>
      <c r="K28" s="72"/>
      <c r="L28" s="26"/>
      <c r="M28" s="34"/>
      <c r="N28" s="34"/>
      <c r="O28" s="26"/>
      <c r="P28" s="26"/>
    </row>
    <row r="29" spans="1:20">
      <c r="A29" s="29"/>
      <c r="B29" s="29" t="s">
        <v>60</v>
      </c>
      <c r="C29" s="27" t="s">
        <v>61</v>
      </c>
      <c r="D29" s="31">
        <v>5</v>
      </c>
      <c r="E29" s="31" t="s">
        <v>30</v>
      </c>
      <c r="F29" s="28">
        <v>200000</v>
      </c>
      <c r="G29" s="28">
        <f t="shared" si="0"/>
        <v>1000000</v>
      </c>
      <c r="H29" s="471"/>
      <c r="I29" s="474"/>
      <c r="J29" s="456"/>
      <c r="K29" s="72"/>
      <c r="L29" s="26"/>
      <c r="M29" s="34"/>
      <c r="N29" s="34"/>
      <c r="O29" s="35">
        <f>SUM(O4:O28)</f>
        <v>125415000</v>
      </c>
      <c r="P29" s="26"/>
    </row>
    <row r="30" spans="1:20">
      <c r="A30" s="29"/>
      <c r="B30" s="29" t="s">
        <v>62</v>
      </c>
      <c r="C30" s="27" t="s">
        <v>61</v>
      </c>
      <c r="D30" s="31">
        <v>10</v>
      </c>
      <c r="E30" s="31" t="s">
        <v>33</v>
      </c>
      <c r="F30" s="28">
        <v>35000</v>
      </c>
      <c r="G30" s="28">
        <f t="shared" si="0"/>
        <v>350000</v>
      </c>
      <c r="H30" s="471"/>
      <c r="I30" s="474"/>
      <c r="J30" s="456"/>
      <c r="K30" s="72"/>
      <c r="L30" s="26"/>
      <c r="M30" s="34"/>
      <c r="N30" s="34"/>
      <c r="O30" s="26"/>
      <c r="P30" s="26"/>
    </row>
    <row r="31" spans="1:20">
      <c r="A31" s="29"/>
      <c r="B31" s="29" t="s">
        <v>63</v>
      </c>
      <c r="C31" s="27" t="s">
        <v>61</v>
      </c>
      <c r="D31" s="31">
        <v>3</v>
      </c>
      <c r="E31" s="31" t="s">
        <v>33</v>
      </c>
      <c r="F31" s="28">
        <v>35000</v>
      </c>
      <c r="G31" s="28">
        <f t="shared" si="0"/>
        <v>105000</v>
      </c>
      <c r="H31" s="471"/>
      <c r="I31" s="474"/>
      <c r="J31" s="456"/>
      <c r="K31" s="26"/>
      <c r="L31" s="34"/>
      <c r="M31" s="34"/>
      <c r="N31" s="26"/>
      <c r="O31" s="26"/>
    </row>
    <row r="32" spans="1:20">
      <c r="A32" s="29"/>
      <c r="B32" s="29" t="s">
        <v>64</v>
      </c>
      <c r="C32" s="27" t="s">
        <v>61</v>
      </c>
      <c r="D32" s="31">
        <v>5</v>
      </c>
      <c r="E32" s="31" t="s">
        <v>30</v>
      </c>
      <c r="F32" s="28">
        <v>300000</v>
      </c>
      <c r="G32" s="28">
        <f t="shared" si="0"/>
        <v>1500000</v>
      </c>
      <c r="H32" s="471"/>
      <c r="I32" s="474"/>
      <c r="J32" s="456"/>
      <c r="K32" s="26"/>
      <c r="L32" s="34"/>
      <c r="M32" s="34"/>
      <c r="N32" s="26"/>
      <c r="O32" s="26"/>
    </row>
    <row r="33" spans="1:15">
      <c r="A33" s="29"/>
      <c r="B33" s="13" t="s">
        <v>65</v>
      </c>
      <c r="C33" s="27" t="s">
        <v>61</v>
      </c>
      <c r="D33" s="14">
        <v>2</v>
      </c>
      <c r="E33" s="31" t="s">
        <v>30</v>
      </c>
      <c r="F33" s="15">
        <v>125000</v>
      </c>
      <c r="G33" s="15">
        <f t="shared" si="0"/>
        <v>250000</v>
      </c>
      <c r="H33" s="471"/>
      <c r="I33" s="474"/>
      <c r="J33" s="456"/>
      <c r="K33" s="26"/>
      <c r="L33" s="34"/>
      <c r="M33" s="34"/>
      <c r="N33" s="26"/>
      <c r="O33" s="26"/>
    </row>
    <row r="34" spans="1:15">
      <c r="A34" s="29"/>
      <c r="B34" s="13" t="s">
        <v>67</v>
      </c>
      <c r="C34" s="27" t="s">
        <v>61</v>
      </c>
      <c r="D34" s="14">
        <v>2</v>
      </c>
      <c r="E34" s="31" t="s">
        <v>30</v>
      </c>
      <c r="F34" s="15">
        <v>135000</v>
      </c>
      <c r="G34" s="15">
        <f t="shared" si="0"/>
        <v>270000</v>
      </c>
      <c r="H34" s="471"/>
      <c r="I34" s="474"/>
      <c r="J34" s="456"/>
      <c r="K34" s="26"/>
      <c r="L34" s="34"/>
      <c r="M34" s="34"/>
      <c r="N34" s="26"/>
      <c r="O34" s="26"/>
    </row>
    <row r="35" spans="1:15">
      <c r="A35" s="29"/>
      <c r="B35" s="13" t="s">
        <v>66</v>
      </c>
      <c r="C35" s="27" t="s">
        <v>61</v>
      </c>
      <c r="D35" s="14">
        <v>2</v>
      </c>
      <c r="E35" s="31" t="s">
        <v>30</v>
      </c>
      <c r="F35" s="15">
        <v>35000</v>
      </c>
      <c r="G35" s="15">
        <f t="shared" si="0"/>
        <v>70000</v>
      </c>
      <c r="H35" s="471"/>
      <c r="I35" s="474"/>
      <c r="J35" s="456"/>
      <c r="K35" s="26"/>
      <c r="L35" s="34"/>
      <c r="M35" s="34"/>
      <c r="N35" s="26"/>
      <c r="O35" s="26"/>
    </row>
    <row r="36" spans="1:15">
      <c r="A36" s="13"/>
      <c r="B36" s="13" t="s">
        <v>68</v>
      </c>
      <c r="C36" s="27" t="s">
        <v>61</v>
      </c>
      <c r="D36" s="14">
        <v>2</v>
      </c>
      <c r="E36" s="31" t="s">
        <v>30</v>
      </c>
      <c r="F36" s="15">
        <v>135000</v>
      </c>
      <c r="G36" s="15">
        <f t="shared" si="0"/>
        <v>270000</v>
      </c>
      <c r="H36" s="471"/>
      <c r="I36" s="474"/>
      <c r="J36" s="456"/>
      <c r="L36" s="34"/>
      <c r="M36" s="34"/>
      <c r="N36" s="26"/>
      <c r="O36" s="26"/>
    </row>
    <row r="37" spans="1:15">
      <c r="A37" s="13"/>
      <c r="B37" s="13" t="s">
        <v>69</v>
      </c>
      <c r="C37" s="27" t="s">
        <v>61</v>
      </c>
      <c r="D37" s="14">
        <v>2</v>
      </c>
      <c r="E37" s="31" t="s">
        <v>30</v>
      </c>
      <c r="F37" s="15">
        <v>150000</v>
      </c>
      <c r="G37" s="15">
        <f t="shared" si="0"/>
        <v>300000</v>
      </c>
      <c r="H37" s="471"/>
      <c r="I37" s="474"/>
      <c r="J37" s="456"/>
      <c r="M37" s="5"/>
    </row>
    <row r="38" spans="1:15">
      <c r="A38" s="13"/>
      <c r="B38" s="13" t="s">
        <v>70</v>
      </c>
      <c r="C38" s="27" t="s">
        <v>61</v>
      </c>
      <c r="D38" s="14">
        <v>5</v>
      </c>
      <c r="E38" s="14" t="s">
        <v>33</v>
      </c>
      <c r="F38" s="15">
        <v>35000</v>
      </c>
      <c r="G38" s="15">
        <f t="shared" si="0"/>
        <v>175000</v>
      </c>
      <c r="H38" s="471"/>
      <c r="I38" s="474"/>
      <c r="J38" s="456"/>
      <c r="M38" s="5"/>
    </row>
    <row r="39" spans="1:15">
      <c r="A39" s="13"/>
      <c r="B39" s="46" t="s">
        <v>73</v>
      </c>
      <c r="C39" s="46" t="s">
        <v>74</v>
      </c>
      <c r="D39" s="47">
        <v>2</v>
      </c>
      <c r="E39" s="46" t="s">
        <v>75</v>
      </c>
      <c r="F39" s="53">
        <v>500000</v>
      </c>
      <c r="G39" s="53">
        <f t="shared" si="0"/>
        <v>1000000</v>
      </c>
      <c r="H39" s="471"/>
      <c r="I39" s="474"/>
      <c r="J39" s="456"/>
      <c r="M39" s="5"/>
    </row>
    <row r="40" spans="1:15">
      <c r="A40" s="13"/>
      <c r="B40" s="13" t="s">
        <v>77</v>
      </c>
      <c r="C40" s="14" t="s">
        <v>15</v>
      </c>
      <c r="D40" s="14">
        <v>10</v>
      </c>
      <c r="E40" s="14" t="s">
        <v>30</v>
      </c>
      <c r="F40" s="15">
        <v>300000</v>
      </c>
      <c r="G40" s="15">
        <f t="shared" si="0"/>
        <v>3000000</v>
      </c>
      <c r="H40" s="471"/>
      <c r="I40" s="474"/>
      <c r="J40" s="456"/>
      <c r="M40" s="5"/>
    </row>
    <row r="41" spans="1:15">
      <c r="A41" s="13"/>
      <c r="B41" s="13" t="s">
        <v>78</v>
      </c>
      <c r="C41" s="14" t="s">
        <v>15</v>
      </c>
      <c r="D41" s="14">
        <v>2</v>
      </c>
      <c r="E41" s="14" t="s">
        <v>30</v>
      </c>
      <c r="F41" s="15">
        <v>1750000</v>
      </c>
      <c r="G41" s="15">
        <f t="shared" si="0"/>
        <v>3500000</v>
      </c>
      <c r="H41" s="472"/>
      <c r="I41" s="475"/>
      <c r="J41" s="457"/>
      <c r="M41" s="5"/>
    </row>
    <row r="42" spans="1:15">
      <c r="A42" s="52">
        <v>44571</v>
      </c>
      <c r="B42" s="13" t="s">
        <v>79</v>
      </c>
      <c r="C42" s="14" t="s">
        <v>15</v>
      </c>
      <c r="D42" s="14">
        <v>5</v>
      </c>
      <c r="E42" s="14" t="s">
        <v>30</v>
      </c>
      <c r="F42" s="15">
        <v>415000</v>
      </c>
      <c r="G42" s="15">
        <f t="shared" si="0"/>
        <v>2075000</v>
      </c>
      <c r="H42" s="53">
        <f>SUM(G39)</f>
        <v>1000000</v>
      </c>
      <c r="I42" s="46" t="s">
        <v>76</v>
      </c>
      <c r="M42" s="5"/>
    </row>
    <row r="43" spans="1:15">
      <c r="A43" s="12">
        <v>44571</v>
      </c>
      <c r="B43" s="13" t="s">
        <v>80</v>
      </c>
      <c r="C43" s="14" t="s">
        <v>15</v>
      </c>
      <c r="D43" s="14">
        <v>10</v>
      </c>
      <c r="E43" s="14" t="s">
        <v>30</v>
      </c>
      <c r="F43" s="15">
        <v>415000</v>
      </c>
      <c r="G43" s="15">
        <f t="shared" si="0"/>
        <v>4150000</v>
      </c>
      <c r="H43" s="480">
        <f>SUM(G40:G41)</f>
        <v>6500000</v>
      </c>
      <c r="I43" s="449" t="s">
        <v>52</v>
      </c>
      <c r="M43" s="5"/>
    </row>
    <row r="44" spans="1:15">
      <c r="A44" s="13"/>
      <c r="B44" s="13" t="s">
        <v>81</v>
      </c>
      <c r="C44" s="14" t="s">
        <v>48</v>
      </c>
      <c r="D44" s="14">
        <v>1</v>
      </c>
      <c r="E44" s="14" t="s">
        <v>49</v>
      </c>
      <c r="F44" s="54">
        <v>0</v>
      </c>
      <c r="G44" s="54">
        <f t="shared" si="0"/>
        <v>0</v>
      </c>
      <c r="H44" s="481"/>
      <c r="I44" s="450"/>
      <c r="M44" s="5"/>
    </row>
    <row r="45" spans="1:15">
      <c r="A45" s="12">
        <v>44574</v>
      </c>
      <c r="B45" s="13" t="s">
        <v>82</v>
      </c>
      <c r="C45" s="14" t="s">
        <v>83</v>
      </c>
      <c r="D45" s="14">
        <v>10</v>
      </c>
      <c r="E45" s="14" t="s">
        <v>30</v>
      </c>
      <c r="F45" s="51">
        <v>1200000</v>
      </c>
      <c r="G45" s="51">
        <f t="shared" si="0"/>
        <v>12000000</v>
      </c>
      <c r="H45" s="480">
        <f>SUM(G42:G43)</f>
        <v>6225000</v>
      </c>
      <c r="I45" s="449" t="s">
        <v>52</v>
      </c>
      <c r="M45" s="5"/>
    </row>
    <row r="46" spans="1:15">
      <c r="A46" s="13"/>
      <c r="B46" s="13" t="s">
        <v>84</v>
      </c>
      <c r="C46" s="14" t="s">
        <v>17</v>
      </c>
      <c r="D46" s="14">
        <v>2</v>
      </c>
      <c r="E46" s="14" t="s">
        <v>30</v>
      </c>
      <c r="F46" s="51">
        <v>735000</v>
      </c>
      <c r="G46" s="51">
        <f t="shared" si="0"/>
        <v>1470000</v>
      </c>
      <c r="H46" s="481"/>
      <c r="I46" s="450"/>
      <c r="M46" s="5"/>
    </row>
    <row r="47" spans="1:15">
      <c r="A47" s="12">
        <v>44575</v>
      </c>
      <c r="B47" s="13" t="s">
        <v>85</v>
      </c>
      <c r="C47" s="14" t="s">
        <v>17</v>
      </c>
      <c r="D47" s="14">
        <v>2</v>
      </c>
      <c r="E47" s="14" t="s">
        <v>30</v>
      </c>
      <c r="F47" s="51">
        <v>740000</v>
      </c>
      <c r="G47" s="51">
        <f t="shared" si="0"/>
        <v>1480000</v>
      </c>
      <c r="H47" s="15"/>
      <c r="I47" s="13"/>
      <c r="M47" s="5"/>
    </row>
    <row r="48" spans="1:15">
      <c r="A48" s="12">
        <v>44578</v>
      </c>
      <c r="B48" s="13" t="s">
        <v>86</v>
      </c>
      <c r="C48" s="14" t="s">
        <v>17</v>
      </c>
      <c r="D48" s="14">
        <v>1</v>
      </c>
      <c r="E48" s="14" t="s">
        <v>30</v>
      </c>
      <c r="F48" s="51">
        <v>640000</v>
      </c>
      <c r="G48" s="51">
        <f t="shared" si="0"/>
        <v>640000</v>
      </c>
      <c r="H48" s="51">
        <f>SUM(G45)</f>
        <v>12000000</v>
      </c>
      <c r="I48" s="14" t="s">
        <v>71</v>
      </c>
      <c r="M48" s="5"/>
    </row>
    <row r="49" spans="1:13">
      <c r="A49" s="12">
        <v>44578</v>
      </c>
      <c r="B49" s="13" t="s">
        <v>87</v>
      </c>
      <c r="C49" s="14" t="s">
        <v>17</v>
      </c>
      <c r="D49" s="14">
        <v>1</v>
      </c>
      <c r="E49" s="14" t="s">
        <v>30</v>
      </c>
      <c r="F49" s="51">
        <v>635000</v>
      </c>
      <c r="G49" s="51">
        <f t="shared" si="0"/>
        <v>635000</v>
      </c>
      <c r="H49" s="476">
        <f>SUM(G46:G58)</f>
        <v>10885000</v>
      </c>
      <c r="I49" s="449"/>
      <c r="M49" s="5"/>
    </row>
    <row r="50" spans="1:13">
      <c r="A50" s="13"/>
      <c r="B50" s="13" t="s">
        <v>88</v>
      </c>
      <c r="C50" s="14" t="s">
        <v>17</v>
      </c>
      <c r="D50" s="14">
        <v>1</v>
      </c>
      <c r="E50" s="14" t="s">
        <v>30</v>
      </c>
      <c r="F50" s="51">
        <v>635000</v>
      </c>
      <c r="G50" s="51">
        <f t="shared" si="0"/>
        <v>635000</v>
      </c>
      <c r="H50" s="477"/>
      <c r="I50" s="479"/>
      <c r="M50" s="5"/>
    </row>
    <row r="51" spans="1:13">
      <c r="A51" s="13"/>
      <c r="B51" s="13" t="s">
        <v>89</v>
      </c>
      <c r="C51" s="14" t="s">
        <v>17</v>
      </c>
      <c r="D51" s="14">
        <v>1</v>
      </c>
      <c r="E51" s="14" t="s">
        <v>30</v>
      </c>
      <c r="F51" s="51">
        <v>635000</v>
      </c>
      <c r="G51" s="51">
        <f t="shared" si="0"/>
        <v>635000</v>
      </c>
      <c r="H51" s="477"/>
      <c r="I51" s="479"/>
    </row>
    <row r="52" spans="1:13">
      <c r="A52" s="13"/>
      <c r="B52" s="13" t="s">
        <v>90</v>
      </c>
      <c r="C52" s="14" t="s">
        <v>17</v>
      </c>
      <c r="D52" s="14">
        <v>1</v>
      </c>
      <c r="E52" s="14" t="s">
        <v>30</v>
      </c>
      <c r="F52" s="51">
        <v>635000</v>
      </c>
      <c r="G52" s="51">
        <f t="shared" si="0"/>
        <v>635000</v>
      </c>
      <c r="H52" s="477"/>
      <c r="I52" s="479"/>
    </row>
    <row r="53" spans="1:13">
      <c r="A53" s="13"/>
      <c r="B53" s="13" t="s">
        <v>91</v>
      </c>
      <c r="C53" s="14" t="s">
        <v>17</v>
      </c>
      <c r="D53" s="14">
        <v>2</v>
      </c>
      <c r="E53" s="14" t="s">
        <v>30</v>
      </c>
      <c r="F53" s="51">
        <v>635000</v>
      </c>
      <c r="G53" s="51">
        <f t="shared" si="0"/>
        <v>1270000</v>
      </c>
      <c r="H53" s="477"/>
      <c r="I53" s="479"/>
    </row>
    <row r="54" spans="1:13">
      <c r="A54" s="13"/>
      <c r="B54" s="13" t="s">
        <v>92</v>
      </c>
      <c r="C54" s="14" t="s">
        <v>17</v>
      </c>
      <c r="D54" s="14">
        <v>1</v>
      </c>
      <c r="E54" s="14" t="s">
        <v>30</v>
      </c>
      <c r="F54" s="51">
        <v>735000</v>
      </c>
      <c r="G54" s="51">
        <f t="shared" si="0"/>
        <v>735000</v>
      </c>
      <c r="H54" s="477"/>
      <c r="I54" s="479"/>
    </row>
    <row r="55" spans="1:13">
      <c r="A55" s="13"/>
      <c r="B55" s="13" t="s">
        <v>37</v>
      </c>
      <c r="C55" s="14" t="s">
        <v>17</v>
      </c>
      <c r="D55" s="14">
        <v>1</v>
      </c>
      <c r="E55" s="14" t="s">
        <v>30</v>
      </c>
      <c r="F55" s="51">
        <v>735000</v>
      </c>
      <c r="G55" s="51">
        <f t="shared" si="0"/>
        <v>735000</v>
      </c>
      <c r="H55" s="477"/>
      <c r="I55" s="479"/>
    </row>
    <row r="56" spans="1:13">
      <c r="A56" s="13"/>
      <c r="B56" s="13" t="s">
        <v>43</v>
      </c>
      <c r="C56" s="14" t="s">
        <v>17</v>
      </c>
      <c r="D56" s="14">
        <v>1</v>
      </c>
      <c r="E56" s="14" t="s">
        <v>30</v>
      </c>
      <c r="F56" s="51">
        <v>635000</v>
      </c>
      <c r="G56" s="51">
        <f t="shared" si="0"/>
        <v>635000</v>
      </c>
      <c r="H56" s="477"/>
      <c r="I56" s="479"/>
    </row>
    <row r="57" spans="1:13">
      <c r="A57" s="13"/>
      <c r="B57" s="13" t="s">
        <v>93</v>
      </c>
      <c r="C57" s="14" t="s">
        <v>17</v>
      </c>
      <c r="D57" s="14">
        <v>7</v>
      </c>
      <c r="E57" s="14" t="s">
        <v>30</v>
      </c>
      <c r="F57" s="51">
        <v>138000</v>
      </c>
      <c r="G57" s="51">
        <f t="shared" si="0"/>
        <v>966000</v>
      </c>
      <c r="H57" s="477"/>
      <c r="I57" s="479"/>
    </row>
    <row r="58" spans="1:13">
      <c r="A58" s="13"/>
      <c r="B58" s="13" t="s">
        <v>94</v>
      </c>
      <c r="C58" s="14" t="s">
        <v>17</v>
      </c>
      <c r="D58" s="14">
        <v>3</v>
      </c>
      <c r="E58" s="14" t="s">
        <v>30</v>
      </c>
      <c r="F58" s="51">
        <v>138000</v>
      </c>
      <c r="G58" s="51">
        <f t="shared" si="0"/>
        <v>414000</v>
      </c>
      <c r="H58" s="477"/>
      <c r="I58" s="479"/>
    </row>
    <row r="59" spans="1:13">
      <c r="A59" s="13"/>
      <c r="B59" s="13" t="s">
        <v>96</v>
      </c>
      <c r="C59" s="14" t="s">
        <v>48</v>
      </c>
      <c r="D59" s="14">
        <v>1</v>
      </c>
      <c r="E59" s="14" t="s">
        <v>49</v>
      </c>
      <c r="F59" s="13">
        <v>0</v>
      </c>
      <c r="G59" s="13">
        <f t="shared" si="0"/>
        <v>0</v>
      </c>
      <c r="H59" s="477"/>
      <c r="I59" s="479"/>
    </row>
    <row r="60" spans="1:13">
      <c r="A60" s="13"/>
      <c r="B60" s="13" t="s">
        <v>95</v>
      </c>
      <c r="C60" s="14" t="s">
        <v>48</v>
      </c>
      <c r="D60" s="14">
        <v>1</v>
      </c>
      <c r="E60" s="14" t="s">
        <v>49</v>
      </c>
      <c r="F60" s="13">
        <v>0</v>
      </c>
      <c r="G60" s="51">
        <f t="shared" si="0"/>
        <v>0</v>
      </c>
      <c r="H60" s="477"/>
      <c r="I60" s="479"/>
    </row>
    <row r="61" spans="1:13">
      <c r="A61" s="13"/>
      <c r="B61" s="13" t="s">
        <v>97</v>
      </c>
      <c r="C61" s="14" t="s">
        <v>16</v>
      </c>
      <c r="D61" s="14">
        <v>1</v>
      </c>
      <c r="E61" s="14" t="s">
        <v>49</v>
      </c>
      <c r="F61" s="51">
        <v>1100000</v>
      </c>
      <c r="G61" s="51">
        <f t="shared" si="0"/>
        <v>1100000</v>
      </c>
      <c r="H61" s="478"/>
      <c r="I61" s="450"/>
    </row>
    <row r="62" spans="1:13">
      <c r="A62" s="12">
        <v>44579</v>
      </c>
      <c r="B62" s="13" t="s">
        <v>98</v>
      </c>
      <c r="C62" s="14" t="s">
        <v>16</v>
      </c>
      <c r="D62" s="14">
        <v>1</v>
      </c>
      <c r="E62" s="14" t="s">
        <v>49</v>
      </c>
      <c r="F62" s="51">
        <v>1100000</v>
      </c>
      <c r="G62" s="51">
        <f t="shared" si="0"/>
        <v>1100000</v>
      </c>
      <c r="H62" s="449"/>
      <c r="I62" s="449"/>
    </row>
    <row r="63" spans="1:13">
      <c r="A63" s="13"/>
      <c r="B63" s="13" t="s">
        <v>99</v>
      </c>
      <c r="C63" s="14" t="s">
        <v>16</v>
      </c>
      <c r="D63" s="14">
        <v>1</v>
      </c>
      <c r="E63" s="14" t="s">
        <v>49</v>
      </c>
      <c r="F63" s="51">
        <v>1100000</v>
      </c>
      <c r="G63" s="51">
        <f t="shared" si="0"/>
        <v>1100000</v>
      </c>
      <c r="H63" s="450"/>
      <c r="I63" s="450"/>
    </row>
    <row r="64" spans="1:13">
      <c r="A64" s="12">
        <v>44585</v>
      </c>
      <c r="B64" s="13" t="s">
        <v>100</v>
      </c>
      <c r="C64" s="14" t="s">
        <v>29</v>
      </c>
      <c r="D64" s="14">
        <v>12</v>
      </c>
      <c r="E64" s="14" t="s">
        <v>30</v>
      </c>
      <c r="F64" s="51">
        <v>185000</v>
      </c>
      <c r="G64" s="51">
        <f t="shared" si="0"/>
        <v>2220000</v>
      </c>
      <c r="H64" s="451">
        <f>SUM(G61:G63)</f>
        <v>3300000</v>
      </c>
      <c r="I64" s="453" t="s">
        <v>52</v>
      </c>
    </row>
    <row r="65" spans="1:9">
      <c r="A65" s="13"/>
      <c r="B65" s="13" t="s">
        <v>101</v>
      </c>
      <c r="C65" s="14" t="s">
        <v>29</v>
      </c>
      <c r="D65" s="14">
        <v>5</v>
      </c>
      <c r="E65" s="14" t="s">
        <v>30</v>
      </c>
      <c r="F65" s="51">
        <v>185000</v>
      </c>
      <c r="G65" s="51">
        <f t="shared" si="0"/>
        <v>925000</v>
      </c>
      <c r="H65" s="454"/>
      <c r="I65" s="454"/>
    </row>
    <row r="66" spans="1:9">
      <c r="A66" s="13"/>
      <c r="B66" s="13" t="s">
        <v>102</v>
      </c>
      <c r="C66" s="14" t="s">
        <v>103</v>
      </c>
      <c r="D66" s="14">
        <v>1</v>
      </c>
      <c r="E66" s="14" t="s">
        <v>30</v>
      </c>
      <c r="F66" s="13">
        <v>0</v>
      </c>
      <c r="G66" s="13">
        <f t="shared" si="0"/>
        <v>0</v>
      </c>
      <c r="H66" s="452"/>
      <c r="I66" s="452"/>
    </row>
    <row r="67" spans="1:9">
      <c r="A67" s="12">
        <v>44585</v>
      </c>
      <c r="B67" s="13" t="s">
        <v>104</v>
      </c>
      <c r="C67" s="14" t="s">
        <v>17</v>
      </c>
      <c r="D67" s="14">
        <v>1</v>
      </c>
      <c r="E67" s="14" t="s">
        <v>30</v>
      </c>
      <c r="F67" s="51">
        <v>795000</v>
      </c>
      <c r="G67" s="51">
        <v>790000</v>
      </c>
      <c r="H67" s="451">
        <f>SUM(G64:G65)</f>
        <v>3145000</v>
      </c>
      <c r="I67" s="453" t="s">
        <v>71</v>
      </c>
    </row>
    <row r="68" spans="1:9">
      <c r="A68" s="13"/>
      <c r="B68" s="13" t="s">
        <v>105</v>
      </c>
      <c r="C68" s="14" t="s">
        <v>17</v>
      </c>
      <c r="D68" s="14">
        <v>208</v>
      </c>
      <c r="E68" s="14" t="s">
        <v>33</v>
      </c>
      <c r="F68" s="51">
        <v>5000</v>
      </c>
      <c r="G68" s="51">
        <f t="shared" si="0"/>
        <v>1040000</v>
      </c>
      <c r="H68" s="452"/>
      <c r="I68" s="452"/>
    </row>
    <row r="69" spans="1:9">
      <c r="A69" s="12">
        <v>44585</v>
      </c>
      <c r="B69" s="13" t="s">
        <v>116</v>
      </c>
      <c r="C69" s="14" t="s">
        <v>117</v>
      </c>
      <c r="D69" s="14">
        <v>20</v>
      </c>
      <c r="E69" s="14" t="s">
        <v>33</v>
      </c>
      <c r="F69" s="51">
        <v>25000</v>
      </c>
      <c r="G69" s="51">
        <f t="shared" si="0"/>
        <v>500000</v>
      </c>
      <c r="H69" s="13"/>
      <c r="I69" s="13"/>
    </row>
    <row r="70" spans="1:9">
      <c r="A70" s="12">
        <v>44586</v>
      </c>
      <c r="B70" s="13" t="s">
        <v>119</v>
      </c>
      <c r="C70" s="14" t="s">
        <v>345</v>
      </c>
      <c r="D70" s="14">
        <v>50</v>
      </c>
      <c r="E70" s="14" t="s">
        <v>33</v>
      </c>
      <c r="F70" s="51">
        <v>18000</v>
      </c>
      <c r="G70" s="51">
        <f t="shared" si="0"/>
        <v>900000</v>
      </c>
      <c r="H70" s="451">
        <f>SUM(G67:G68)</f>
        <v>1830000</v>
      </c>
      <c r="I70" s="453" t="s">
        <v>106</v>
      </c>
    </row>
    <row r="71" spans="1:9">
      <c r="A71" s="13"/>
      <c r="B71" s="13" t="s">
        <v>120</v>
      </c>
      <c r="C71" s="14" t="s">
        <v>345</v>
      </c>
      <c r="D71" s="14">
        <v>2</v>
      </c>
      <c r="E71" s="14" t="s">
        <v>30</v>
      </c>
      <c r="F71" s="51">
        <v>200000</v>
      </c>
      <c r="G71" s="51">
        <f t="shared" si="0"/>
        <v>400000</v>
      </c>
      <c r="H71" s="452"/>
      <c r="I71" s="452"/>
    </row>
    <row r="72" spans="1:9">
      <c r="A72" s="12">
        <v>44586</v>
      </c>
      <c r="B72" s="13" t="s">
        <v>121</v>
      </c>
      <c r="C72" s="14" t="s">
        <v>345</v>
      </c>
      <c r="D72" s="14">
        <v>2</v>
      </c>
      <c r="E72" s="14" t="s">
        <v>33</v>
      </c>
      <c r="F72" s="51">
        <v>600000</v>
      </c>
      <c r="G72" s="51">
        <f t="shared" si="0"/>
        <v>1200000</v>
      </c>
      <c r="H72" s="51">
        <f>SUM(G69)</f>
        <v>500000</v>
      </c>
      <c r="I72" s="14" t="s">
        <v>52</v>
      </c>
    </row>
    <row r="73" spans="1:9">
      <c r="A73" s="12">
        <v>44588</v>
      </c>
      <c r="B73" s="13" t="s">
        <v>122</v>
      </c>
      <c r="C73" s="14" t="s">
        <v>345</v>
      </c>
      <c r="D73" s="14">
        <v>5</v>
      </c>
      <c r="E73" s="14" t="s">
        <v>33</v>
      </c>
      <c r="F73" s="51">
        <v>15000</v>
      </c>
      <c r="G73" s="51">
        <f t="shared" si="0"/>
        <v>75000</v>
      </c>
      <c r="H73" s="451">
        <f>SUM(G70:G78)</f>
        <v>4870000</v>
      </c>
      <c r="I73" s="482" t="s">
        <v>106</v>
      </c>
    </row>
    <row r="74" spans="1:9">
      <c r="A74" s="13"/>
      <c r="B74" s="13" t="s">
        <v>123</v>
      </c>
      <c r="C74" s="14" t="s">
        <v>345</v>
      </c>
      <c r="D74" s="14">
        <v>5</v>
      </c>
      <c r="E74" s="14" t="s">
        <v>33</v>
      </c>
      <c r="F74" s="51">
        <v>17000</v>
      </c>
      <c r="G74" s="51">
        <f t="shared" si="0"/>
        <v>85000</v>
      </c>
      <c r="H74" s="454"/>
      <c r="I74" s="483"/>
    </row>
    <row r="75" spans="1:9">
      <c r="A75" s="13"/>
      <c r="B75" s="13" t="s">
        <v>124</v>
      </c>
      <c r="C75" s="14" t="s">
        <v>345</v>
      </c>
      <c r="D75" s="14">
        <v>5</v>
      </c>
      <c r="E75" s="14" t="s">
        <v>33</v>
      </c>
      <c r="F75" s="51">
        <v>18000</v>
      </c>
      <c r="G75" s="51">
        <f t="shared" si="0"/>
        <v>90000</v>
      </c>
      <c r="H75" s="454"/>
      <c r="I75" s="483"/>
    </row>
    <row r="76" spans="1:9">
      <c r="A76" s="13"/>
      <c r="B76" s="13" t="s">
        <v>125</v>
      </c>
      <c r="C76" s="14" t="s">
        <v>345</v>
      </c>
      <c r="D76" s="14">
        <v>5</v>
      </c>
      <c r="E76" s="14" t="s">
        <v>33</v>
      </c>
      <c r="F76" s="51">
        <v>20000</v>
      </c>
      <c r="G76" s="51">
        <f t="shared" si="0"/>
        <v>100000</v>
      </c>
      <c r="H76" s="454"/>
      <c r="I76" s="483"/>
    </row>
    <row r="77" spans="1:9">
      <c r="A77" s="13"/>
      <c r="B77" s="13" t="s">
        <v>126</v>
      </c>
      <c r="C77" s="14" t="s">
        <v>345</v>
      </c>
      <c r="D77" s="14">
        <v>6</v>
      </c>
      <c r="E77" s="14" t="s">
        <v>33</v>
      </c>
      <c r="F77" s="51">
        <v>195000</v>
      </c>
      <c r="G77" s="51">
        <f t="shared" si="0"/>
        <v>1170000</v>
      </c>
      <c r="H77" s="454"/>
      <c r="I77" s="483"/>
    </row>
    <row r="78" spans="1:9">
      <c r="A78" s="13"/>
      <c r="B78" s="13" t="s">
        <v>127</v>
      </c>
      <c r="C78" s="14" t="s">
        <v>345</v>
      </c>
      <c r="D78" s="14">
        <v>2</v>
      </c>
      <c r="E78" s="14" t="s">
        <v>30</v>
      </c>
      <c r="F78" s="51">
        <v>425000</v>
      </c>
      <c r="G78" s="51">
        <f t="shared" si="0"/>
        <v>850000</v>
      </c>
      <c r="H78" s="454"/>
      <c r="I78" s="483"/>
    </row>
    <row r="79" spans="1:9">
      <c r="A79" s="13"/>
      <c r="B79" s="13" t="s">
        <v>128</v>
      </c>
      <c r="C79" s="14" t="s">
        <v>15</v>
      </c>
      <c r="D79" s="14">
        <v>5</v>
      </c>
      <c r="E79" s="14" t="s">
        <v>33</v>
      </c>
      <c r="F79" s="51">
        <v>420000</v>
      </c>
      <c r="G79" s="51">
        <f t="shared" si="0"/>
        <v>2100000</v>
      </c>
      <c r="H79" s="454"/>
      <c r="I79" s="483"/>
    </row>
    <row r="80" spans="1:9">
      <c r="A80" s="13"/>
      <c r="B80" s="13" t="s">
        <v>129</v>
      </c>
      <c r="C80" s="14" t="s">
        <v>15</v>
      </c>
      <c r="D80" s="14">
        <v>5</v>
      </c>
      <c r="E80" s="14" t="s">
        <v>33</v>
      </c>
      <c r="F80" s="51">
        <v>10000</v>
      </c>
      <c r="G80" s="51">
        <f t="shared" si="0"/>
        <v>50000</v>
      </c>
      <c r="H80" s="454"/>
      <c r="I80" s="483"/>
    </row>
    <row r="81" spans="1:9">
      <c r="A81" s="13"/>
      <c r="B81" s="13" t="s">
        <v>130</v>
      </c>
      <c r="C81" s="14" t="s">
        <v>15</v>
      </c>
      <c r="D81" s="14">
        <v>5</v>
      </c>
      <c r="E81" s="14" t="s">
        <v>33</v>
      </c>
      <c r="F81" s="51">
        <v>10000</v>
      </c>
      <c r="G81" s="51">
        <f t="shared" si="0"/>
        <v>50000</v>
      </c>
      <c r="H81" s="452"/>
      <c r="I81" s="484"/>
    </row>
    <row r="82" spans="1:9">
      <c r="A82" s="12">
        <v>44588</v>
      </c>
      <c r="B82" s="13" t="s">
        <v>131</v>
      </c>
      <c r="C82" s="14" t="s">
        <v>15</v>
      </c>
      <c r="D82" s="14">
        <v>15</v>
      </c>
      <c r="E82" s="14" t="s">
        <v>33</v>
      </c>
      <c r="F82" s="51">
        <v>10000</v>
      </c>
      <c r="G82" s="51">
        <f t="shared" ref="G82:G98" si="1">F82*D82</f>
        <v>150000</v>
      </c>
      <c r="H82" s="451">
        <f>SUM(G79:G88)</f>
        <v>5100000</v>
      </c>
      <c r="I82" s="453" t="s">
        <v>106</v>
      </c>
    </row>
    <row r="83" spans="1:9">
      <c r="A83" s="13"/>
      <c r="B83" s="13" t="s">
        <v>132</v>
      </c>
      <c r="C83" s="14" t="s">
        <v>15</v>
      </c>
      <c r="D83" s="14">
        <v>10</v>
      </c>
      <c r="E83" s="14" t="s">
        <v>33</v>
      </c>
      <c r="F83" s="51">
        <v>10000</v>
      </c>
      <c r="G83" s="51">
        <f t="shared" si="1"/>
        <v>100000</v>
      </c>
      <c r="H83" s="454"/>
      <c r="I83" s="454"/>
    </row>
    <row r="84" spans="1:9">
      <c r="A84" s="13"/>
      <c r="B84" s="13" t="s">
        <v>133</v>
      </c>
      <c r="C84" s="14" t="s">
        <v>15</v>
      </c>
      <c r="D84" s="14">
        <v>10</v>
      </c>
      <c r="E84" s="14" t="s">
        <v>33</v>
      </c>
      <c r="F84" s="51">
        <v>10000</v>
      </c>
      <c r="G84" s="51">
        <f t="shared" si="1"/>
        <v>100000</v>
      </c>
      <c r="H84" s="454"/>
      <c r="I84" s="454"/>
    </row>
    <row r="85" spans="1:9">
      <c r="A85" s="13"/>
      <c r="B85" s="13" t="s">
        <v>134</v>
      </c>
      <c r="C85" s="14" t="s">
        <v>15</v>
      </c>
      <c r="D85" s="14">
        <v>30</v>
      </c>
      <c r="E85" s="14" t="s">
        <v>33</v>
      </c>
      <c r="F85" s="51">
        <v>10000</v>
      </c>
      <c r="G85" s="51">
        <f t="shared" si="1"/>
        <v>300000</v>
      </c>
      <c r="H85" s="454"/>
      <c r="I85" s="454"/>
    </row>
    <row r="86" spans="1:9">
      <c r="A86" s="13"/>
      <c r="B86" s="13" t="s">
        <v>135</v>
      </c>
      <c r="C86" s="14" t="s">
        <v>15</v>
      </c>
      <c r="D86" s="14">
        <v>30</v>
      </c>
      <c r="E86" s="14" t="s">
        <v>33</v>
      </c>
      <c r="F86" s="51">
        <v>35000</v>
      </c>
      <c r="G86" s="51">
        <f t="shared" si="1"/>
        <v>1050000</v>
      </c>
      <c r="H86" s="454"/>
      <c r="I86" s="454"/>
    </row>
    <row r="87" spans="1:9">
      <c r="A87" s="13"/>
      <c r="B87" s="13" t="s">
        <v>136</v>
      </c>
      <c r="C87" s="14" t="s">
        <v>15</v>
      </c>
      <c r="D87" s="14">
        <v>5</v>
      </c>
      <c r="E87" s="14" t="s">
        <v>30</v>
      </c>
      <c r="F87" s="51">
        <v>120000</v>
      </c>
      <c r="G87" s="51">
        <f t="shared" si="1"/>
        <v>600000</v>
      </c>
      <c r="H87" s="454"/>
      <c r="I87" s="454"/>
    </row>
    <row r="88" spans="1:9">
      <c r="A88" s="13"/>
      <c r="B88" s="13" t="s">
        <v>137</v>
      </c>
      <c r="C88" s="14" t="s">
        <v>15</v>
      </c>
      <c r="D88" s="14">
        <v>5</v>
      </c>
      <c r="E88" s="14" t="s">
        <v>30</v>
      </c>
      <c r="F88" s="51">
        <v>120000</v>
      </c>
      <c r="G88" s="51">
        <f t="shared" si="1"/>
        <v>600000</v>
      </c>
      <c r="H88" s="454"/>
      <c r="I88" s="454"/>
    </row>
    <row r="89" spans="1:9">
      <c r="A89" s="13"/>
      <c r="B89" s="13" t="s">
        <v>138</v>
      </c>
      <c r="C89" s="14" t="s">
        <v>17</v>
      </c>
      <c r="D89" s="14">
        <v>23</v>
      </c>
      <c r="E89" s="14" t="s">
        <v>30</v>
      </c>
      <c r="F89" s="51">
        <v>160000</v>
      </c>
      <c r="G89" s="51">
        <f t="shared" si="1"/>
        <v>3680000</v>
      </c>
      <c r="H89" s="454"/>
      <c r="I89" s="454"/>
    </row>
    <row r="90" spans="1:9">
      <c r="A90" s="13"/>
      <c r="B90" s="13" t="s">
        <v>139</v>
      </c>
      <c r="C90" s="14" t="s">
        <v>140</v>
      </c>
      <c r="D90" s="14">
        <v>10</v>
      </c>
      <c r="E90" s="14" t="s">
        <v>30</v>
      </c>
      <c r="F90" s="55">
        <v>100000</v>
      </c>
      <c r="G90" s="55">
        <f t="shared" si="1"/>
        <v>1000000</v>
      </c>
      <c r="H90" s="454"/>
      <c r="I90" s="454"/>
    </row>
    <row r="91" spans="1:9">
      <c r="A91" s="13"/>
      <c r="B91" s="13" t="s">
        <v>141</v>
      </c>
      <c r="C91" s="14" t="s">
        <v>140</v>
      </c>
      <c r="D91" s="14">
        <v>6</v>
      </c>
      <c r="E91" s="14" t="s">
        <v>30</v>
      </c>
      <c r="F91" s="55">
        <v>140000</v>
      </c>
      <c r="G91" s="55">
        <f t="shared" si="1"/>
        <v>840000</v>
      </c>
      <c r="H91" s="452"/>
      <c r="I91" s="452"/>
    </row>
    <row r="92" spans="1:9">
      <c r="A92" s="12">
        <v>44592</v>
      </c>
      <c r="B92" s="13" t="s">
        <v>142</v>
      </c>
      <c r="C92" s="14" t="s">
        <v>140</v>
      </c>
      <c r="D92" s="14">
        <v>6</v>
      </c>
      <c r="E92" s="14" t="s">
        <v>30</v>
      </c>
      <c r="F92" s="55">
        <v>160000</v>
      </c>
      <c r="G92" s="55">
        <f t="shared" si="1"/>
        <v>960000</v>
      </c>
      <c r="H92" s="51">
        <f>SUM(G89)</f>
        <v>3680000</v>
      </c>
      <c r="I92" s="13" t="s">
        <v>106</v>
      </c>
    </row>
    <row r="93" spans="1:9">
      <c r="A93" s="12">
        <v>44592</v>
      </c>
      <c r="B93" s="13" t="s">
        <v>143</v>
      </c>
      <c r="C93" s="14" t="s">
        <v>140</v>
      </c>
      <c r="D93" s="14">
        <v>6</v>
      </c>
      <c r="E93" s="14" t="s">
        <v>30</v>
      </c>
      <c r="F93" s="55">
        <v>110000</v>
      </c>
      <c r="G93" s="55">
        <f t="shared" si="1"/>
        <v>660000</v>
      </c>
      <c r="H93" s="451">
        <f>SUM(G90:G95)</f>
        <v>4330000</v>
      </c>
      <c r="I93" s="453" t="s">
        <v>71</v>
      </c>
    </row>
    <row r="94" spans="1:9">
      <c r="A94" s="13"/>
      <c r="B94" s="13" t="s">
        <v>144</v>
      </c>
      <c r="C94" s="14" t="s">
        <v>140</v>
      </c>
      <c r="D94" s="14">
        <v>6</v>
      </c>
      <c r="E94" s="14" t="s">
        <v>30</v>
      </c>
      <c r="F94" s="55">
        <v>125000</v>
      </c>
      <c r="G94" s="55">
        <f t="shared" si="1"/>
        <v>750000</v>
      </c>
      <c r="H94" s="454"/>
      <c r="I94" s="454"/>
    </row>
    <row r="95" spans="1:9">
      <c r="A95" s="13"/>
      <c r="B95" s="13" t="s">
        <v>145</v>
      </c>
      <c r="C95" s="14" t="s">
        <v>140</v>
      </c>
      <c r="D95" s="14">
        <v>3</v>
      </c>
      <c r="E95" s="14" t="s">
        <v>30</v>
      </c>
      <c r="F95" s="55">
        <v>40000</v>
      </c>
      <c r="G95" s="55">
        <f t="shared" si="1"/>
        <v>120000</v>
      </c>
      <c r="H95" s="454"/>
      <c r="I95" s="454"/>
    </row>
    <row r="96" spans="1:9">
      <c r="A96" s="13"/>
      <c r="B96" s="13" t="s">
        <v>146</v>
      </c>
      <c r="C96" s="14" t="s">
        <v>140</v>
      </c>
      <c r="D96" s="14">
        <v>10</v>
      </c>
      <c r="E96" s="14" t="s">
        <v>30</v>
      </c>
      <c r="F96" s="55">
        <v>135000</v>
      </c>
      <c r="G96" s="55">
        <f t="shared" si="1"/>
        <v>1350000</v>
      </c>
      <c r="H96" s="454"/>
      <c r="I96" s="454"/>
    </row>
    <row r="97" spans="1:9">
      <c r="A97" s="13"/>
      <c r="B97" s="13" t="s">
        <v>147</v>
      </c>
      <c r="C97" s="14" t="s">
        <v>140</v>
      </c>
      <c r="D97" s="14">
        <v>3</v>
      </c>
      <c r="E97" s="14" t="s">
        <v>30</v>
      </c>
      <c r="F97" s="55">
        <v>300000</v>
      </c>
      <c r="G97" s="55">
        <f t="shared" si="1"/>
        <v>900000</v>
      </c>
      <c r="H97" s="454"/>
      <c r="I97" s="454"/>
    </row>
    <row r="98" spans="1:9">
      <c r="A98" s="13"/>
      <c r="B98" s="13" t="s">
        <v>148</v>
      </c>
      <c r="C98" s="14" t="s">
        <v>140</v>
      </c>
      <c r="D98" s="14">
        <v>12</v>
      </c>
      <c r="E98" s="14" t="s">
        <v>30</v>
      </c>
      <c r="F98" s="55">
        <v>390000</v>
      </c>
      <c r="G98" s="55">
        <f t="shared" si="1"/>
        <v>4680000</v>
      </c>
      <c r="H98" s="452"/>
      <c r="I98" s="452"/>
    </row>
    <row r="99" spans="1:9">
      <c r="A99" s="13"/>
      <c r="B99" s="13" t="s">
        <v>264</v>
      </c>
      <c r="C99" s="14" t="s">
        <v>268</v>
      </c>
      <c r="D99" s="14">
        <v>1</v>
      </c>
      <c r="E99" s="14" t="s">
        <v>30</v>
      </c>
      <c r="F99" s="14" t="s">
        <v>265</v>
      </c>
      <c r="G99" s="14" t="s">
        <v>265</v>
      </c>
      <c r="H99" s="451">
        <f>SUM(G96:G98)</f>
        <v>6930000</v>
      </c>
      <c r="I99" s="453" t="s">
        <v>52</v>
      </c>
    </row>
    <row r="100" spans="1:9">
      <c r="A100" s="13"/>
      <c r="B100" s="13" t="s">
        <v>266</v>
      </c>
      <c r="C100" s="14" t="s">
        <v>268</v>
      </c>
      <c r="D100" s="14">
        <v>1</v>
      </c>
      <c r="E100" s="14" t="s">
        <v>30</v>
      </c>
      <c r="F100" s="14" t="s">
        <v>267</v>
      </c>
      <c r="G100" s="14" t="s">
        <v>267</v>
      </c>
      <c r="H100" s="454"/>
      <c r="I100" s="454"/>
    </row>
    <row r="101" spans="1:9">
      <c r="A101" s="13"/>
      <c r="B101" s="13"/>
      <c r="C101" s="14"/>
      <c r="D101" s="14"/>
      <c r="E101" s="14"/>
      <c r="F101" s="14"/>
      <c r="G101" s="14"/>
      <c r="H101" s="452"/>
      <c r="I101" s="452"/>
    </row>
    <row r="102" spans="1:9">
      <c r="A102" s="12"/>
      <c r="B102" s="13"/>
      <c r="C102" s="14"/>
      <c r="D102" s="14"/>
      <c r="E102" s="14"/>
      <c r="F102" s="14"/>
      <c r="G102" s="14"/>
      <c r="H102" s="14"/>
      <c r="I102" s="14"/>
    </row>
    <row r="103" spans="1:9">
      <c r="A103" s="13"/>
      <c r="B103" s="13"/>
      <c r="C103" s="14"/>
      <c r="D103" s="14"/>
      <c r="E103" s="14"/>
      <c r="F103" s="14"/>
      <c r="G103" s="14"/>
      <c r="H103" s="14"/>
      <c r="I103" s="14"/>
    </row>
    <row r="104" spans="1:9">
      <c r="A104" s="13"/>
      <c r="B104" s="13"/>
      <c r="C104" s="14"/>
      <c r="D104" s="14"/>
      <c r="E104" s="14"/>
      <c r="F104" s="14"/>
      <c r="G104" s="14"/>
      <c r="H104" s="14"/>
      <c r="I104" s="14"/>
    </row>
    <row r="105" spans="1:9">
      <c r="A105" s="13"/>
      <c r="B105" s="13"/>
      <c r="C105" s="14"/>
      <c r="D105" s="14"/>
      <c r="E105" s="14"/>
      <c r="F105" s="14"/>
      <c r="G105" s="14"/>
      <c r="H105" s="14"/>
      <c r="I105" s="14"/>
    </row>
    <row r="106" spans="1:9">
      <c r="A106" s="13"/>
      <c r="B106" s="13"/>
      <c r="C106" s="14"/>
      <c r="D106" s="14"/>
      <c r="E106" s="14"/>
      <c r="F106" s="14"/>
      <c r="G106" s="14"/>
      <c r="H106" s="14"/>
      <c r="I106" s="14"/>
    </row>
    <row r="107" spans="1:9">
      <c r="A107" s="13"/>
      <c r="H107" s="14"/>
      <c r="I107" s="14"/>
    </row>
    <row r="108" spans="1:9">
      <c r="A108" s="13"/>
      <c r="H108" s="14"/>
      <c r="I108" s="14"/>
    </row>
    <row r="109" spans="1:9">
      <c r="A109" s="13"/>
      <c r="H109" s="14"/>
      <c r="I109" s="14"/>
    </row>
  </sheetData>
  <mergeCells count="33">
    <mergeCell ref="H93:H98"/>
    <mergeCell ref="H99:H101"/>
    <mergeCell ref="I93:I98"/>
    <mergeCell ref="I99:I101"/>
    <mergeCell ref="H22:H41"/>
    <mergeCell ref="I22:I41"/>
    <mergeCell ref="H49:H61"/>
    <mergeCell ref="I49:I61"/>
    <mergeCell ref="H45:H46"/>
    <mergeCell ref="I45:I46"/>
    <mergeCell ref="H43:H44"/>
    <mergeCell ref="I43:I44"/>
    <mergeCell ref="H73:H81"/>
    <mergeCell ref="I73:I81"/>
    <mergeCell ref="H82:H91"/>
    <mergeCell ref="I82:I91"/>
    <mergeCell ref="J22:J41"/>
    <mergeCell ref="H18:H20"/>
    <mergeCell ref="I18:I20"/>
    <mergeCell ref="P3:P5"/>
    <mergeCell ref="H3:H5"/>
    <mergeCell ref="H6:H7"/>
    <mergeCell ref="I3:I7"/>
    <mergeCell ref="H8:H17"/>
    <mergeCell ref="I8:I17"/>
    <mergeCell ref="H62:H63"/>
    <mergeCell ref="I62:I63"/>
    <mergeCell ref="H70:H71"/>
    <mergeCell ref="I70:I71"/>
    <mergeCell ref="H64:H66"/>
    <mergeCell ref="I64:I66"/>
    <mergeCell ref="H67:H68"/>
    <mergeCell ref="I67:I6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91"/>
  <sheetViews>
    <sheetView topLeftCell="A71" workbookViewId="0">
      <selection activeCell="B68" sqref="B68"/>
    </sheetView>
  </sheetViews>
  <sheetFormatPr defaultRowHeight="15"/>
  <cols>
    <col min="2" max="2" width="56" customWidth="1"/>
    <col min="3" max="3" width="13" customWidth="1"/>
    <col min="6" max="6" width="17" customWidth="1"/>
    <col min="7" max="7" width="15.7109375" customWidth="1"/>
    <col min="8" max="8" width="17" customWidth="1"/>
    <col min="9" max="9" width="12.140625" customWidth="1"/>
    <col min="12" max="12" width="15.42578125" customWidth="1"/>
    <col min="13" max="13" width="16.140625" customWidth="1"/>
    <col min="14" max="14" width="15.28515625" customWidth="1"/>
    <col min="15" max="15" width="20.140625" customWidth="1"/>
    <col min="16" max="17" width="14" bestFit="1" customWidth="1"/>
    <col min="18" max="18" width="13.7109375" bestFit="1" customWidth="1"/>
    <col min="20" max="20" width="16.28515625" customWidth="1"/>
  </cols>
  <sheetData>
    <row r="1" spans="1:18">
      <c r="A1" s="1" t="s">
        <v>0</v>
      </c>
      <c r="C1" s="2"/>
      <c r="D1" s="2"/>
      <c r="E1" s="2"/>
      <c r="F1" s="3"/>
      <c r="G1" s="3"/>
      <c r="H1" s="3"/>
      <c r="K1" s="4" t="s">
        <v>18</v>
      </c>
      <c r="L1" s="5"/>
      <c r="M1" s="5"/>
      <c r="N1" s="3"/>
    </row>
    <row r="2" spans="1:18" ht="30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9" t="s">
        <v>7</v>
      </c>
      <c r="H2" s="8" t="s">
        <v>8</v>
      </c>
      <c r="I2" s="7" t="s">
        <v>9</v>
      </c>
      <c r="K2" s="10" t="s">
        <v>10</v>
      </c>
      <c r="L2" s="11" t="s">
        <v>11</v>
      </c>
      <c r="M2" s="6" t="s">
        <v>12</v>
      </c>
      <c r="N2" s="9" t="s">
        <v>13</v>
      </c>
      <c r="O2" s="7" t="s">
        <v>9</v>
      </c>
    </row>
    <row r="3" spans="1:18">
      <c r="A3" s="12">
        <v>44593</v>
      </c>
      <c r="B3" s="13" t="s">
        <v>149</v>
      </c>
      <c r="C3" s="14" t="s">
        <v>21</v>
      </c>
      <c r="D3" s="14">
        <v>2</v>
      </c>
      <c r="E3" s="14" t="s">
        <v>30</v>
      </c>
      <c r="F3" s="15">
        <v>155000</v>
      </c>
      <c r="G3" s="15">
        <f>F3*D3</f>
        <v>310000</v>
      </c>
      <c r="H3" s="467">
        <f>SUM(G3:G10)</f>
        <v>5005000</v>
      </c>
      <c r="I3" s="467" t="s">
        <v>52</v>
      </c>
      <c r="J3" s="17"/>
      <c r="K3" s="73">
        <v>1</v>
      </c>
      <c r="L3" s="59">
        <v>44526</v>
      </c>
      <c r="M3" s="60" t="s">
        <v>17</v>
      </c>
      <c r="N3" s="61">
        <v>12015000</v>
      </c>
      <c r="O3" s="71" t="s">
        <v>112</v>
      </c>
      <c r="P3" s="37"/>
    </row>
    <row r="4" spans="1:18">
      <c r="A4" s="13"/>
      <c r="B4" s="13" t="s">
        <v>150</v>
      </c>
      <c r="C4" s="14" t="s">
        <v>21</v>
      </c>
      <c r="D4" s="14">
        <v>2</v>
      </c>
      <c r="E4" s="14" t="s">
        <v>30</v>
      </c>
      <c r="F4" s="15">
        <v>155000</v>
      </c>
      <c r="G4" s="15">
        <f t="shared" ref="G4:G33" si="0">F4*D4</f>
        <v>310000</v>
      </c>
      <c r="H4" s="468"/>
      <c r="I4" s="468"/>
      <c r="J4" s="19"/>
      <c r="K4" s="74">
        <v>2</v>
      </c>
      <c r="L4" s="59">
        <v>44529</v>
      </c>
      <c r="M4" s="60" t="s">
        <v>17</v>
      </c>
      <c r="N4" s="61">
        <v>11080000</v>
      </c>
      <c r="O4" s="71" t="s">
        <v>113</v>
      </c>
      <c r="P4" s="37">
        <f>SUM(N3:N5)</f>
        <v>29895000</v>
      </c>
    </row>
    <row r="5" spans="1:18">
      <c r="A5" s="13"/>
      <c r="B5" s="13" t="s">
        <v>151</v>
      </c>
      <c r="C5" s="14" t="s">
        <v>21</v>
      </c>
      <c r="D5" s="14">
        <v>2</v>
      </c>
      <c r="E5" s="14" t="s">
        <v>30</v>
      </c>
      <c r="F5" s="15">
        <v>155000</v>
      </c>
      <c r="G5" s="15">
        <f t="shared" si="0"/>
        <v>310000</v>
      </c>
      <c r="H5" s="468"/>
      <c r="I5" s="468"/>
      <c r="J5" s="23"/>
      <c r="K5" s="75">
        <v>3</v>
      </c>
      <c r="L5" s="59">
        <v>44534</v>
      </c>
      <c r="M5" s="60" t="s">
        <v>17</v>
      </c>
      <c r="N5" s="61">
        <v>6800000</v>
      </c>
      <c r="O5" s="71" t="s">
        <v>111</v>
      </c>
      <c r="Q5" s="37">
        <f>SUM(N6:N7)</f>
        <v>37965000</v>
      </c>
    </row>
    <row r="6" spans="1:18">
      <c r="A6" s="13"/>
      <c r="B6" s="13" t="s">
        <v>152</v>
      </c>
      <c r="C6" s="14" t="s">
        <v>21</v>
      </c>
      <c r="D6" s="14">
        <v>2</v>
      </c>
      <c r="E6" s="14" t="s">
        <v>30</v>
      </c>
      <c r="F6" s="15">
        <v>155000</v>
      </c>
      <c r="G6" s="15">
        <f t="shared" si="0"/>
        <v>310000</v>
      </c>
      <c r="H6" s="468"/>
      <c r="I6" s="468"/>
      <c r="J6" s="26"/>
      <c r="K6" s="73">
        <v>4</v>
      </c>
      <c r="L6" s="43">
        <v>44477</v>
      </c>
      <c r="M6" s="41" t="s">
        <v>15</v>
      </c>
      <c r="N6" s="45">
        <v>19690000</v>
      </c>
      <c r="O6" s="464" t="s">
        <v>23</v>
      </c>
      <c r="P6" s="37"/>
    </row>
    <row r="7" spans="1:18">
      <c r="A7" s="13"/>
      <c r="B7" s="13" t="s">
        <v>153</v>
      </c>
      <c r="C7" s="14" t="s">
        <v>21</v>
      </c>
      <c r="D7" s="14">
        <v>2</v>
      </c>
      <c r="E7" s="14" t="s">
        <v>30</v>
      </c>
      <c r="F7" s="15">
        <v>155000</v>
      </c>
      <c r="G7" s="15">
        <f t="shared" si="0"/>
        <v>310000</v>
      </c>
      <c r="H7" s="468"/>
      <c r="I7" s="468"/>
      <c r="J7" s="26"/>
      <c r="K7" s="74">
        <v>5</v>
      </c>
      <c r="L7" s="43">
        <v>44494</v>
      </c>
      <c r="M7" s="41" t="s">
        <v>15</v>
      </c>
      <c r="N7" s="44">
        <v>18275000</v>
      </c>
      <c r="O7" s="466"/>
      <c r="Q7" s="37"/>
    </row>
    <row r="8" spans="1:18">
      <c r="A8" s="12"/>
      <c r="B8" s="13" t="s">
        <v>154</v>
      </c>
      <c r="C8" s="14" t="s">
        <v>21</v>
      </c>
      <c r="D8" s="14">
        <v>2</v>
      </c>
      <c r="E8" s="14" t="s">
        <v>30</v>
      </c>
      <c r="F8" s="15">
        <v>155000</v>
      </c>
      <c r="G8" s="15">
        <f t="shared" si="0"/>
        <v>310000</v>
      </c>
      <c r="H8" s="468"/>
      <c r="I8" s="468"/>
      <c r="J8" s="26"/>
      <c r="K8" s="75">
        <v>6</v>
      </c>
      <c r="L8" s="108">
        <v>44568</v>
      </c>
      <c r="M8" s="109" t="s">
        <v>16</v>
      </c>
      <c r="N8" s="110">
        <v>9900000</v>
      </c>
      <c r="O8" s="109" t="s">
        <v>111</v>
      </c>
      <c r="R8" s="36"/>
    </row>
    <row r="9" spans="1:18">
      <c r="A9" s="13"/>
      <c r="B9" s="13" t="s">
        <v>155</v>
      </c>
      <c r="C9" s="14" t="s">
        <v>21</v>
      </c>
      <c r="D9" s="14">
        <v>10</v>
      </c>
      <c r="E9" s="14" t="s">
        <v>30</v>
      </c>
      <c r="F9" s="15">
        <v>100000</v>
      </c>
      <c r="G9" s="15">
        <f t="shared" si="0"/>
        <v>1000000</v>
      </c>
      <c r="H9" s="469"/>
      <c r="I9" s="469"/>
      <c r="J9" s="26"/>
      <c r="K9" s="74">
        <v>8</v>
      </c>
      <c r="L9" s="65">
        <v>44564</v>
      </c>
      <c r="M9" s="66" t="s">
        <v>17</v>
      </c>
      <c r="N9" s="67">
        <v>5715000</v>
      </c>
      <c r="O9" s="71" t="s">
        <v>111</v>
      </c>
    </row>
    <row r="10" spans="1:18">
      <c r="A10" s="32">
        <v>44596</v>
      </c>
      <c r="B10" s="29" t="s">
        <v>164</v>
      </c>
      <c r="C10" s="14" t="s">
        <v>118</v>
      </c>
      <c r="D10" s="31">
        <v>6</v>
      </c>
      <c r="E10" s="14" t="s">
        <v>49</v>
      </c>
      <c r="F10" s="15">
        <v>357500</v>
      </c>
      <c r="G10" s="15">
        <f t="shared" si="0"/>
        <v>2145000</v>
      </c>
      <c r="H10" s="467">
        <f>SUM(G10:G17)</f>
        <v>18725000</v>
      </c>
      <c r="I10" s="467" t="s">
        <v>52</v>
      </c>
      <c r="J10" s="26"/>
      <c r="K10" s="75">
        <v>9</v>
      </c>
      <c r="L10" s="65">
        <v>44564</v>
      </c>
      <c r="M10" s="66" t="s">
        <v>17</v>
      </c>
      <c r="N10" s="67">
        <v>5915000</v>
      </c>
      <c r="O10" s="71" t="s">
        <v>114</v>
      </c>
      <c r="P10" s="36"/>
      <c r="Q10" s="37"/>
    </row>
    <row r="11" spans="1:18">
      <c r="A11" s="29"/>
      <c r="B11" s="29" t="s">
        <v>166</v>
      </c>
      <c r="C11" s="14" t="s">
        <v>118</v>
      </c>
      <c r="D11" s="31">
        <v>12</v>
      </c>
      <c r="E11" s="14" t="s">
        <v>49</v>
      </c>
      <c r="F11" s="15">
        <v>357500</v>
      </c>
      <c r="G11" s="15">
        <f t="shared" si="0"/>
        <v>4290000</v>
      </c>
      <c r="H11" s="468"/>
      <c r="I11" s="468"/>
      <c r="J11" s="26"/>
      <c r="K11" s="73">
        <v>10</v>
      </c>
      <c r="L11" s="108">
        <v>44585</v>
      </c>
      <c r="M11" s="109" t="s">
        <v>16</v>
      </c>
      <c r="N11" s="110">
        <v>3300000</v>
      </c>
      <c r="O11" s="109" t="s">
        <v>111</v>
      </c>
    </row>
    <row r="12" spans="1:18">
      <c r="A12" s="29"/>
      <c r="B12" s="29" t="s">
        <v>167</v>
      </c>
      <c r="C12" s="14" t="s">
        <v>118</v>
      </c>
      <c r="D12" s="31">
        <v>6</v>
      </c>
      <c r="E12" s="14" t="s">
        <v>49</v>
      </c>
      <c r="F12" s="15">
        <v>357500</v>
      </c>
      <c r="G12" s="28">
        <f t="shared" si="0"/>
        <v>2145000</v>
      </c>
      <c r="H12" s="468"/>
      <c r="I12" s="468"/>
      <c r="J12" s="26"/>
      <c r="K12" s="74">
        <v>11</v>
      </c>
      <c r="L12" s="111">
        <v>44592</v>
      </c>
      <c r="M12" s="112" t="s">
        <v>140</v>
      </c>
      <c r="N12" s="113">
        <v>6930000</v>
      </c>
      <c r="O12" s="112" t="s">
        <v>263</v>
      </c>
    </row>
    <row r="13" spans="1:18">
      <c r="A13" s="32"/>
      <c r="B13" s="29" t="s">
        <v>168</v>
      </c>
      <c r="C13" s="14" t="s">
        <v>118</v>
      </c>
      <c r="D13" s="31">
        <v>6</v>
      </c>
      <c r="E13" s="14" t="s">
        <v>49</v>
      </c>
      <c r="F13" s="15">
        <v>357500</v>
      </c>
      <c r="G13" s="28">
        <f t="shared" si="0"/>
        <v>2145000</v>
      </c>
      <c r="H13" s="468"/>
      <c r="I13" s="468"/>
      <c r="J13" s="26"/>
      <c r="K13" s="75">
        <v>12</v>
      </c>
      <c r="L13" s="152">
        <v>44593</v>
      </c>
      <c r="M13" s="153" t="s">
        <v>261</v>
      </c>
      <c r="N13" s="154">
        <v>2860000</v>
      </c>
      <c r="O13" s="153" t="s">
        <v>263</v>
      </c>
      <c r="Q13" s="62">
        <f>N10+N9+N5+N4+N3</f>
        <v>41525000</v>
      </c>
    </row>
    <row r="14" spans="1:18">
      <c r="A14" s="29"/>
      <c r="B14" s="29" t="s">
        <v>169</v>
      </c>
      <c r="C14" s="14" t="s">
        <v>118</v>
      </c>
      <c r="D14" s="31">
        <v>4</v>
      </c>
      <c r="E14" s="14" t="s">
        <v>49</v>
      </c>
      <c r="F14" s="28">
        <v>500000</v>
      </c>
      <c r="G14" s="28">
        <f t="shared" si="0"/>
        <v>2000000</v>
      </c>
      <c r="H14" s="468"/>
      <c r="I14" s="468"/>
      <c r="J14" s="26"/>
      <c r="K14" s="74">
        <v>15</v>
      </c>
      <c r="L14" s="104">
        <v>44606</v>
      </c>
      <c r="M14" s="105" t="s">
        <v>83</v>
      </c>
      <c r="N14" s="106">
        <v>9500000</v>
      </c>
      <c r="O14" s="107" t="s">
        <v>736</v>
      </c>
      <c r="P14" s="37"/>
    </row>
    <row r="15" spans="1:18">
      <c r="A15" s="29"/>
      <c r="B15" s="29" t="s">
        <v>165</v>
      </c>
      <c r="C15" s="14" t="s">
        <v>118</v>
      </c>
      <c r="D15" s="31">
        <v>4</v>
      </c>
      <c r="E15" s="14" t="s">
        <v>49</v>
      </c>
      <c r="F15" s="28">
        <v>500000</v>
      </c>
      <c r="G15" s="28">
        <f t="shared" si="0"/>
        <v>2000000</v>
      </c>
      <c r="H15" s="468"/>
      <c r="I15" s="468"/>
      <c r="J15" s="26"/>
      <c r="K15" s="73">
        <v>16</v>
      </c>
      <c r="L15" s="156">
        <v>44593</v>
      </c>
      <c r="M15" s="157" t="s">
        <v>261</v>
      </c>
      <c r="N15" s="158">
        <v>5005000</v>
      </c>
      <c r="O15" s="136"/>
    </row>
    <row r="16" spans="1:18">
      <c r="A16" s="29"/>
      <c r="B16" s="29" t="s">
        <v>170</v>
      </c>
      <c r="C16" s="14" t="s">
        <v>118</v>
      </c>
      <c r="D16" s="31">
        <v>4</v>
      </c>
      <c r="E16" s="14" t="s">
        <v>49</v>
      </c>
      <c r="F16" s="28">
        <v>500000</v>
      </c>
      <c r="G16" s="28">
        <f t="shared" si="0"/>
        <v>2000000</v>
      </c>
      <c r="H16" s="468"/>
      <c r="I16" s="468"/>
      <c r="J16" s="26"/>
      <c r="K16" s="75">
        <v>18</v>
      </c>
      <c r="L16" s="132">
        <v>44585</v>
      </c>
      <c r="M16" s="133" t="s">
        <v>118</v>
      </c>
      <c r="N16" s="134">
        <v>500000</v>
      </c>
      <c r="O16" s="195" t="s">
        <v>263</v>
      </c>
    </row>
    <row r="17" spans="1:18">
      <c r="A17" s="29"/>
      <c r="B17" s="29" t="s">
        <v>171</v>
      </c>
      <c r="C17" s="14" t="s">
        <v>118</v>
      </c>
      <c r="D17" s="31">
        <v>4</v>
      </c>
      <c r="E17" s="14" t="s">
        <v>49</v>
      </c>
      <c r="F17" s="28">
        <v>500000</v>
      </c>
      <c r="G17" s="28">
        <f t="shared" si="0"/>
        <v>2000000</v>
      </c>
      <c r="H17" s="469"/>
      <c r="I17" s="469"/>
      <c r="J17" s="26"/>
      <c r="K17" s="73">
        <v>19</v>
      </c>
      <c r="L17" s="132">
        <v>44572</v>
      </c>
      <c r="M17" s="133" t="s">
        <v>118</v>
      </c>
      <c r="N17" s="134">
        <v>18725000</v>
      </c>
      <c r="O17" s="195" t="s">
        <v>263</v>
      </c>
    </row>
    <row r="18" spans="1:18">
      <c r="A18" s="12">
        <v>44596</v>
      </c>
      <c r="B18" s="13" t="s">
        <v>175</v>
      </c>
      <c r="C18" s="14" t="s">
        <v>15</v>
      </c>
      <c r="D18" s="14">
        <v>11</v>
      </c>
      <c r="E18" s="14" t="s">
        <v>30</v>
      </c>
      <c r="F18" s="51">
        <v>120000</v>
      </c>
      <c r="G18" s="51">
        <f t="shared" si="0"/>
        <v>1320000</v>
      </c>
      <c r="H18" s="451" t="s">
        <v>550</v>
      </c>
      <c r="I18" s="453" t="s">
        <v>191</v>
      </c>
      <c r="J18" s="26"/>
      <c r="K18" s="74">
        <v>20</v>
      </c>
      <c r="L18" s="160">
        <v>44620</v>
      </c>
      <c r="M18" s="161" t="s">
        <v>261</v>
      </c>
      <c r="N18" s="162">
        <v>1800000</v>
      </c>
      <c r="O18" s="163" t="s">
        <v>992</v>
      </c>
    </row>
    <row r="19" spans="1:18">
      <c r="A19" s="12"/>
      <c r="B19" s="13"/>
      <c r="C19" s="14"/>
      <c r="D19" s="14"/>
      <c r="E19" s="14"/>
      <c r="F19" s="51"/>
      <c r="G19" s="51"/>
      <c r="H19" s="485"/>
      <c r="I19" s="454"/>
      <c r="J19" s="26"/>
      <c r="K19" s="26"/>
      <c r="L19" s="34"/>
      <c r="M19" s="34"/>
      <c r="N19" s="26"/>
      <c r="O19" s="26"/>
    </row>
    <row r="20" spans="1:18">
      <c r="A20" s="13"/>
      <c r="B20" s="13" t="s">
        <v>186</v>
      </c>
      <c r="C20" s="14" t="s">
        <v>15</v>
      </c>
      <c r="D20" s="14">
        <v>10</v>
      </c>
      <c r="E20" s="14" t="s">
        <v>30</v>
      </c>
      <c r="F20" s="51">
        <v>400000</v>
      </c>
      <c r="G20" s="51">
        <f t="shared" si="0"/>
        <v>4000000</v>
      </c>
      <c r="H20" s="454"/>
      <c r="I20" s="454"/>
      <c r="J20" s="26"/>
      <c r="K20" s="26"/>
      <c r="L20" s="34"/>
      <c r="M20" s="34"/>
      <c r="N20" s="35">
        <f>SUM(N3:N19)</f>
        <v>138010000</v>
      </c>
      <c r="O20" s="26"/>
    </row>
    <row r="21" spans="1:18">
      <c r="A21" s="29"/>
      <c r="B21" s="29" t="s">
        <v>176</v>
      </c>
      <c r="C21" s="27" t="s">
        <v>15</v>
      </c>
      <c r="D21" s="31">
        <v>10</v>
      </c>
      <c r="E21" s="14" t="s">
        <v>30</v>
      </c>
      <c r="F21" s="76">
        <v>95000</v>
      </c>
      <c r="G21" s="76">
        <f t="shared" si="0"/>
        <v>950000</v>
      </c>
      <c r="H21" s="454"/>
      <c r="I21" s="454"/>
      <c r="J21" s="26"/>
      <c r="L21" s="34"/>
      <c r="M21" s="34"/>
      <c r="N21" s="35"/>
      <c r="O21" s="26"/>
    </row>
    <row r="22" spans="1:18">
      <c r="A22" s="29"/>
      <c r="B22" s="29" t="s">
        <v>177</v>
      </c>
      <c r="C22" s="27" t="s">
        <v>15</v>
      </c>
      <c r="D22" s="31">
        <v>5</v>
      </c>
      <c r="E22" s="14" t="s">
        <v>30</v>
      </c>
      <c r="F22" s="76">
        <v>95000</v>
      </c>
      <c r="G22" s="76">
        <f t="shared" si="0"/>
        <v>475000</v>
      </c>
      <c r="H22" s="454"/>
      <c r="I22" s="454"/>
      <c r="J22" s="26"/>
      <c r="L22" s="34"/>
      <c r="M22" s="34"/>
      <c r="N22" s="26"/>
      <c r="O22" s="26"/>
    </row>
    <row r="23" spans="1:18">
      <c r="A23" s="29"/>
      <c r="B23" s="29" t="s">
        <v>178</v>
      </c>
      <c r="C23" s="27" t="s">
        <v>15</v>
      </c>
      <c r="D23" s="31">
        <v>9</v>
      </c>
      <c r="E23" s="14" t="s">
        <v>30</v>
      </c>
      <c r="F23" s="76">
        <v>95000</v>
      </c>
      <c r="G23" s="76">
        <f t="shared" si="0"/>
        <v>855000</v>
      </c>
      <c r="H23" s="454"/>
      <c r="I23" s="454"/>
      <c r="J23" s="26"/>
      <c r="L23" s="34"/>
      <c r="M23" s="34"/>
      <c r="N23" s="26"/>
      <c r="O23" s="26"/>
      <c r="R23" s="36"/>
    </row>
    <row r="24" spans="1:18">
      <c r="A24" s="29"/>
      <c r="B24" s="29" t="s">
        <v>187</v>
      </c>
      <c r="C24" s="27" t="s">
        <v>15</v>
      </c>
      <c r="D24" s="31">
        <v>4</v>
      </c>
      <c r="E24" s="14" t="s">
        <v>30</v>
      </c>
      <c r="F24" s="76">
        <v>85000</v>
      </c>
      <c r="G24" s="76">
        <f t="shared" si="0"/>
        <v>340000</v>
      </c>
      <c r="H24" s="454"/>
      <c r="I24" s="454"/>
      <c r="J24" s="26"/>
      <c r="L24" s="34"/>
      <c r="M24" s="34"/>
      <c r="N24" s="26"/>
      <c r="O24" s="26"/>
    </row>
    <row r="25" spans="1:18">
      <c r="A25" s="29"/>
      <c r="B25" s="29" t="s">
        <v>179</v>
      </c>
      <c r="C25" s="27" t="s">
        <v>15</v>
      </c>
      <c r="D25" s="31">
        <v>3</v>
      </c>
      <c r="E25" s="14" t="s">
        <v>30</v>
      </c>
      <c r="F25" s="76">
        <v>85000</v>
      </c>
      <c r="G25" s="76">
        <f t="shared" si="0"/>
        <v>255000</v>
      </c>
      <c r="H25" s="454"/>
      <c r="I25" s="454"/>
      <c r="J25" s="26"/>
      <c r="L25" s="34"/>
      <c r="M25" s="34"/>
      <c r="N25" s="26"/>
      <c r="O25" s="26"/>
    </row>
    <row r="26" spans="1:18">
      <c r="A26" s="29"/>
      <c r="B26" s="29" t="s">
        <v>184</v>
      </c>
      <c r="C26" s="27" t="s">
        <v>15</v>
      </c>
      <c r="D26" s="31">
        <v>5</v>
      </c>
      <c r="E26" s="31" t="s">
        <v>33</v>
      </c>
      <c r="F26" s="76">
        <v>45000</v>
      </c>
      <c r="G26" s="76">
        <f t="shared" si="0"/>
        <v>225000</v>
      </c>
      <c r="H26" s="454"/>
      <c r="I26" s="454"/>
      <c r="J26" s="26"/>
      <c r="L26" s="34"/>
      <c r="M26" s="34"/>
      <c r="N26" s="26"/>
      <c r="O26" s="26"/>
    </row>
    <row r="27" spans="1:18">
      <c r="A27" s="29"/>
      <c r="B27" s="29" t="s">
        <v>185</v>
      </c>
      <c r="C27" s="27" t="s">
        <v>15</v>
      </c>
      <c r="D27" s="31">
        <v>5</v>
      </c>
      <c r="E27" s="31" t="s">
        <v>33</v>
      </c>
      <c r="F27" s="76">
        <v>45000</v>
      </c>
      <c r="G27" s="76">
        <f t="shared" si="0"/>
        <v>225000</v>
      </c>
      <c r="H27" s="454"/>
      <c r="I27" s="454"/>
      <c r="J27" s="26"/>
      <c r="L27" s="34"/>
      <c r="M27" s="34"/>
      <c r="N27" s="26"/>
      <c r="O27" s="26"/>
    </row>
    <row r="28" spans="1:18">
      <c r="A28" s="29"/>
      <c r="B28" s="29" t="s">
        <v>180</v>
      </c>
      <c r="C28" s="27" t="s">
        <v>15</v>
      </c>
      <c r="D28" s="31">
        <v>25</v>
      </c>
      <c r="E28" s="31" t="s">
        <v>30</v>
      </c>
      <c r="F28" s="76">
        <v>85000</v>
      </c>
      <c r="G28" s="76">
        <f t="shared" si="0"/>
        <v>2125000</v>
      </c>
      <c r="H28" s="454"/>
      <c r="I28" s="454"/>
      <c r="J28" s="26"/>
      <c r="M28" s="5"/>
    </row>
    <row r="29" spans="1:18">
      <c r="A29" s="29"/>
      <c r="B29" s="29" t="s">
        <v>188</v>
      </c>
      <c r="C29" s="27" t="s">
        <v>15</v>
      </c>
      <c r="D29" s="31">
        <v>2</v>
      </c>
      <c r="E29" s="31" t="s">
        <v>30</v>
      </c>
      <c r="F29" s="226" t="s">
        <v>190</v>
      </c>
      <c r="G29" s="226" t="s">
        <v>190</v>
      </c>
      <c r="H29" s="454"/>
      <c r="I29" s="454"/>
      <c r="J29" s="26"/>
      <c r="M29" s="5"/>
    </row>
    <row r="30" spans="1:18">
      <c r="A30" s="29"/>
      <c r="B30" s="29" t="s">
        <v>189</v>
      </c>
      <c r="C30" s="27" t="s">
        <v>15</v>
      </c>
      <c r="D30" s="31">
        <v>6</v>
      </c>
      <c r="E30" s="31" t="s">
        <v>30</v>
      </c>
      <c r="F30" s="76">
        <v>470000</v>
      </c>
      <c r="G30" s="76">
        <f t="shared" si="0"/>
        <v>2820000</v>
      </c>
      <c r="H30" s="454"/>
      <c r="I30" s="454"/>
      <c r="J30" s="26"/>
      <c r="M30" s="5"/>
    </row>
    <row r="31" spans="1:18">
      <c r="A31" s="29"/>
      <c r="B31" s="29" t="s">
        <v>181</v>
      </c>
      <c r="C31" s="27" t="s">
        <v>15</v>
      </c>
      <c r="D31" s="31">
        <v>3</v>
      </c>
      <c r="E31" s="31" t="s">
        <v>30</v>
      </c>
      <c r="F31" s="76">
        <v>1800000</v>
      </c>
      <c r="G31" s="76">
        <f t="shared" si="0"/>
        <v>5400000</v>
      </c>
      <c r="H31" s="454"/>
      <c r="I31" s="454"/>
      <c r="J31" s="26"/>
      <c r="M31" s="5"/>
    </row>
    <row r="32" spans="1:18">
      <c r="A32" s="29"/>
      <c r="B32" s="29" t="s">
        <v>182</v>
      </c>
      <c r="C32" s="27" t="s">
        <v>15</v>
      </c>
      <c r="D32" s="31">
        <v>3</v>
      </c>
      <c r="E32" s="31" t="s">
        <v>30</v>
      </c>
      <c r="F32" s="76">
        <v>1800000</v>
      </c>
      <c r="G32" s="76">
        <f t="shared" si="0"/>
        <v>5400000</v>
      </c>
      <c r="H32" s="454"/>
      <c r="I32" s="454"/>
      <c r="J32" s="26"/>
      <c r="M32" s="5"/>
    </row>
    <row r="33" spans="1:13">
      <c r="A33" s="13"/>
      <c r="B33" s="13" t="s">
        <v>183</v>
      </c>
      <c r="C33" s="14" t="s">
        <v>15</v>
      </c>
      <c r="D33" s="14">
        <v>3</v>
      </c>
      <c r="E33" s="31" t="s">
        <v>30</v>
      </c>
      <c r="F33" s="76">
        <v>1800000</v>
      </c>
      <c r="G33" s="76">
        <f t="shared" si="0"/>
        <v>5400000</v>
      </c>
      <c r="H33" s="452"/>
      <c r="I33" s="452"/>
      <c r="K33" s="5"/>
    </row>
    <row r="34" spans="1:13">
      <c r="A34" s="32">
        <v>44597</v>
      </c>
      <c r="B34" s="29" t="s">
        <v>172</v>
      </c>
      <c r="C34" s="27" t="s">
        <v>173</v>
      </c>
      <c r="D34" s="31">
        <v>1</v>
      </c>
      <c r="E34" s="31" t="s">
        <v>30</v>
      </c>
      <c r="F34" s="28">
        <v>2150000</v>
      </c>
      <c r="G34" s="28">
        <f>F34*D34</f>
        <v>2150000</v>
      </c>
      <c r="H34" s="28">
        <f>SUM(G34)</f>
        <v>2150000</v>
      </c>
      <c r="I34" s="29" t="s">
        <v>421</v>
      </c>
      <c r="L34" s="5"/>
    </row>
    <row r="35" spans="1:13" ht="15.75" customHeight="1">
      <c r="A35" s="32">
        <v>44599</v>
      </c>
      <c r="B35" s="29" t="s">
        <v>174</v>
      </c>
      <c r="C35" s="27" t="s">
        <v>21</v>
      </c>
      <c r="D35" s="31">
        <v>1</v>
      </c>
      <c r="E35" s="31" t="s">
        <v>30</v>
      </c>
      <c r="F35" s="28">
        <v>190000</v>
      </c>
      <c r="G35" s="28">
        <f>F35*D35</f>
        <v>190000</v>
      </c>
      <c r="H35" s="28">
        <f>SUM(G35)</f>
        <v>190000</v>
      </c>
      <c r="I35" s="29" t="s">
        <v>106</v>
      </c>
      <c r="L35" s="5"/>
    </row>
    <row r="36" spans="1:13" ht="0.75" customHeight="1" thickBot="1">
      <c r="A36" s="12">
        <v>44604</v>
      </c>
      <c r="B36" s="13" t="s">
        <v>192</v>
      </c>
      <c r="C36" s="13"/>
      <c r="D36" s="13">
        <v>10</v>
      </c>
      <c r="E36" s="13" t="s">
        <v>30</v>
      </c>
      <c r="F36" s="15">
        <v>950000</v>
      </c>
      <c r="G36" s="15">
        <f>F36*D36</f>
        <v>9500000</v>
      </c>
      <c r="H36" s="15">
        <v>9500000</v>
      </c>
      <c r="I36" s="13"/>
      <c r="L36" s="5"/>
    </row>
    <row r="37" spans="1:13" ht="1.5" hidden="1" customHeight="1">
      <c r="A37" s="13"/>
      <c r="B37" s="13" t="s">
        <v>193</v>
      </c>
      <c r="C37" s="13" t="s">
        <v>17</v>
      </c>
      <c r="D37" s="13">
        <v>2</v>
      </c>
      <c r="E37" s="13" t="s">
        <v>30</v>
      </c>
      <c r="F37" s="15">
        <v>790000</v>
      </c>
      <c r="G37" s="15">
        <v>1580000</v>
      </c>
      <c r="H37" s="78"/>
      <c r="I37" s="79"/>
      <c r="L37" s="5"/>
    </row>
    <row r="38" spans="1:13">
      <c r="A38" s="12">
        <v>44607</v>
      </c>
      <c r="B38" s="13" t="s">
        <v>194</v>
      </c>
      <c r="C38" s="14" t="s">
        <v>15</v>
      </c>
      <c r="D38" s="14">
        <v>70</v>
      </c>
      <c r="E38" s="14" t="s">
        <v>30</v>
      </c>
      <c r="F38" s="54">
        <v>15000</v>
      </c>
      <c r="G38" s="77">
        <v>1050000</v>
      </c>
      <c r="H38" s="88"/>
      <c r="I38" s="83"/>
      <c r="L38" s="5"/>
    </row>
    <row r="39" spans="1:13">
      <c r="A39" s="13"/>
      <c r="B39" s="13" t="s">
        <v>195</v>
      </c>
      <c r="C39" s="14" t="s">
        <v>15</v>
      </c>
      <c r="D39" s="14">
        <v>10</v>
      </c>
      <c r="E39" s="14" t="s">
        <v>30</v>
      </c>
      <c r="F39" s="54">
        <v>95000</v>
      </c>
      <c r="G39" s="77">
        <v>950000</v>
      </c>
      <c r="H39" s="89" t="s">
        <v>200</v>
      </c>
      <c r="I39" s="90" t="s">
        <v>106</v>
      </c>
      <c r="M39" s="5"/>
    </row>
    <row r="40" spans="1:13">
      <c r="A40" s="13"/>
      <c r="B40" s="13" t="s">
        <v>196</v>
      </c>
      <c r="C40" s="14" t="s">
        <v>15</v>
      </c>
      <c r="D40" s="14">
        <v>20</v>
      </c>
      <c r="E40" s="14" t="s">
        <v>30</v>
      </c>
      <c r="F40" s="54">
        <v>45000</v>
      </c>
      <c r="G40" s="77">
        <v>900000</v>
      </c>
      <c r="H40" s="91"/>
      <c r="I40" s="90"/>
      <c r="M40" s="5"/>
    </row>
    <row r="41" spans="1:13">
      <c r="A41" s="13"/>
      <c r="B41" s="13" t="s">
        <v>197</v>
      </c>
      <c r="C41" s="14" t="s">
        <v>15</v>
      </c>
      <c r="D41" s="14">
        <v>5</v>
      </c>
      <c r="E41" s="14" t="s">
        <v>30</v>
      </c>
      <c r="F41" s="54">
        <v>45000</v>
      </c>
      <c r="G41" s="77">
        <v>225000</v>
      </c>
      <c r="H41" s="91"/>
      <c r="I41" s="90"/>
      <c r="M41" s="5"/>
    </row>
    <row r="42" spans="1:13">
      <c r="A42" s="13"/>
      <c r="B42" s="13" t="s">
        <v>198</v>
      </c>
      <c r="C42" s="14" t="s">
        <v>15</v>
      </c>
      <c r="D42" s="14">
        <v>2</v>
      </c>
      <c r="E42" s="14" t="s">
        <v>30</v>
      </c>
      <c r="F42" s="54">
        <v>850000</v>
      </c>
      <c r="G42" s="77">
        <v>1700000</v>
      </c>
      <c r="H42" s="91"/>
      <c r="I42" s="90"/>
    </row>
    <row r="43" spans="1:13" ht="15.75" thickBot="1">
      <c r="A43" s="13"/>
      <c r="B43" s="13" t="s">
        <v>199</v>
      </c>
      <c r="C43" s="14" t="s">
        <v>15</v>
      </c>
      <c r="D43" s="14">
        <v>2</v>
      </c>
      <c r="E43" s="14" t="s">
        <v>30</v>
      </c>
      <c r="F43" s="54">
        <v>900000</v>
      </c>
      <c r="G43" s="77">
        <v>1800000</v>
      </c>
      <c r="H43" s="92"/>
      <c r="I43" s="85"/>
    </row>
    <row r="44" spans="1:13">
      <c r="A44" s="13"/>
      <c r="B44" s="13" t="s">
        <v>406</v>
      </c>
      <c r="C44" s="14" t="s">
        <v>17</v>
      </c>
      <c r="D44" s="14">
        <v>2</v>
      </c>
      <c r="E44" s="14" t="s">
        <v>30</v>
      </c>
      <c r="F44" s="54">
        <v>790000</v>
      </c>
      <c r="G44" s="77">
        <v>1580000</v>
      </c>
      <c r="H44" s="96"/>
      <c r="I44" s="90"/>
    </row>
    <row r="45" spans="1:13" ht="15.75" thickBot="1">
      <c r="A45" s="13"/>
      <c r="B45" s="13" t="s">
        <v>407</v>
      </c>
      <c r="C45" s="14" t="s">
        <v>17</v>
      </c>
      <c r="D45" s="14">
        <v>2</v>
      </c>
      <c r="E45" s="14" t="s">
        <v>30</v>
      </c>
      <c r="F45" s="54">
        <v>790000</v>
      </c>
      <c r="G45" s="77">
        <v>1580000</v>
      </c>
      <c r="H45" s="96" t="s">
        <v>711</v>
      </c>
      <c r="I45" s="90" t="s">
        <v>400</v>
      </c>
    </row>
    <row r="46" spans="1:13" ht="15.75" thickBot="1">
      <c r="A46" s="12">
        <v>44607</v>
      </c>
      <c r="B46" s="13" t="s">
        <v>548</v>
      </c>
      <c r="C46" s="14" t="s">
        <v>15</v>
      </c>
      <c r="D46" s="14">
        <v>2</v>
      </c>
      <c r="E46" s="14" t="s">
        <v>30</v>
      </c>
      <c r="F46" s="54">
        <v>1800000</v>
      </c>
      <c r="G46" s="77">
        <v>3600000</v>
      </c>
      <c r="H46" s="97" t="s">
        <v>549</v>
      </c>
      <c r="I46" s="98" t="s">
        <v>400</v>
      </c>
    </row>
    <row r="47" spans="1:13">
      <c r="A47" s="12">
        <v>44608</v>
      </c>
      <c r="B47" s="13" t="s">
        <v>201</v>
      </c>
      <c r="C47" s="14" t="s">
        <v>17</v>
      </c>
      <c r="D47" s="14">
        <v>2</v>
      </c>
      <c r="E47" s="14" t="s">
        <v>30</v>
      </c>
      <c r="F47" s="54">
        <v>790000</v>
      </c>
      <c r="G47" s="77">
        <v>1580000</v>
      </c>
      <c r="H47" s="96" t="s">
        <v>205</v>
      </c>
      <c r="I47" s="270" t="s">
        <v>106</v>
      </c>
    </row>
    <row r="48" spans="1:13" ht="15.75" thickBot="1">
      <c r="A48" s="13"/>
      <c r="B48" s="13" t="s">
        <v>202</v>
      </c>
      <c r="C48" s="14" t="s">
        <v>17</v>
      </c>
      <c r="D48" s="14">
        <v>1</v>
      </c>
      <c r="E48" s="14" t="s">
        <v>30</v>
      </c>
      <c r="F48" s="54">
        <v>790000</v>
      </c>
      <c r="G48" s="77">
        <v>790000</v>
      </c>
      <c r="H48" s="93"/>
      <c r="I48" s="94"/>
    </row>
    <row r="49" spans="1:9">
      <c r="A49" s="12">
        <v>44609</v>
      </c>
      <c r="B49" s="13" t="s">
        <v>203</v>
      </c>
      <c r="C49" s="14" t="s">
        <v>17</v>
      </c>
      <c r="D49" s="14">
        <v>1</v>
      </c>
      <c r="E49" s="14" t="s">
        <v>30</v>
      </c>
      <c r="F49" s="54">
        <v>685000</v>
      </c>
      <c r="G49" s="77">
        <v>685000</v>
      </c>
      <c r="H49" s="95" t="s">
        <v>382</v>
      </c>
      <c r="I49" s="83"/>
    </row>
    <row r="50" spans="1:9" ht="15.75" thickBot="1">
      <c r="A50" s="13"/>
      <c r="B50" s="13" t="s">
        <v>204</v>
      </c>
      <c r="C50" s="14" t="s">
        <v>17</v>
      </c>
      <c r="D50" s="14">
        <v>2</v>
      </c>
      <c r="E50" s="14" t="s">
        <v>30</v>
      </c>
      <c r="F50" s="54">
        <v>790000</v>
      </c>
      <c r="G50" s="77">
        <v>1580000</v>
      </c>
      <c r="H50" s="84"/>
      <c r="I50" s="85" t="s">
        <v>106</v>
      </c>
    </row>
    <row r="51" spans="1:9">
      <c r="A51" s="12">
        <v>44613</v>
      </c>
      <c r="B51" s="13" t="s">
        <v>206</v>
      </c>
      <c r="C51" s="14" t="s">
        <v>15</v>
      </c>
      <c r="D51" s="14">
        <v>2</v>
      </c>
      <c r="E51" s="14" t="s">
        <v>30</v>
      </c>
      <c r="F51" s="54">
        <v>420000</v>
      </c>
      <c r="G51" s="81">
        <v>840000</v>
      </c>
      <c r="H51" s="82"/>
      <c r="I51" s="83"/>
    </row>
    <row r="52" spans="1:9">
      <c r="A52" s="13"/>
      <c r="B52" s="13" t="s">
        <v>207</v>
      </c>
      <c r="C52" s="14" t="s">
        <v>15</v>
      </c>
      <c r="D52" s="14">
        <v>2</v>
      </c>
      <c r="E52" s="14" t="s">
        <v>30</v>
      </c>
      <c r="F52" s="54">
        <v>1200000</v>
      </c>
      <c r="G52" s="77">
        <v>2400000</v>
      </c>
      <c r="H52" s="96" t="s">
        <v>210</v>
      </c>
      <c r="I52" s="90"/>
    </row>
    <row r="53" spans="1:9">
      <c r="A53" s="13"/>
      <c r="B53" s="13" t="s">
        <v>208</v>
      </c>
      <c r="C53" s="14" t="s">
        <v>15</v>
      </c>
      <c r="D53" s="14">
        <v>1</v>
      </c>
      <c r="E53" s="14" t="s">
        <v>30</v>
      </c>
      <c r="F53" s="54">
        <v>1300000</v>
      </c>
      <c r="G53" s="77">
        <v>1300000</v>
      </c>
      <c r="H53" s="96"/>
      <c r="I53" s="90" t="s">
        <v>106</v>
      </c>
    </row>
    <row r="54" spans="1:9" ht="15.75" thickBot="1">
      <c r="A54" s="13"/>
      <c r="B54" s="13" t="s">
        <v>209</v>
      </c>
      <c r="C54" s="14" t="s">
        <v>15</v>
      </c>
      <c r="D54" s="14">
        <v>3</v>
      </c>
      <c r="E54" s="14" t="s">
        <v>30</v>
      </c>
      <c r="F54" s="54">
        <v>45000</v>
      </c>
      <c r="G54" s="77">
        <v>135000</v>
      </c>
      <c r="H54" s="84"/>
      <c r="I54" s="85"/>
    </row>
    <row r="55" spans="1:9" ht="15.75" thickBot="1">
      <c r="A55" s="12">
        <v>44606</v>
      </c>
      <c r="B55" s="13" t="s">
        <v>192</v>
      </c>
      <c r="C55" s="14" t="s">
        <v>83</v>
      </c>
      <c r="D55" s="14">
        <v>10</v>
      </c>
      <c r="E55" s="54" t="s">
        <v>30</v>
      </c>
      <c r="F55" s="225">
        <v>950000</v>
      </c>
      <c r="G55" s="80" t="s">
        <v>211</v>
      </c>
      <c r="H55" s="97" t="s">
        <v>211</v>
      </c>
      <c r="I55" s="98" t="s">
        <v>421</v>
      </c>
    </row>
    <row r="56" spans="1:9" ht="15.75" thickBot="1">
      <c r="A56" s="12">
        <v>44613</v>
      </c>
      <c r="B56" s="13" t="s">
        <v>446</v>
      </c>
      <c r="C56" s="14" t="s">
        <v>173</v>
      </c>
      <c r="D56" s="14">
        <v>1</v>
      </c>
      <c r="E56" s="14" t="s">
        <v>30</v>
      </c>
      <c r="F56" s="54">
        <v>2150000</v>
      </c>
      <c r="G56" s="77">
        <v>2150000</v>
      </c>
      <c r="H56" s="86" t="s">
        <v>212</v>
      </c>
      <c r="I56" s="87" t="s">
        <v>421</v>
      </c>
    </row>
    <row r="57" spans="1:9">
      <c r="A57" s="13"/>
      <c r="B57" s="13" t="s">
        <v>213</v>
      </c>
      <c r="C57" s="14" t="s">
        <v>17</v>
      </c>
      <c r="D57" s="14">
        <v>1</v>
      </c>
      <c r="E57" s="14" t="s">
        <v>30</v>
      </c>
      <c r="F57" s="54">
        <v>685000</v>
      </c>
      <c r="G57" s="77">
        <v>685000</v>
      </c>
      <c r="H57" s="82"/>
      <c r="I57" s="83"/>
    </row>
    <row r="58" spans="1:9" ht="15.75" thickBot="1">
      <c r="A58" s="13"/>
      <c r="B58" s="13" t="s">
        <v>214</v>
      </c>
      <c r="C58" s="14" t="s">
        <v>17</v>
      </c>
      <c r="D58" s="14">
        <v>10</v>
      </c>
      <c r="E58" s="14" t="s">
        <v>30</v>
      </c>
      <c r="F58" s="54">
        <v>225000</v>
      </c>
      <c r="G58" s="77">
        <v>2250000</v>
      </c>
      <c r="H58" s="84" t="s">
        <v>383</v>
      </c>
      <c r="I58" s="85" t="s">
        <v>106</v>
      </c>
    </row>
    <row r="59" spans="1:9">
      <c r="A59" s="12"/>
      <c r="B59" s="13" t="s">
        <v>215</v>
      </c>
      <c r="C59" s="14" t="s">
        <v>17</v>
      </c>
      <c r="D59" s="14">
        <v>10</v>
      </c>
      <c r="E59" s="54" t="s">
        <v>30</v>
      </c>
      <c r="F59" s="225">
        <v>215000</v>
      </c>
      <c r="G59" s="99">
        <v>2150000</v>
      </c>
      <c r="H59" s="82"/>
      <c r="I59" s="83"/>
    </row>
    <row r="60" spans="1:9">
      <c r="A60" s="13"/>
      <c r="B60" s="13" t="s">
        <v>216</v>
      </c>
      <c r="C60" s="14" t="s">
        <v>17</v>
      </c>
      <c r="D60" s="14">
        <v>10</v>
      </c>
      <c r="E60" s="14" t="s">
        <v>30</v>
      </c>
      <c r="F60" s="54">
        <v>225000</v>
      </c>
      <c r="G60" s="77">
        <v>2250000</v>
      </c>
      <c r="H60" s="96" t="s">
        <v>384</v>
      </c>
      <c r="I60" s="90" t="s">
        <v>106</v>
      </c>
    </row>
    <row r="61" spans="1:9" ht="15.75" thickBot="1">
      <c r="A61" s="13"/>
      <c r="B61" s="13" t="s">
        <v>213</v>
      </c>
      <c r="C61" s="14" t="s">
        <v>17</v>
      </c>
      <c r="D61" s="14">
        <v>1</v>
      </c>
      <c r="E61" s="14" t="s">
        <v>30</v>
      </c>
      <c r="F61" s="54">
        <v>685000</v>
      </c>
      <c r="G61" s="77">
        <v>685000</v>
      </c>
      <c r="H61" s="84"/>
      <c r="I61" s="85"/>
    </row>
    <row r="62" spans="1:9">
      <c r="A62" s="13"/>
      <c r="B62" s="13" t="s">
        <v>385</v>
      </c>
      <c r="C62" s="14" t="s">
        <v>17</v>
      </c>
      <c r="D62" s="14">
        <v>1</v>
      </c>
      <c r="E62" s="14" t="s">
        <v>30</v>
      </c>
      <c r="F62" s="54">
        <v>685000</v>
      </c>
      <c r="G62" s="77">
        <v>685000</v>
      </c>
      <c r="H62" s="96"/>
      <c r="I62" s="90"/>
    </row>
    <row r="63" spans="1:9">
      <c r="A63" s="13"/>
      <c r="B63" s="13" t="s">
        <v>217</v>
      </c>
      <c r="C63" s="14" t="s">
        <v>17</v>
      </c>
      <c r="D63" s="14">
        <v>1</v>
      </c>
      <c r="E63" s="14" t="s">
        <v>30</v>
      </c>
      <c r="F63" s="54">
        <v>790000</v>
      </c>
      <c r="G63" s="77">
        <v>790000</v>
      </c>
      <c r="H63" s="96"/>
      <c r="I63" s="90"/>
    </row>
    <row r="64" spans="1:9">
      <c r="A64" s="13"/>
      <c r="B64" s="13" t="s">
        <v>218</v>
      </c>
      <c r="C64" s="14" t="s">
        <v>17</v>
      </c>
      <c r="D64" s="14">
        <v>10</v>
      </c>
      <c r="E64" s="14" t="s">
        <v>30</v>
      </c>
      <c r="F64" s="54">
        <v>225000</v>
      </c>
      <c r="G64" s="77">
        <v>2250000</v>
      </c>
      <c r="H64" s="96"/>
      <c r="I64" s="90"/>
    </row>
    <row r="65" spans="1:9" ht="15.75" thickBot="1">
      <c r="A65" s="12"/>
      <c r="B65" s="13" t="s">
        <v>219</v>
      </c>
      <c r="C65" s="14" t="s">
        <v>17</v>
      </c>
      <c r="D65" s="14">
        <v>13</v>
      </c>
      <c r="E65" s="54" t="s">
        <v>30</v>
      </c>
      <c r="F65" s="225">
        <v>160000</v>
      </c>
      <c r="G65" s="80" t="s">
        <v>387</v>
      </c>
      <c r="H65" s="84" t="s">
        <v>386</v>
      </c>
      <c r="I65" s="85" t="s">
        <v>106</v>
      </c>
    </row>
    <row r="66" spans="1:9" ht="15.75" thickBot="1">
      <c r="A66" s="12">
        <v>44614</v>
      </c>
      <c r="B66" s="13" t="s">
        <v>220</v>
      </c>
      <c r="C66" s="14" t="s">
        <v>221</v>
      </c>
      <c r="D66" s="14">
        <v>3</v>
      </c>
      <c r="E66" s="54" t="s">
        <v>30</v>
      </c>
      <c r="F66" s="225">
        <v>689000</v>
      </c>
      <c r="G66" s="80" t="s">
        <v>222</v>
      </c>
      <c r="H66" s="97" t="s">
        <v>223</v>
      </c>
      <c r="I66" s="98" t="s">
        <v>44</v>
      </c>
    </row>
    <row r="67" spans="1:9">
      <c r="A67" s="12"/>
      <c r="B67" s="13" t="s">
        <v>224</v>
      </c>
      <c r="C67" s="14" t="s">
        <v>15</v>
      </c>
      <c r="D67" s="14">
        <v>2</v>
      </c>
      <c r="E67" s="54" t="s">
        <v>30</v>
      </c>
      <c r="F67" s="225">
        <v>1800000</v>
      </c>
      <c r="G67" s="80" t="s">
        <v>227</v>
      </c>
      <c r="H67" s="82"/>
      <c r="I67" s="83"/>
    </row>
    <row r="68" spans="1:9" ht="15.75" thickBot="1">
      <c r="A68" s="12"/>
      <c r="B68" s="13" t="s">
        <v>225</v>
      </c>
      <c r="C68" s="14" t="s">
        <v>15</v>
      </c>
      <c r="D68" s="14">
        <v>20</v>
      </c>
      <c r="E68" s="54" t="s">
        <v>30</v>
      </c>
      <c r="F68" s="225">
        <v>95000</v>
      </c>
      <c r="G68" s="80" t="s">
        <v>226</v>
      </c>
      <c r="H68" s="96" t="s">
        <v>228</v>
      </c>
      <c r="I68" s="90" t="s">
        <v>106</v>
      </c>
    </row>
    <row r="69" spans="1:9">
      <c r="A69" s="12"/>
      <c r="B69" s="13" t="s">
        <v>229</v>
      </c>
      <c r="C69" s="14" t="s">
        <v>140</v>
      </c>
      <c r="D69" s="14">
        <v>5</v>
      </c>
      <c r="E69" s="54" t="s">
        <v>30</v>
      </c>
      <c r="F69" s="225">
        <v>140000</v>
      </c>
      <c r="G69" s="80" t="s">
        <v>230</v>
      </c>
      <c r="H69" s="82" t="s">
        <v>237</v>
      </c>
      <c r="I69" s="83"/>
    </row>
    <row r="70" spans="1:9">
      <c r="A70" s="12"/>
      <c r="B70" s="13" t="s">
        <v>232</v>
      </c>
      <c r="C70" s="14" t="s">
        <v>140</v>
      </c>
      <c r="D70" s="14">
        <v>5</v>
      </c>
      <c r="E70" s="54" t="s">
        <v>30</v>
      </c>
      <c r="F70" s="225">
        <v>160000</v>
      </c>
      <c r="G70" s="80" t="s">
        <v>231</v>
      </c>
      <c r="H70" s="96"/>
      <c r="I70" s="90"/>
    </row>
    <row r="71" spans="1:9">
      <c r="A71" s="12"/>
      <c r="B71" s="13" t="s">
        <v>233</v>
      </c>
      <c r="C71" s="14" t="s">
        <v>140</v>
      </c>
      <c r="D71" s="14">
        <v>3</v>
      </c>
      <c r="E71" s="54" t="s">
        <v>30</v>
      </c>
      <c r="F71" s="225">
        <v>40000</v>
      </c>
      <c r="G71" s="80" t="s">
        <v>234</v>
      </c>
      <c r="H71" s="96"/>
      <c r="I71" s="90" t="s">
        <v>106</v>
      </c>
    </row>
    <row r="72" spans="1:9" ht="15.75" thickBot="1">
      <c r="A72" s="12"/>
      <c r="B72" s="13" t="s">
        <v>236</v>
      </c>
      <c r="C72" s="14" t="s">
        <v>140</v>
      </c>
      <c r="D72" s="14">
        <v>10</v>
      </c>
      <c r="E72" s="54" t="s">
        <v>30</v>
      </c>
      <c r="F72" s="225">
        <v>135000</v>
      </c>
      <c r="G72" s="80" t="s">
        <v>235</v>
      </c>
      <c r="H72" s="96"/>
      <c r="I72" s="90"/>
    </row>
    <row r="73" spans="1:9" ht="15.75" thickBot="1">
      <c r="A73" s="12">
        <v>44616</v>
      </c>
      <c r="B73" s="13" t="s">
        <v>238</v>
      </c>
      <c r="C73" s="14" t="s">
        <v>17</v>
      </c>
      <c r="D73" s="14">
        <v>15</v>
      </c>
      <c r="E73" s="54" t="s">
        <v>30</v>
      </c>
      <c r="F73" s="225">
        <v>225000</v>
      </c>
      <c r="G73" s="99">
        <v>3375000</v>
      </c>
      <c r="H73" s="97" t="s">
        <v>390</v>
      </c>
      <c r="I73" s="98" t="s">
        <v>106</v>
      </c>
    </row>
    <row r="74" spans="1:9">
      <c r="A74" s="12"/>
      <c r="B74" s="13" t="s">
        <v>239</v>
      </c>
      <c r="C74" s="14" t="s">
        <v>140</v>
      </c>
      <c r="D74" s="14">
        <v>10</v>
      </c>
      <c r="E74" s="54" t="s">
        <v>30</v>
      </c>
      <c r="F74" s="225">
        <v>100000</v>
      </c>
      <c r="G74" s="99">
        <v>1000000</v>
      </c>
      <c r="H74" s="82"/>
      <c r="I74" s="83"/>
    </row>
    <row r="75" spans="1:9">
      <c r="A75" s="12"/>
      <c r="B75" s="13" t="s">
        <v>240</v>
      </c>
      <c r="C75" s="14" t="s">
        <v>140</v>
      </c>
      <c r="D75" s="14">
        <v>5</v>
      </c>
      <c r="E75" s="54" t="s">
        <v>30</v>
      </c>
      <c r="F75" s="225">
        <v>100000</v>
      </c>
      <c r="G75" s="99">
        <v>500000</v>
      </c>
      <c r="H75" s="96"/>
      <c r="I75" s="90"/>
    </row>
    <row r="76" spans="1:9">
      <c r="A76" s="12"/>
      <c r="B76" s="13" t="s">
        <v>241</v>
      </c>
      <c r="C76" s="14" t="s">
        <v>140</v>
      </c>
      <c r="D76" s="14">
        <v>5</v>
      </c>
      <c r="E76" s="54" t="s">
        <v>30</v>
      </c>
      <c r="F76" s="225">
        <v>115000</v>
      </c>
      <c r="G76" s="99">
        <v>575000</v>
      </c>
      <c r="H76" s="96"/>
      <c r="I76" s="90"/>
    </row>
    <row r="77" spans="1:9">
      <c r="A77" s="12"/>
      <c r="B77" s="13" t="s">
        <v>242</v>
      </c>
      <c r="C77" s="14" t="s">
        <v>140</v>
      </c>
      <c r="D77" s="14">
        <v>5</v>
      </c>
      <c r="E77" s="54" t="s">
        <v>30</v>
      </c>
      <c r="F77" s="225">
        <v>40000</v>
      </c>
      <c r="G77" s="99">
        <v>200000</v>
      </c>
      <c r="H77" s="96"/>
      <c r="I77" s="90"/>
    </row>
    <row r="78" spans="1:9">
      <c r="A78" s="12"/>
      <c r="B78" s="13" t="s">
        <v>243</v>
      </c>
      <c r="C78" s="14" t="s">
        <v>140</v>
      </c>
      <c r="D78" s="14">
        <v>5</v>
      </c>
      <c r="E78" s="54" t="s">
        <v>30</v>
      </c>
      <c r="F78" s="225">
        <v>115000</v>
      </c>
      <c r="G78" s="99">
        <v>575000</v>
      </c>
      <c r="H78" s="96"/>
      <c r="I78" s="90"/>
    </row>
    <row r="79" spans="1:9">
      <c r="A79" s="12"/>
      <c r="B79" s="13" t="s">
        <v>245</v>
      </c>
      <c r="C79" s="14" t="s">
        <v>140</v>
      </c>
      <c r="D79" s="14">
        <v>5</v>
      </c>
      <c r="E79" s="54" t="s">
        <v>30</v>
      </c>
      <c r="F79" s="225">
        <v>40000</v>
      </c>
      <c r="G79" s="99">
        <v>200000</v>
      </c>
      <c r="H79" s="96"/>
      <c r="I79" s="90"/>
    </row>
    <row r="80" spans="1:9">
      <c r="A80" s="12"/>
      <c r="B80" s="13" t="s">
        <v>244</v>
      </c>
      <c r="C80" s="14" t="s">
        <v>140</v>
      </c>
      <c r="D80" s="14">
        <v>5</v>
      </c>
      <c r="E80" s="54" t="s">
        <v>30</v>
      </c>
      <c r="F80" s="225">
        <v>115000</v>
      </c>
      <c r="G80" s="99">
        <v>575000</v>
      </c>
      <c r="H80" s="96" t="s">
        <v>253</v>
      </c>
      <c r="I80" s="90" t="s">
        <v>52</v>
      </c>
    </row>
    <row r="81" spans="1:9">
      <c r="A81" s="12"/>
      <c r="B81" s="13" t="s">
        <v>246</v>
      </c>
      <c r="C81" s="14" t="s">
        <v>140</v>
      </c>
      <c r="D81" s="14">
        <v>5</v>
      </c>
      <c r="E81" s="54" t="s">
        <v>30</v>
      </c>
      <c r="F81" s="225">
        <v>400000</v>
      </c>
      <c r="G81" s="99">
        <v>200000</v>
      </c>
      <c r="H81" s="96"/>
      <c r="I81" s="90"/>
    </row>
    <row r="82" spans="1:9">
      <c r="A82" s="12"/>
      <c r="B82" s="13" t="s">
        <v>247</v>
      </c>
      <c r="C82" s="14" t="s">
        <v>140</v>
      </c>
      <c r="D82" s="14">
        <v>10</v>
      </c>
      <c r="E82" s="54" t="s">
        <v>30</v>
      </c>
      <c r="F82" s="77">
        <v>100000</v>
      </c>
      <c r="G82" s="99">
        <v>1000000</v>
      </c>
      <c r="H82" s="96"/>
      <c r="I82" s="90"/>
    </row>
    <row r="83" spans="1:9">
      <c r="A83" s="12"/>
      <c r="B83" s="13" t="s">
        <v>248</v>
      </c>
      <c r="C83" s="14" t="s">
        <v>140</v>
      </c>
      <c r="D83" s="14">
        <v>5</v>
      </c>
      <c r="E83" s="54" t="s">
        <v>30</v>
      </c>
      <c r="F83" s="77">
        <v>115000</v>
      </c>
      <c r="G83" s="99">
        <v>575000</v>
      </c>
      <c r="H83" s="96"/>
      <c r="I83" s="90"/>
    </row>
    <row r="84" spans="1:9">
      <c r="A84" s="12"/>
      <c r="B84" s="13" t="s">
        <v>249</v>
      </c>
      <c r="C84" s="14" t="s">
        <v>140</v>
      </c>
      <c r="D84" s="14">
        <v>5</v>
      </c>
      <c r="E84" s="54" t="s">
        <v>30</v>
      </c>
      <c r="F84" s="77">
        <v>115000</v>
      </c>
      <c r="G84" s="99">
        <v>575000</v>
      </c>
      <c r="H84" s="96"/>
      <c r="I84" s="90"/>
    </row>
    <row r="85" spans="1:9">
      <c r="A85" s="12"/>
      <c r="B85" s="13" t="s">
        <v>250</v>
      </c>
      <c r="C85" s="14" t="s">
        <v>140</v>
      </c>
      <c r="D85" s="14">
        <v>5</v>
      </c>
      <c r="E85" s="54" t="s">
        <v>30</v>
      </c>
      <c r="F85" s="77">
        <v>40000</v>
      </c>
      <c r="G85" s="99">
        <v>200000</v>
      </c>
      <c r="H85" s="96"/>
      <c r="I85" s="90"/>
    </row>
    <row r="86" spans="1:9">
      <c r="A86" s="12"/>
      <c r="B86" s="13" t="s">
        <v>251</v>
      </c>
      <c r="C86" s="14" t="s">
        <v>140</v>
      </c>
      <c r="D86" s="14">
        <v>5</v>
      </c>
      <c r="E86" s="54" t="s">
        <v>30</v>
      </c>
      <c r="F86" s="77">
        <v>115000</v>
      </c>
      <c r="G86" s="100">
        <v>575000</v>
      </c>
      <c r="H86" s="96"/>
      <c r="I86" s="90"/>
    </row>
    <row r="87" spans="1:9" ht="15.75" thickBot="1">
      <c r="A87" s="12"/>
      <c r="B87" s="13" t="s">
        <v>252</v>
      </c>
      <c r="C87" s="14" t="s">
        <v>140</v>
      </c>
      <c r="D87" s="14">
        <v>5</v>
      </c>
      <c r="E87" s="54" t="s">
        <v>30</v>
      </c>
      <c r="F87" s="77">
        <v>40000</v>
      </c>
      <c r="G87" s="99">
        <v>200000</v>
      </c>
      <c r="H87" s="96"/>
      <c r="I87" s="85"/>
    </row>
    <row r="88" spans="1:9" ht="15.75" thickBot="1">
      <c r="A88" s="12"/>
      <c r="B88" s="13" t="s">
        <v>254</v>
      </c>
      <c r="C88" s="14" t="s">
        <v>140</v>
      </c>
      <c r="D88" s="14">
        <v>5</v>
      </c>
      <c r="E88" s="54" t="s">
        <v>30</v>
      </c>
      <c r="F88" s="77">
        <v>40000</v>
      </c>
      <c r="G88" s="99">
        <v>200000</v>
      </c>
      <c r="H88" s="84"/>
      <c r="I88" s="85"/>
    </row>
    <row r="89" spans="1:9" ht="15.75" thickBot="1">
      <c r="A89" s="12">
        <v>44620</v>
      </c>
      <c r="B89" s="13" t="s">
        <v>590</v>
      </c>
      <c r="C89" s="14" t="s">
        <v>273</v>
      </c>
      <c r="D89" s="14">
        <v>1</v>
      </c>
      <c r="E89" s="54" t="s">
        <v>30</v>
      </c>
      <c r="F89" s="77">
        <v>425000</v>
      </c>
      <c r="G89" s="99">
        <v>425000</v>
      </c>
      <c r="H89" s="84" t="s">
        <v>636</v>
      </c>
      <c r="I89" s="85"/>
    </row>
    <row r="90" spans="1:9" ht="15.75" thickBot="1">
      <c r="A90" s="12"/>
      <c r="B90" s="13" t="s">
        <v>591</v>
      </c>
      <c r="C90" s="14" t="s">
        <v>273</v>
      </c>
      <c r="D90" s="14">
        <v>1</v>
      </c>
      <c r="E90" s="54" t="s">
        <v>30</v>
      </c>
      <c r="F90" s="77">
        <v>500000</v>
      </c>
      <c r="G90" s="99">
        <v>500000</v>
      </c>
      <c r="H90" s="84"/>
      <c r="I90" s="85"/>
    </row>
    <row r="91" spans="1:9" ht="15.75" thickBot="1">
      <c r="A91" s="12">
        <v>44620</v>
      </c>
      <c r="B91" s="13" t="s">
        <v>259</v>
      </c>
      <c r="C91" s="14" t="s">
        <v>261</v>
      </c>
      <c r="D91" s="14">
        <v>20</v>
      </c>
      <c r="E91" s="54" t="s">
        <v>30</v>
      </c>
      <c r="F91" s="77">
        <v>90000</v>
      </c>
      <c r="G91" s="99">
        <v>1800000</v>
      </c>
      <c r="H91" s="97" t="s">
        <v>260</v>
      </c>
      <c r="I91" s="98" t="s">
        <v>52</v>
      </c>
    </row>
  </sheetData>
  <mergeCells count="7">
    <mergeCell ref="H18:H33"/>
    <mergeCell ref="I18:I33"/>
    <mergeCell ref="O6:O7"/>
    <mergeCell ref="H3:H9"/>
    <mergeCell ref="I3:I9"/>
    <mergeCell ref="H10:H17"/>
    <mergeCell ref="I10:I17"/>
  </mergeCells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V162"/>
  <sheetViews>
    <sheetView topLeftCell="A118" workbookViewId="0">
      <selection activeCell="B131" sqref="B131"/>
    </sheetView>
  </sheetViews>
  <sheetFormatPr defaultRowHeight="15"/>
  <cols>
    <col min="2" max="2" width="49.7109375" customWidth="1"/>
    <col min="3" max="3" width="16.42578125" customWidth="1"/>
    <col min="4" max="4" width="9.85546875" customWidth="1"/>
    <col min="6" max="6" width="18.85546875" customWidth="1"/>
    <col min="7" max="7" width="16.42578125" customWidth="1"/>
    <col min="8" max="8" width="15.42578125" customWidth="1"/>
    <col min="9" max="9" width="14.140625" customWidth="1"/>
    <col min="12" max="12" width="14.5703125" customWidth="1"/>
    <col min="13" max="13" width="30.28515625" customWidth="1"/>
    <col min="14" max="14" width="15.42578125" customWidth="1"/>
    <col min="15" max="15" width="18.28515625" customWidth="1"/>
    <col min="17" max="17" width="14" bestFit="1" customWidth="1"/>
    <col min="19" max="19" width="13.7109375" bestFit="1" customWidth="1"/>
  </cols>
  <sheetData>
    <row r="1" spans="1:21">
      <c r="A1" s="1" t="s">
        <v>0</v>
      </c>
      <c r="C1" s="2"/>
      <c r="D1" s="2"/>
      <c r="E1" s="2"/>
      <c r="F1" s="3"/>
      <c r="G1" s="3"/>
      <c r="H1" s="3"/>
      <c r="K1" s="4" t="s">
        <v>20</v>
      </c>
      <c r="L1" s="5"/>
      <c r="M1" s="5"/>
      <c r="N1" s="3"/>
    </row>
    <row r="2" spans="1:21" ht="30.75" thickBot="1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9" t="s">
        <v>7</v>
      </c>
      <c r="H2" s="176" t="s">
        <v>8</v>
      </c>
      <c r="I2" s="7" t="s">
        <v>9</v>
      </c>
      <c r="K2" s="10" t="s">
        <v>10</v>
      </c>
      <c r="L2" s="11" t="s">
        <v>11</v>
      </c>
      <c r="M2" s="6" t="s">
        <v>12</v>
      </c>
      <c r="N2" s="9" t="s">
        <v>13</v>
      </c>
      <c r="O2" s="7" t="s">
        <v>9</v>
      </c>
    </row>
    <row r="3" spans="1:21">
      <c r="A3" s="12">
        <v>44621</v>
      </c>
      <c r="B3" s="13" t="s">
        <v>269</v>
      </c>
      <c r="C3" s="14" t="s">
        <v>17</v>
      </c>
      <c r="D3" s="14">
        <v>10</v>
      </c>
      <c r="E3" s="14" t="s">
        <v>30</v>
      </c>
      <c r="F3" s="15">
        <v>225000</v>
      </c>
      <c r="G3" s="77">
        <v>2250000</v>
      </c>
      <c r="H3" s="177" t="s">
        <v>388</v>
      </c>
      <c r="I3" s="175" t="s">
        <v>400</v>
      </c>
      <c r="J3" s="17"/>
      <c r="K3" s="18">
        <v>1</v>
      </c>
      <c r="L3" s="165">
        <v>44550</v>
      </c>
      <c r="M3" s="166" t="s">
        <v>25</v>
      </c>
      <c r="N3" s="167">
        <v>7750000</v>
      </c>
      <c r="O3" s="168" t="s">
        <v>24</v>
      </c>
    </row>
    <row r="4" spans="1:21" ht="15.75" thickBot="1">
      <c r="A4" s="13"/>
      <c r="B4" s="13" t="s">
        <v>270</v>
      </c>
      <c r="C4" s="14" t="s">
        <v>17</v>
      </c>
      <c r="D4" s="14">
        <v>10</v>
      </c>
      <c r="E4" s="14" t="s">
        <v>30</v>
      </c>
      <c r="F4" s="15">
        <v>225000</v>
      </c>
      <c r="G4" s="77">
        <v>2250000</v>
      </c>
      <c r="H4" s="193"/>
      <c r="I4" s="175"/>
      <c r="J4" s="19"/>
      <c r="K4" s="18">
        <v>2</v>
      </c>
      <c r="L4" s="169">
        <v>44544</v>
      </c>
      <c r="M4" s="170" t="s">
        <v>15</v>
      </c>
      <c r="N4" s="171">
        <v>9395000</v>
      </c>
      <c r="O4" s="262" t="s">
        <v>258</v>
      </c>
      <c r="Q4" s="37"/>
    </row>
    <row r="5" spans="1:21" ht="15.75" thickBot="1">
      <c r="A5" s="13"/>
      <c r="B5" s="13" t="s">
        <v>271</v>
      </c>
      <c r="C5" s="14" t="s">
        <v>17</v>
      </c>
      <c r="D5" s="14">
        <v>10</v>
      </c>
      <c r="E5" s="14" t="s">
        <v>30</v>
      </c>
      <c r="F5" s="15">
        <v>225000</v>
      </c>
      <c r="G5" s="77">
        <v>2250000</v>
      </c>
      <c r="H5" s="178" t="s">
        <v>389</v>
      </c>
      <c r="I5" s="175" t="s">
        <v>400</v>
      </c>
      <c r="J5" s="23"/>
      <c r="K5" s="18">
        <v>3</v>
      </c>
      <c r="L5" s="169">
        <v>44536</v>
      </c>
      <c r="M5" s="170" t="s">
        <v>15</v>
      </c>
      <c r="N5" s="171">
        <v>31030000</v>
      </c>
      <c r="O5" s="168" t="s">
        <v>257</v>
      </c>
    </row>
    <row r="6" spans="1:21">
      <c r="A6" s="13"/>
      <c r="B6" s="13" t="s">
        <v>272</v>
      </c>
      <c r="C6" s="14" t="s">
        <v>273</v>
      </c>
      <c r="D6" s="14">
        <v>1</v>
      </c>
      <c r="E6" s="14" t="s">
        <v>30</v>
      </c>
      <c r="F6" s="15">
        <v>755000</v>
      </c>
      <c r="G6" s="77">
        <v>755000</v>
      </c>
      <c r="H6" s="177"/>
      <c r="I6" s="175"/>
      <c r="J6" s="26"/>
      <c r="K6" s="18">
        <v>4</v>
      </c>
      <c r="L6" s="101">
        <v>44578</v>
      </c>
      <c r="M6" s="102" t="s">
        <v>17</v>
      </c>
      <c r="N6" s="164">
        <v>9835000</v>
      </c>
      <c r="O6" s="263" t="s">
        <v>115</v>
      </c>
    </row>
    <row r="7" spans="1:21">
      <c r="A7" s="13"/>
      <c r="B7" s="13" t="s">
        <v>274</v>
      </c>
      <c r="C7" s="14" t="s">
        <v>273</v>
      </c>
      <c r="D7" s="14">
        <v>1</v>
      </c>
      <c r="E7" s="14" t="s">
        <v>30</v>
      </c>
      <c r="F7" s="15">
        <v>630000</v>
      </c>
      <c r="G7" s="77">
        <v>630000</v>
      </c>
      <c r="H7" s="178" t="s">
        <v>277</v>
      </c>
      <c r="I7" s="175" t="s">
        <v>592</v>
      </c>
      <c r="J7" s="26"/>
      <c r="K7" s="18">
        <v>5</v>
      </c>
      <c r="L7" s="144">
        <v>44588</v>
      </c>
      <c r="M7" s="144" t="s">
        <v>15</v>
      </c>
      <c r="N7" s="145">
        <v>5100000</v>
      </c>
      <c r="O7" s="150" t="s">
        <v>258</v>
      </c>
      <c r="Q7" s="37">
        <f>SUM(N5:N5)</f>
        <v>31030000</v>
      </c>
    </row>
    <row r="8" spans="1:21">
      <c r="A8" s="12"/>
      <c r="B8" s="13" t="s">
        <v>275</v>
      </c>
      <c r="C8" s="14" t="s">
        <v>273</v>
      </c>
      <c r="D8" s="14">
        <v>1</v>
      </c>
      <c r="E8" s="14">
        <v>12</v>
      </c>
      <c r="F8" s="15">
        <v>335000</v>
      </c>
      <c r="G8" s="77">
        <v>4020000</v>
      </c>
      <c r="H8" s="178"/>
      <c r="I8" s="175"/>
      <c r="J8" s="26"/>
      <c r="K8" s="18">
        <v>6</v>
      </c>
      <c r="L8" s="137">
        <v>44588</v>
      </c>
      <c r="M8" s="138" t="s">
        <v>345</v>
      </c>
      <c r="N8" s="139">
        <v>4870000</v>
      </c>
      <c r="O8" s="155" t="s">
        <v>258</v>
      </c>
    </row>
    <row r="9" spans="1:21">
      <c r="A9" s="13"/>
      <c r="B9" s="13" t="s">
        <v>510</v>
      </c>
      <c r="C9" s="14" t="s">
        <v>273</v>
      </c>
      <c r="D9" s="14">
        <v>1</v>
      </c>
      <c r="E9" s="14" t="s">
        <v>30</v>
      </c>
      <c r="F9" s="15">
        <v>370000</v>
      </c>
      <c r="G9" s="77">
        <v>370000</v>
      </c>
      <c r="H9" s="178"/>
      <c r="I9" s="175"/>
      <c r="J9" s="26"/>
      <c r="K9" s="18">
        <v>7</v>
      </c>
      <c r="L9" s="68">
        <v>44599</v>
      </c>
      <c r="M9" s="69" t="s">
        <v>261</v>
      </c>
      <c r="N9" s="70">
        <v>190000</v>
      </c>
      <c r="O9" s="151" t="s">
        <v>992</v>
      </c>
      <c r="Q9" s="37"/>
    </row>
    <row r="10" spans="1:21" ht="15.75" thickBot="1">
      <c r="A10" s="29"/>
      <c r="B10" s="29" t="s">
        <v>276</v>
      </c>
      <c r="C10" s="14" t="s">
        <v>273</v>
      </c>
      <c r="D10" s="31">
        <v>5</v>
      </c>
      <c r="E10" s="14" t="s">
        <v>30</v>
      </c>
      <c r="F10" s="15">
        <v>325000</v>
      </c>
      <c r="G10" s="77">
        <v>1625000</v>
      </c>
      <c r="H10" s="178"/>
      <c r="I10" s="175"/>
      <c r="J10" s="26"/>
      <c r="K10" s="18">
        <v>8</v>
      </c>
      <c r="L10" s="165">
        <v>44607</v>
      </c>
      <c r="M10" s="166" t="s">
        <v>15</v>
      </c>
      <c r="N10" s="167">
        <v>6625000</v>
      </c>
      <c r="O10" s="168" t="s">
        <v>258</v>
      </c>
      <c r="Q10" s="37">
        <f>SUM(N3:N4)</f>
        <v>17145000</v>
      </c>
    </row>
    <row r="11" spans="1:21">
      <c r="A11" s="32">
        <v>44624</v>
      </c>
      <c r="B11" s="29" t="s">
        <v>278</v>
      </c>
      <c r="C11" s="14" t="s">
        <v>925</v>
      </c>
      <c r="D11" s="31">
        <v>1</v>
      </c>
      <c r="E11" s="14" t="s">
        <v>30</v>
      </c>
      <c r="F11" s="15">
        <v>375000</v>
      </c>
      <c r="G11" s="77">
        <v>375000</v>
      </c>
      <c r="H11" s="177" t="s">
        <v>281</v>
      </c>
      <c r="I11" s="175" t="s">
        <v>191</v>
      </c>
      <c r="J11" s="26"/>
      <c r="K11" s="18">
        <v>9</v>
      </c>
      <c r="L11" s="169">
        <v>44613</v>
      </c>
      <c r="M11" s="170" t="s">
        <v>15</v>
      </c>
      <c r="N11" s="172">
        <v>4805000</v>
      </c>
      <c r="O11" s="173" t="s">
        <v>258</v>
      </c>
      <c r="Q11" s="37"/>
      <c r="S11" s="62" t="e">
        <f>#REF!+#REF!+#REF!+#REF!+#REF!+#REF!</f>
        <v>#REF!</v>
      </c>
    </row>
    <row r="12" spans="1:21">
      <c r="A12" s="29"/>
      <c r="B12" s="29" t="s">
        <v>280</v>
      </c>
      <c r="C12" s="14" t="s">
        <v>925</v>
      </c>
      <c r="D12" s="31">
        <v>1</v>
      </c>
      <c r="E12" s="14" t="s">
        <v>30</v>
      </c>
      <c r="F12" s="28">
        <v>115000</v>
      </c>
      <c r="G12" s="179">
        <v>115000</v>
      </c>
      <c r="H12" s="178"/>
      <c r="I12" s="175"/>
      <c r="J12" s="26"/>
      <c r="K12" s="18">
        <v>10</v>
      </c>
      <c r="L12" s="165">
        <v>44614</v>
      </c>
      <c r="M12" s="166" t="s">
        <v>15</v>
      </c>
      <c r="N12" s="174" t="s">
        <v>551</v>
      </c>
      <c r="O12" s="168" t="s">
        <v>258</v>
      </c>
    </row>
    <row r="13" spans="1:21">
      <c r="A13" s="29"/>
      <c r="B13" s="29" t="s">
        <v>926</v>
      </c>
      <c r="C13" s="14" t="s">
        <v>21</v>
      </c>
      <c r="D13" s="31">
        <v>1</v>
      </c>
      <c r="E13" s="14" t="s">
        <v>30</v>
      </c>
      <c r="F13" s="28">
        <v>2400000</v>
      </c>
      <c r="G13" s="179">
        <v>2400000</v>
      </c>
      <c r="H13" s="16" t="s">
        <v>927</v>
      </c>
      <c r="I13" s="175"/>
      <c r="J13" s="26"/>
      <c r="K13" s="18"/>
      <c r="L13" s="165"/>
      <c r="M13" s="166"/>
      <c r="N13" s="174"/>
      <c r="O13" s="168"/>
    </row>
    <row r="14" spans="1:21">
      <c r="A14" s="32">
        <v>44629</v>
      </c>
      <c r="B14" s="29" t="s">
        <v>282</v>
      </c>
      <c r="C14" s="27" t="s">
        <v>508</v>
      </c>
      <c r="D14" s="31">
        <v>5</v>
      </c>
      <c r="E14" s="31" t="s">
        <v>30</v>
      </c>
      <c r="F14" s="28">
        <v>135000</v>
      </c>
      <c r="G14" s="179">
        <v>675000</v>
      </c>
      <c r="H14" s="185"/>
      <c r="I14" s="180"/>
      <c r="J14" s="26"/>
      <c r="K14" s="18">
        <v>11</v>
      </c>
      <c r="L14" s="118">
        <v>44609</v>
      </c>
      <c r="M14" s="119" t="s">
        <v>140</v>
      </c>
      <c r="N14" s="120">
        <v>10120000</v>
      </c>
      <c r="O14" s="264" t="s">
        <v>338</v>
      </c>
    </row>
    <row r="15" spans="1:21">
      <c r="A15" s="29"/>
      <c r="B15" s="29" t="s">
        <v>285</v>
      </c>
      <c r="C15" s="27" t="s">
        <v>508</v>
      </c>
      <c r="D15" s="31">
        <v>5</v>
      </c>
      <c r="E15" s="31" t="s">
        <v>30</v>
      </c>
      <c r="F15" s="28">
        <v>125000</v>
      </c>
      <c r="G15" s="179">
        <v>625000</v>
      </c>
      <c r="H15" s="185"/>
      <c r="I15" s="181"/>
      <c r="J15" s="26"/>
      <c r="K15" s="18">
        <v>12</v>
      </c>
      <c r="L15" s="111">
        <v>44637</v>
      </c>
      <c r="M15" s="112" t="s">
        <v>61</v>
      </c>
      <c r="N15" s="194" t="s">
        <v>352</v>
      </c>
      <c r="O15" s="265"/>
      <c r="U15">
        <v>10885000</v>
      </c>
    </row>
    <row r="16" spans="1:21">
      <c r="A16" s="29"/>
      <c r="B16" s="29" t="s">
        <v>286</v>
      </c>
      <c r="C16" s="27" t="s">
        <v>508</v>
      </c>
      <c r="D16" s="31">
        <v>5</v>
      </c>
      <c r="E16" s="31" t="s">
        <v>30</v>
      </c>
      <c r="F16" s="28">
        <v>125000</v>
      </c>
      <c r="G16" s="179">
        <v>625000</v>
      </c>
      <c r="H16" s="185"/>
      <c r="I16" s="181" t="s">
        <v>401</v>
      </c>
      <c r="J16" s="26"/>
      <c r="K16" s="18">
        <v>13</v>
      </c>
      <c r="L16" s="104">
        <v>44581</v>
      </c>
      <c r="M16" s="105" t="s">
        <v>17</v>
      </c>
      <c r="N16" s="106">
        <v>1830000</v>
      </c>
      <c r="O16" s="260" t="s">
        <v>258</v>
      </c>
      <c r="Q16" s="37">
        <f>SUM(N3:N6)</f>
        <v>58010000</v>
      </c>
      <c r="U16">
        <v>1050000</v>
      </c>
    </row>
    <row r="17" spans="1:22">
      <c r="A17" s="29"/>
      <c r="B17" s="29" t="s">
        <v>283</v>
      </c>
      <c r="C17" s="27" t="s">
        <v>508</v>
      </c>
      <c r="D17" s="31">
        <v>5</v>
      </c>
      <c r="E17" s="31" t="s">
        <v>30</v>
      </c>
      <c r="F17" s="28">
        <v>135000</v>
      </c>
      <c r="G17" s="179">
        <v>675000</v>
      </c>
      <c r="H17" s="185"/>
      <c r="I17" s="181"/>
      <c r="J17" s="26"/>
      <c r="K17" s="18">
        <v>14</v>
      </c>
      <c r="L17" s="104">
        <v>44606</v>
      </c>
      <c r="M17" s="105" t="s">
        <v>17</v>
      </c>
      <c r="N17" s="106">
        <v>2265000</v>
      </c>
      <c r="O17" s="260" t="s">
        <v>258</v>
      </c>
      <c r="V17">
        <f>U15-U16</f>
        <v>9835000</v>
      </c>
    </row>
    <row r="18" spans="1:22">
      <c r="A18" s="29"/>
      <c r="B18" s="29" t="s">
        <v>284</v>
      </c>
      <c r="C18" s="27" t="s">
        <v>508</v>
      </c>
      <c r="D18" s="31">
        <v>5</v>
      </c>
      <c r="E18" s="31" t="s">
        <v>30</v>
      </c>
      <c r="F18" s="28">
        <v>125000</v>
      </c>
      <c r="G18" s="179">
        <v>625000</v>
      </c>
      <c r="H18" s="185"/>
      <c r="I18" s="181"/>
      <c r="J18" s="26"/>
      <c r="K18" s="18">
        <v>15</v>
      </c>
      <c r="L18" s="104">
        <v>44611</v>
      </c>
      <c r="M18" s="105" t="s">
        <v>17</v>
      </c>
      <c r="N18" s="106">
        <v>3375000</v>
      </c>
      <c r="O18" s="260" t="s">
        <v>258</v>
      </c>
    </row>
    <row r="19" spans="1:22">
      <c r="A19" s="29"/>
      <c r="B19" s="29" t="s">
        <v>287</v>
      </c>
      <c r="C19" s="27" t="s">
        <v>508</v>
      </c>
      <c r="D19" s="31">
        <v>5</v>
      </c>
      <c r="E19" s="31" t="s">
        <v>30</v>
      </c>
      <c r="F19" s="28">
        <v>80000</v>
      </c>
      <c r="G19" s="179">
        <v>320000</v>
      </c>
      <c r="H19" s="185"/>
      <c r="I19" s="181"/>
      <c r="J19" s="26"/>
      <c r="K19" s="18">
        <v>16</v>
      </c>
      <c r="L19" s="104">
        <v>44609</v>
      </c>
      <c r="M19" s="105" t="s">
        <v>17</v>
      </c>
      <c r="N19" s="106">
        <v>2935000</v>
      </c>
      <c r="O19" s="260" t="s">
        <v>258</v>
      </c>
    </row>
    <row r="20" spans="1:22">
      <c r="A20" s="29"/>
      <c r="B20" s="29" t="s">
        <v>288</v>
      </c>
      <c r="C20" s="27" t="s">
        <v>508</v>
      </c>
      <c r="D20" s="31">
        <v>5</v>
      </c>
      <c r="E20" s="31" t="s">
        <v>30</v>
      </c>
      <c r="F20" s="28">
        <v>125000</v>
      </c>
      <c r="G20" s="179">
        <v>625000</v>
      </c>
      <c r="H20" s="185"/>
      <c r="I20" s="181"/>
      <c r="J20" s="26"/>
      <c r="K20" s="18">
        <v>17</v>
      </c>
      <c r="L20" s="104">
        <v>44608</v>
      </c>
      <c r="M20" s="105" t="s">
        <v>17</v>
      </c>
      <c r="N20" s="106">
        <v>5805000</v>
      </c>
      <c r="O20" s="260" t="s">
        <v>258</v>
      </c>
    </row>
    <row r="21" spans="1:22">
      <c r="A21" s="29"/>
      <c r="B21" s="29" t="s">
        <v>289</v>
      </c>
      <c r="C21" s="27" t="s">
        <v>508</v>
      </c>
      <c r="D21" s="31">
        <v>5</v>
      </c>
      <c r="E21" s="31" t="s">
        <v>30</v>
      </c>
      <c r="F21" s="28">
        <v>125000</v>
      </c>
      <c r="G21" s="179">
        <v>625000</v>
      </c>
      <c r="H21" s="185" t="s">
        <v>300</v>
      </c>
      <c r="I21" s="181"/>
      <c r="J21" s="26"/>
      <c r="K21" s="18">
        <v>18</v>
      </c>
      <c r="L21" s="104">
        <v>44586</v>
      </c>
      <c r="M21" s="105" t="s">
        <v>17</v>
      </c>
      <c r="N21" s="106">
        <v>3680000</v>
      </c>
      <c r="O21" s="260" t="s">
        <v>258</v>
      </c>
    </row>
    <row r="22" spans="1:22">
      <c r="A22" s="29"/>
      <c r="B22" s="29" t="s">
        <v>290</v>
      </c>
      <c r="C22" s="27" t="s">
        <v>508</v>
      </c>
      <c r="D22" s="31">
        <v>4</v>
      </c>
      <c r="E22" s="31" t="s">
        <v>30</v>
      </c>
      <c r="F22" s="28">
        <v>55000</v>
      </c>
      <c r="G22" s="179">
        <v>220000</v>
      </c>
      <c r="H22" s="185"/>
      <c r="I22" s="181"/>
      <c r="J22" s="26"/>
      <c r="K22" s="18">
        <v>19</v>
      </c>
      <c r="L22" s="104">
        <v>44603</v>
      </c>
      <c r="M22" s="105" t="s">
        <v>17</v>
      </c>
      <c r="N22" s="106">
        <v>2370000</v>
      </c>
      <c r="O22" s="260" t="s">
        <v>258</v>
      </c>
    </row>
    <row r="23" spans="1:22">
      <c r="A23" s="29"/>
      <c r="B23" s="29" t="s">
        <v>63</v>
      </c>
      <c r="C23" s="27" t="s">
        <v>508</v>
      </c>
      <c r="D23" s="31">
        <v>7</v>
      </c>
      <c r="E23" s="31" t="s">
        <v>30</v>
      </c>
      <c r="F23" s="28">
        <v>35000</v>
      </c>
      <c r="G23" s="179">
        <v>245000</v>
      </c>
      <c r="H23" s="185"/>
      <c r="I23" s="181"/>
      <c r="J23" s="26"/>
      <c r="K23" s="18">
        <v>20</v>
      </c>
      <c r="L23" s="104" t="s">
        <v>402</v>
      </c>
      <c r="M23" s="105" t="s">
        <v>17</v>
      </c>
      <c r="N23" s="106">
        <v>5085000</v>
      </c>
      <c r="O23" s="260" t="s">
        <v>258</v>
      </c>
    </row>
    <row r="24" spans="1:22">
      <c r="A24" s="29"/>
      <c r="B24" s="29" t="s">
        <v>291</v>
      </c>
      <c r="C24" s="27" t="s">
        <v>508</v>
      </c>
      <c r="D24" s="31">
        <v>5</v>
      </c>
      <c r="E24" s="31" t="s">
        <v>30</v>
      </c>
      <c r="F24" s="28">
        <v>35000</v>
      </c>
      <c r="G24" s="179">
        <v>175000</v>
      </c>
      <c r="H24" s="185"/>
      <c r="I24" s="181"/>
      <c r="J24" s="26"/>
      <c r="K24" s="18">
        <v>21</v>
      </c>
      <c r="L24" s="169">
        <v>44645</v>
      </c>
      <c r="M24" s="170" t="s">
        <v>15</v>
      </c>
      <c r="N24" s="172">
        <v>1125000</v>
      </c>
      <c r="O24" s="173" t="s">
        <v>258</v>
      </c>
    </row>
    <row r="25" spans="1:22">
      <c r="A25" s="29"/>
      <c r="B25" s="29" t="s">
        <v>292</v>
      </c>
      <c r="C25" s="27" t="s">
        <v>508</v>
      </c>
      <c r="D25" s="31">
        <v>10</v>
      </c>
      <c r="E25" s="31" t="s">
        <v>30</v>
      </c>
      <c r="F25" s="28">
        <v>200000</v>
      </c>
      <c r="G25" s="179">
        <v>2000000</v>
      </c>
      <c r="H25" s="185"/>
      <c r="I25" s="181"/>
      <c r="J25" s="26"/>
      <c r="K25" s="29">
        <v>22</v>
      </c>
      <c r="L25" s="118">
        <v>44645</v>
      </c>
      <c r="M25" s="119" t="s">
        <v>140</v>
      </c>
      <c r="N25" s="120">
        <v>5810000</v>
      </c>
      <c r="O25" s="266" t="s">
        <v>258</v>
      </c>
    </row>
    <row r="26" spans="1:22">
      <c r="A26" s="29"/>
      <c r="B26" s="29" t="s">
        <v>293</v>
      </c>
      <c r="C26" s="27" t="s">
        <v>508</v>
      </c>
      <c r="D26" s="31">
        <v>7</v>
      </c>
      <c r="E26" s="31" t="s">
        <v>30</v>
      </c>
      <c r="F26" s="28">
        <v>85000</v>
      </c>
      <c r="G26" s="179">
        <v>595000</v>
      </c>
      <c r="H26" s="185"/>
      <c r="I26" s="181"/>
      <c r="J26" s="26"/>
      <c r="K26" s="29">
        <v>23</v>
      </c>
      <c r="L26" s="118">
        <v>44638</v>
      </c>
      <c r="M26" s="119" t="s">
        <v>83</v>
      </c>
      <c r="N26" s="120">
        <v>12000000</v>
      </c>
      <c r="O26" s="266" t="s">
        <v>834</v>
      </c>
    </row>
    <row r="27" spans="1:22">
      <c r="A27" s="29"/>
      <c r="B27" s="29" t="s">
        <v>294</v>
      </c>
      <c r="C27" s="27" t="s">
        <v>508</v>
      </c>
      <c r="D27" s="31">
        <v>3</v>
      </c>
      <c r="E27" s="31" t="s">
        <v>30</v>
      </c>
      <c r="F27" s="28">
        <v>125000</v>
      </c>
      <c r="G27" s="179">
        <v>375000</v>
      </c>
      <c r="H27" s="185"/>
      <c r="I27" s="181"/>
      <c r="J27" s="26"/>
      <c r="K27" s="29">
        <v>24</v>
      </c>
      <c r="L27" s="118">
        <v>44641</v>
      </c>
      <c r="M27" s="119" t="s">
        <v>83</v>
      </c>
      <c r="N27" s="120">
        <v>14000000</v>
      </c>
      <c r="O27" s="266" t="s">
        <v>834</v>
      </c>
    </row>
    <row r="28" spans="1:22">
      <c r="A28" s="29"/>
      <c r="B28" s="29" t="s">
        <v>295</v>
      </c>
      <c r="C28" s="27" t="s">
        <v>508</v>
      </c>
      <c r="D28" s="31">
        <v>3</v>
      </c>
      <c r="E28" s="31" t="s">
        <v>30</v>
      </c>
      <c r="F28" s="28">
        <v>125000</v>
      </c>
      <c r="G28" s="179">
        <v>375000</v>
      </c>
      <c r="H28" s="185"/>
      <c r="I28" s="181"/>
      <c r="J28" s="26"/>
      <c r="K28" s="26"/>
      <c r="L28" s="34"/>
      <c r="M28" s="34"/>
      <c r="N28" s="26"/>
    </row>
    <row r="29" spans="1:22">
      <c r="A29" s="29"/>
      <c r="B29" s="29" t="s">
        <v>296</v>
      </c>
      <c r="C29" s="27" t="s">
        <v>508</v>
      </c>
      <c r="D29" s="31">
        <v>3</v>
      </c>
      <c r="E29" s="31" t="s">
        <v>30</v>
      </c>
      <c r="F29" s="28">
        <v>125000</v>
      </c>
      <c r="G29" s="179">
        <v>375000</v>
      </c>
      <c r="H29" s="185"/>
      <c r="I29" s="181"/>
      <c r="J29" s="26"/>
      <c r="K29" s="26"/>
      <c r="M29" s="5"/>
      <c r="N29" s="62">
        <f>SUM(N3:N28)</f>
        <v>150000000</v>
      </c>
    </row>
    <row r="30" spans="1:22">
      <c r="A30" s="29"/>
      <c r="B30" s="29" t="s">
        <v>297</v>
      </c>
      <c r="C30" s="27" t="s">
        <v>508</v>
      </c>
      <c r="D30" s="31">
        <v>3</v>
      </c>
      <c r="E30" s="31" t="s">
        <v>30</v>
      </c>
      <c r="F30" s="28">
        <v>125000</v>
      </c>
      <c r="G30" s="179">
        <v>375000</v>
      </c>
      <c r="H30" s="185"/>
      <c r="I30" s="181"/>
      <c r="J30" s="26"/>
      <c r="K30" s="26"/>
      <c r="M30" s="5"/>
    </row>
    <row r="31" spans="1:22">
      <c r="A31" s="29"/>
      <c r="B31" s="29" t="s">
        <v>511</v>
      </c>
      <c r="C31" s="27" t="s">
        <v>508</v>
      </c>
      <c r="D31" s="31">
        <v>5</v>
      </c>
      <c r="E31" s="31" t="s">
        <v>30</v>
      </c>
      <c r="F31" s="28">
        <v>125000</v>
      </c>
      <c r="G31" s="179">
        <v>625000</v>
      </c>
      <c r="H31" s="185"/>
      <c r="I31" s="181"/>
      <c r="J31" s="26"/>
      <c r="K31" s="26"/>
      <c r="M31" s="5"/>
    </row>
    <row r="32" spans="1:22">
      <c r="A32" s="29"/>
      <c r="B32" s="29" t="s">
        <v>298</v>
      </c>
      <c r="C32" s="27" t="s">
        <v>508</v>
      </c>
      <c r="D32" s="31">
        <v>5</v>
      </c>
      <c r="E32" s="31" t="s">
        <v>30</v>
      </c>
      <c r="F32" s="28">
        <v>35000</v>
      </c>
      <c r="G32" s="179">
        <v>175000</v>
      </c>
      <c r="H32" s="185"/>
      <c r="I32" s="181"/>
      <c r="J32" s="26"/>
      <c r="K32" s="26"/>
      <c r="M32" s="5"/>
    </row>
    <row r="33" spans="1:13">
      <c r="A33" s="13"/>
      <c r="B33" s="13" t="s">
        <v>299</v>
      </c>
      <c r="C33" s="27" t="s">
        <v>508</v>
      </c>
      <c r="D33" s="14">
        <v>5</v>
      </c>
      <c r="E33" s="14" t="s">
        <v>30</v>
      </c>
      <c r="F33" s="15">
        <v>35000</v>
      </c>
      <c r="G33" s="77">
        <v>175000</v>
      </c>
      <c r="H33" s="186"/>
      <c r="I33" s="182"/>
      <c r="K33" s="26"/>
      <c r="M33" s="5" t="s">
        <v>793</v>
      </c>
    </row>
    <row r="34" spans="1:13">
      <c r="A34" s="13"/>
      <c r="B34" s="13" t="s">
        <v>293</v>
      </c>
      <c r="C34" s="27" t="s">
        <v>508</v>
      </c>
      <c r="D34" s="14">
        <v>5</v>
      </c>
      <c r="E34" s="14" t="s">
        <v>30</v>
      </c>
      <c r="F34" s="15">
        <v>85000</v>
      </c>
      <c r="G34" s="77">
        <v>255000</v>
      </c>
      <c r="H34" s="186"/>
      <c r="I34" s="182"/>
      <c r="M34" s="5"/>
    </row>
    <row r="35" spans="1:13" ht="15.75" thickBot="1">
      <c r="A35" s="13"/>
      <c r="B35" s="13" t="s">
        <v>512</v>
      </c>
      <c r="C35" s="27" t="s">
        <v>508</v>
      </c>
      <c r="D35" s="14">
        <v>1</v>
      </c>
      <c r="E35" s="14" t="s">
        <v>30</v>
      </c>
      <c r="F35" s="15">
        <v>80000</v>
      </c>
      <c r="G35" s="77">
        <v>80000</v>
      </c>
      <c r="H35" s="186"/>
      <c r="I35" s="182"/>
      <c r="M35" s="5"/>
    </row>
    <row r="36" spans="1:13">
      <c r="A36" s="12">
        <v>44630</v>
      </c>
      <c r="B36" s="13" t="s">
        <v>301</v>
      </c>
      <c r="C36" s="27" t="s">
        <v>508</v>
      </c>
      <c r="D36" s="14">
        <v>2</v>
      </c>
      <c r="E36" s="14" t="s">
        <v>30</v>
      </c>
      <c r="F36" s="15">
        <v>750000</v>
      </c>
      <c r="G36" s="77">
        <v>0</v>
      </c>
      <c r="H36" s="187"/>
      <c r="I36" s="182"/>
      <c r="M36" s="5"/>
    </row>
    <row r="37" spans="1:13">
      <c r="A37" s="13"/>
      <c r="B37" s="13" t="s">
        <v>302</v>
      </c>
      <c r="C37" s="27" t="s">
        <v>508</v>
      </c>
      <c r="D37" s="14">
        <v>3</v>
      </c>
      <c r="E37" s="14" t="s">
        <v>30</v>
      </c>
      <c r="F37" s="15">
        <v>750000</v>
      </c>
      <c r="G37" s="77">
        <v>2250000</v>
      </c>
      <c r="H37" s="186" t="s">
        <v>305</v>
      </c>
      <c r="I37" s="182" t="s">
        <v>403</v>
      </c>
      <c r="M37" s="5"/>
    </row>
    <row r="38" spans="1:13">
      <c r="A38" s="13"/>
      <c r="B38" s="13" t="s">
        <v>302</v>
      </c>
      <c r="C38" s="27" t="s">
        <v>508</v>
      </c>
      <c r="D38" s="14">
        <v>3</v>
      </c>
      <c r="E38" s="14" t="s">
        <v>30</v>
      </c>
      <c r="F38" s="15">
        <v>750000</v>
      </c>
      <c r="G38" s="77">
        <v>2250000</v>
      </c>
      <c r="H38" s="186"/>
      <c r="I38" s="182"/>
      <c r="M38" s="5"/>
    </row>
    <row r="39" spans="1:13">
      <c r="A39" s="13"/>
      <c r="B39" s="13" t="s">
        <v>303</v>
      </c>
      <c r="C39" s="27" t="s">
        <v>508</v>
      </c>
      <c r="D39" s="14">
        <v>4</v>
      </c>
      <c r="E39" s="14" t="s">
        <v>30</v>
      </c>
      <c r="F39" s="15">
        <v>750000</v>
      </c>
      <c r="G39" s="77">
        <v>3000000</v>
      </c>
      <c r="H39" s="186"/>
      <c r="I39" s="182"/>
    </row>
    <row r="40" spans="1:13" ht="15.75" thickBot="1">
      <c r="A40" s="13"/>
      <c r="B40" s="13" t="s">
        <v>304</v>
      </c>
      <c r="C40" s="27" t="s">
        <v>508</v>
      </c>
      <c r="D40" s="14">
        <v>2</v>
      </c>
      <c r="E40" s="14" t="s">
        <v>30</v>
      </c>
      <c r="F40" s="15">
        <v>750000</v>
      </c>
      <c r="G40" s="77">
        <v>1500000</v>
      </c>
      <c r="H40" s="186"/>
      <c r="I40" s="182"/>
    </row>
    <row r="41" spans="1:13" ht="15.75" thickBot="1">
      <c r="A41" s="12">
        <v>44631</v>
      </c>
      <c r="B41" s="13" t="s">
        <v>306</v>
      </c>
      <c r="C41" s="14" t="s">
        <v>307</v>
      </c>
      <c r="D41" s="14">
        <v>1</v>
      </c>
      <c r="E41" s="14" t="s">
        <v>30</v>
      </c>
      <c r="F41" s="15">
        <v>1600000</v>
      </c>
      <c r="G41" s="77">
        <v>1600000</v>
      </c>
      <c r="H41" s="187">
        <v>1600000</v>
      </c>
      <c r="I41" s="182" t="s">
        <v>403</v>
      </c>
    </row>
    <row r="42" spans="1:13">
      <c r="A42" s="13"/>
      <c r="B42" s="13" t="s">
        <v>308</v>
      </c>
      <c r="C42" s="14" t="s">
        <v>15</v>
      </c>
      <c r="D42" s="14">
        <v>5</v>
      </c>
      <c r="E42" s="14" t="s">
        <v>30</v>
      </c>
      <c r="F42" s="15">
        <v>350000</v>
      </c>
      <c r="G42" s="77">
        <v>1750000</v>
      </c>
      <c r="H42" s="187"/>
      <c r="I42" s="182"/>
    </row>
    <row r="43" spans="1:13">
      <c r="A43" s="13"/>
      <c r="B43" s="13" t="s">
        <v>309</v>
      </c>
      <c r="C43" s="14" t="s">
        <v>15</v>
      </c>
      <c r="D43" s="14">
        <v>10</v>
      </c>
      <c r="E43" s="14" t="s">
        <v>30</v>
      </c>
      <c r="F43" s="15">
        <v>45000</v>
      </c>
      <c r="G43" s="77">
        <v>450000</v>
      </c>
      <c r="H43" s="186"/>
      <c r="I43" s="182"/>
    </row>
    <row r="44" spans="1:13">
      <c r="A44" s="13"/>
      <c r="B44" s="13" t="s">
        <v>310</v>
      </c>
      <c r="C44" s="14" t="s">
        <v>15</v>
      </c>
      <c r="D44" s="14">
        <v>11</v>
      </c>
      <c r="E44" s="14" t="s">
        <v>30</v>
      </c>
      <c r="F44" s="15">
        <v>10000</v>
      </c>
      <c r="G44" s="77">
        <v>110000</v>
      </c>
      <c r="H44" s="186"/>
      <c r="I44" s="182"/>
    </row>
    <row r="45" spans="1:13">
      <c r="A45" s="13"/>
      <c r="B45" s="13" t="s">
        <v>311</v>
      </c>
      <c r="C45" s="14" t="s">
        <v>15</v>
      </c>
      <c r="D45" s="14">
        <v>10</v>
      </c>
      <c r="E45" s="14" t="s">
        <v>30</v>
      </c>
      <c r="F45" s="15">
        <v>10000</v>
      </c>
      <c r="G45" s="77">
        <v>100000</v>
      </c>
      <c r="H45" s="186"/>
      <c r="I45" s="182"/>
    </row>
    <row r="46" spans="1:13">
      <c r="A46" s="13"/>
      <c r="B46" s="13" t="s">
        <v>312</v>
      </c>
      <c r="C46" s="14" t="s">
        <v>15</v>
      </c>
      <c r="D46" s="14">
        <v>5</v>
      </c>
      <c r="E46" s="14" t="s">
        <v>30</v>
      </c>
      <c r="F46" s="15">
        <v>85000</v>
      </c>
      <c r="G46" s="77">
        <v>425000</v>
      </c>
      <c r="H46" s="186"/>
      <c r="I46" s="182"/>
    </row>
    <row r="47" spans="1:13">
      <c r="A47" s="13"/>
      <c r="B47" s="13" t="s">
        <v>313</v>
      </c>
      <c r="C47" s="14" t="s">
        <v>15</v>
      </c>
      <c r="D47" s="14">
        <v>5</v>
      </c>
      <c r="E47" s="14" t="s">
        <v>30</v>
      </c>
      <c r="F47" s="15">
        <v>185000</v>
      </c>
      <c r="G47" s="77">
        <v>925000</v>
      </c>
      <c r="H47" s="186"/>
      <c r="I47" s="182"/>
    </row>
    <row r="48" spans="1:13">
      <c r="A48" s="13"/>
      <c r="B48" s="13" t="s">
        <v>314</v>
      </c>
      <c r="C48" s="14" t="s">
        <v>15</v>
      </c>
      <c r="D48" s="14">
        <v>10</v>
      </c>
      <c r="E48" s="14" t="s">
        <v>30</v>
      </c>
      <c r="F48" s="15">
        <v>115000</v>
      </c>
      <c r="G48" s="77">
        <v>1150000</v>
      </c>
      <c r="H48" s="186"/>
      <c r="I48" s="182" t="s">
        <v>400</v>
      </c>
    </row>
    <row r="49" spans="1:9">
      <c r="A49" s="13"/>
      <c r="B49" s="13" t="s">
        <v>315</v>
      </c>
      <c r="C49" s="14" t="s">
        <v>15</v>
      </c>
      <c r="D49" s="14">
        <v>5</v>
      </c>
      <c r="E49" s="14" t="s">
        <v>30</v>
      </c>
      <c r="F49" s="15">
        <v>115000</v>
      </c>
      <c r="G49" s="77">
        <v>575000</v>
      </c>
      <c r="H49" s="186" t="s">
        <v>324</v>
      </c>
      <c r="I49" s="182"/>
    </row>
    <row r="50" spans="1:9">
      <c r="A50" s="13"/>
      <c r="B50" s="13" t="s">
        <v>316</v>
      </c>
      <c r="C50" s="14" t="s">
        <v>15</v>
      </c>
      <c r="D50" s="14">
        <v>10</v>
      </c>
      <c r="E50" s="14" t="s">
        <v>30</v>
      </c>
      <c r="F50" s="15">
        <v>105000</v>
      </c>
      <c r="G50" s="77">
        <v>1050000</v>
      </c>
      <c r="H50" s="186"/>
      <c r="I50" s="182"/>
    </row>
    <row r="51" spans="1:9">
      <c r="A51" s="13"/>
      <c r="B51" s="13" t="s">
        <v>317</v>
      </c>
      <c r="C51" s="14" t="s">
        <v>15</v>
      </c>
      <c r="D51" s="14">
        <v>10</v>
      </c>
      <c r="E51" s="14" t="s">
        <v>30</v>
      </c>
      <c r="F51" s="15">
        <v>105000</v>
      </c>
      <c r="G51" s="77">
        <v>1050000</v>
      </c>
      <c r="H51" s="186"/>
      <c r="I51" s="182"/>
    </row>
    <row r="52" spans="1:9">
      <c r="A52" s="13"/>
      <c r="B52" s="13" t="s">
        <v>318</v>
      </c>
      <c r="C52" s="14" t="s">
        <v>15</v>
      </c>
      <c r="D52" s="14">
        <v>10</v>
      </c>
      <c r="E52" s="14" t="s">
        <v>30</v>
      </c>
      <c r="F52" s="15">
        <v>55000</v>
      </c>
      <c r="G52" s="77">
        <v>550000</v>
      </c>
      <c r="H52" s="186"/>
      <c r="I52" s="182"/>
    </row>
    <row r="53" spans="1:9">
      <c r="A53" s="13"/>
      <c r="B53" s="13" t="s">
        <v>319</v>
      </c>
      <c r="C53" s="14" t="s">
        <v>15</v>
      </c>
      <c r="D53" s="14">
        <v>5</v>
      </c>
      <c r="E53" s="14" t="s">
        <v>30</v>
      </c>
      <c r="F53" s="15">
        <v>55000</v>
      </c>
      <c r="G53" s="77">
        <v>275000</v>
      </c>
      <c r="H53" s="186"/>
      <c r="I53" s="182"/>
    </row>
    <row r="54" spans="1:9">
      <c r="A54" s="13"/>
      <c r="B54" s="13" t="s">
        <v>320</v>
      </c>
      <c r="C54" s="14" t="s">
        <v>15</v>
      </c>
      <c r="D54" s="14">
        <v>6</v>
      </c>
      <c r="E54" s="14" t="s">
        <v>30</v>
      </c>
      <c r="F54" s="15">
        <v>155000</v>
      </c>
      <c r="G54" s="77">
        <v>930000</v>
      </c>
      <c r="H54" s="186"/>
      <c r="I54" s="182"/>
    </row>
    <row r="55" spans="1:9">
      <c r="A55" s="13"/>
      <c r="B55" s="13" t="s">
        <v>321</v>
      </c>
      <c r="C55" s="14" t="s">
        <v>15</v>
      </c>
      <c r="D55" s="14">
        <v>6</v>
      </c>
      <c r="E55" s="14" t="s">
        <v>30</v>
      </c>
      <c r="F55" s="15">
        <v>165000</v>
      </c>
      <c r="G55" s="77">
        <v>990000</v>
      </c>
      <c r="H55" s="186"/>
      <c r="I55" s="182"/>
    </row>
    <row r="56" spans="1:9">
      <c r="A56" s="13"/>
      <c r="B56" s="13" t="s">
        <v>322</v>
      </c>
      <c r="C56" s="14" t="s">
        <v>15</v>
      </c>
      <c r="D56" s="14">
        <v>6</v>
      </c>
      <c r="E56" s="14" t="s">
        <v>30</v>
      </c>
      <c r="F56" s="15">
        <v>155000</v>
      </c>
      <c r="G56" s="77">
        <v>930000</v>
      </c>
      <c r="H56" s="186"/>
      <c r="I56" s="182"/>
    </row>
    <row r="57" spans="1:9" ht="15.75" thickBot="1">
      <c r="A57" s="13"/>
      <c r="B57" s="13" t="s">
        <v>323</v>
      </c>
      <c r="C57" s="14" t="s">
        <v>15</v>
      </c>
      <c r="D57" s="14">
        <v>6</v>
      </c>
      <c r="E57" s="14" t="s">
        <v>30</v>
      </c>
      <c r="F57" s="15">
        <v>165000</v>
      </c>
      <c r="G57" s="77">
        <v>990000</v>
      </c>
      <c r="H57" s="186"/>
      <c r="I57" s="182"/>
    </row>
    <row r="58" spans="1:9">
      <c r="A58" s="12">
        <v>44632</v>
      </c>
      <c r="B58" s="13" t="s">
        <v>325</v>
      </c>
      <c r="C58" s="14" t="s">
        <v>17</v>
      </c>
      <c r="D58" s="14">
        <v>2</v>
      </c>
      <c r="E58" s="14" t="s">
        <v>30</v>
      </c>
      <c r="F58" s="15">
        <v>790000</v>
      </c>
      <c r="G58" s="77">
        <v>1580000</v>
      </c>
      <c r="H58" s="187"/>
      <c r="I58" s="182"/>
    </row>
    <row r="59" spans="1:9">
      <c r="A59" s="13"/>
      <c r="B59" s="13" t="s">
        <v>326</v>
      </c>
      <c r="C59" s="14" t="s">
        <v>17</v>
      </c>
      <c r="D59" s="14">
        <v>1</v>
      </c>
      <c r="E59" s="14" t="s">
        <v>30</v>
      </c>
      <c r="F59" s="15">
        <v>790000</v>
      </c>
      <c r="G59" s="77">
        <v>790000</v>
      </c>
      <c r="H59" s="186"/>
      <c r="I59" s="182" t="s">
        <v>400</v>
      </c>
    </row>
    <row r="60" spans="1:9">
      <c r="A60" s="13"/>
      <c r="B60" s="13" t="s">
        <v>327</v>
      </c>
      <c r="C60" s="14" t="s">
        <v>17</v>
      </c>
      <c r="D60" s="14">
        <v>1</v>
      </c>
      <c r="E60" s="14" t="s">
        <v>30</v>
      </c>
      <c r="F60" s="15">
        <v>790000</v>
      </c>
      <c r="G60" s="77">
        <v>790000</v>
      </c>
      <c r="H60" s="186" t="s">
        <v>328</v>
      </c>
      <c r="I60" s="182"/>
    </row>
    <row r="61" spans="1:9" ht="15.75" thickBot="1">
      <c r="A61" s="13"/>
      <c r="B61" s="13" t="s">
        <v>329</v>
      </c>
      <c r="C61" s="14" t="s">
        <v>17</v>
      </c>
      <c r="D61" s="14">
        <v>1</v>
      </c>
      <c r="E61" s="14" t="s">
        <v>30</v>
      </c>
      <c r="F61" s="15">
        <v>790000</v>
      </c>
      <c r="G61" s="77">
        <v>790000</v>
      </c>
      <c r="H61" s="186"/>
      <c r="I61" s="182"/>
    </row>
    <row r="62" spans="1:9" ht="15.75" thickBot="1">
      <c r="A62" s="13"/>
      <c r="B62" s="13" t="s">
        <v>928</v>
      </c>
      <c r="C62" s="14" t="s">
        <v>21</v>
      </c>
      <c r="D62" s="14">
        <v>2</v>
      </c>
      <c r="E62" s="14" t="s">
        <v>49</v>
      </c>
      <c r="F62" s="15">
        <v>1200000</v>
      </c>
      <c r="G62" s="77">
        <v>2400000</v>
      </c>
      <c r="H62" s="306" t="s">
        <v>927</v>
      </c>
      <c r="I62" s="182"/>
    </row>
    <row r="63" spans="1:9">
      <c r="A63" s="12">
        <v>44634</v>
      </c>
      <c r="B63" s="13" t="s">
        <v>330</v>
      </c>
      <c r="C63" s="14" t="s">
        <v>17</v>
      </c>
      <c r="D63" s="14">
        <v>1</v>
      </c>
      <c r="E63" s="14" t="s">
        <v>30</v>
      </c>
      <c r="F63" s="15">
        <v>790000</v>
      </c>
      <c r="G63" s="77">
        <v>790000</v>
      </c>
      <c r="H63" s="187"/>
      <c r="I63" s="182"/>
    </row>
    <row r="64" spans="1:9">
      <c r="A64" s="13"/>
      <c r="B64" s="13" t="s">
        <v>331</v>
      </c>
      <c r="C64" s="14" t="s">
        <v>17</v>
      </c>
      <c r="D64" s="14">
        <v>1</v>
      </c>
      <c r="E64" s="14" t="s">
        <v>30</v>
      </c>
      <c r="F64" s="15">
        <v>790000</v>
      </c>
      <c r="G64" s="77">
        <v>790000</v>
      </c>
      <c r="H64" s="186"/>
      <c r="I64" s="182"/>
    </row>
    <row r="65" spans="1:9">
      <c r="A65" s="13"/>
      <c r="B65" s="13" t="s">
        <v>326</v>
      </c>
      <c r="C65" s="14" t="s">
        <v>17</v>
      </c>
      <c r="D65" s="14">
        <v>3</v>
      </c>
      <c r="E65" s="14" t="s">
        <v>30</v>
      </c>
      <c r="F65" s="15">
        <v>790000</v>
      </c>
      <c r="G65" s="77">
        <v>2370000</v>
      </c>
      <c r="H65" s="186"/>
      <c r="I65" s="182"/>
    </row>
    <row r="66" spans="1:9">
      <c r="A66" s="13"/>
      <c r="B66" s="13" t="s">
        <v>332</v>
      </c>
      <c r="C66" s="14" t="s">
        <v>17</v>
      </c>
      <c r="D66" s="14">
        <v>1</v>
      </c>
      <c r="E66" s="14" t="s">
        <v>30</v>
      </c>
      <c r="F66" s="15">
        <v>790000</v>
      </c>
      <c r="G66" s="77">
        <v>790000</v>
      </c>
      <c r="H66" s="186"/>
      <c r="I66" s="182"/>
    </row>
    <row r="67" spans="1:9">
      <c r="A67" s="13"/>
      <c r="B67" s="13" t="s">
        <v>333</v>
      </c>
      <c r="C67" s="14" t="s">
        <v>17</v>
      </c>
      <c r="D67" s="14">
        <v>2</v>
      </c>
      <c r="E67" s="14" t="s">
        <v>30</v>
      </c>
      <c r="F67" s="15">
        <v>790000</v>
      </c>
      <c r="G67" s="77">
        <v>1580000</v>
      </c>
      <c r="H67" s="186" t="s">
        <v>337</v>
      </c>
      <c r="I67" s="182" t="s">
        <v>400</v>
      </c>
    </row>
    <row r="68" spans="1:9">
      <c r="A68" s="13"/>
      <c r="B68" s="13" t="s">
        <v>334</v>
      </c>
      <c r="C68" s="14" t="s">
        <v>17</v>
      </c>
      <c r="D68" s="14">
        <v>2</v>
      </c>
      <c r="E68" s="14" t="s">
        <v>30</v>
      </c>
      <c r="F68" s="15">
        <v>790000</v>
      </c>
      <c r="G68" s="77">
        <v>1580000</v>
      </c>
      <c r="H68" s="186"/>
      <c r="I68" s="182"/>
    </row>
    <row r="69" spans="1:9">
      <c r="A69" s="13"/>
      <c r="B69" s="13" t="s">
        <v>335</v>
      </c>
      <c r="C69" s="14" t="s">
        <v>17</v>
      </c>
      <c r="D69" s="14">
        <v>2</v>
      </c>
      <c r="E69" s="14" t="s">
        <v>30</v>
      </c>
      <c r="F69" s="15">
        <v>790000</v>
      </c>
      <c r="G69" s="77">
        <v>1580000</v>
      </c>
      <c r="H69" s="186"/>
      <c r="I69" s="182"/>
    </row>
    <row r="70" spans="1:9" ht="15.75" thickBot="1">
      <c r="A70" s="13"/>
      <c r="B70" s="13" t="s">
        <v>336</v>
      </c>
      <c r="C70" s="14" t="s">
        <v>17</v>
      </c>
      <c r="D70" s="14">
        <v>1</v>
      </c>
      <c r="E70" s="14" t="s">
        <v>30</v>
      </c>
      <c r="F70" s="15">
        <v>790000</v>
      </c>
      <c r="G70" s="77">
        <v>790000</v>
      </c>
      <c r="H70" s="186"/>
      <c r="I70" s="182"/>
    </row>
    <row r="71" spans="1:9">
      <c r="A71" s="12">
        <v>44635</v>
      </c>
      <c r="B71" s="13" t="s">
        <v>339</v>
      </c>
      <c r="C71" s="14" t="s">
        <v>17</v>
      </c>
      <c r="D71" s="14">
        <v>4</v>
      </c>
      <c r="E71" s="14" t="s">
        <v>30</v>
      </c>
      <c r="F71" s="15">
        <v>795000</v>
      </c>
      <c r="G71" s="77">
        <v>3180000</v>
      </c>
      <c r="H71" s="187"/>
      <c r="I71" s="182"/>
    </row>
    <row r="72" spans="1:9">
      <c r="A72" s="13"/>
      <c r="B72" s="13" t="s">
        <v>340</v>
      </c>
      <c r="C72" s="14" t="s">
        <v>17</v>
      </c>
      <c r="D72" s="14">
        <v>4</v>
      </c>
      <c r="E72" s="14" t="s">
        <v>30</v>
      </c>
      <c r="F72" s="15">
        <v>795000</v>
      </c>
      <c r="G72" s="77">
        <v>3180000</v>
      </c>
      <c r="H72" s="186" t="s">
        <v>342</v>
      </c>
      <c r="I72" s="182" t="s">
        <v>400</v>
      </c>
    </row>
    <row r="73" spans="1:9" ht="15.75" thickBot="1">
      <c r="A73" s="13"/>
      <c r="B73" s="13" t="s">
        <v>341</v>
      </c>
      <c r="C73" s="14" t="s">
        <v>17</v>
      </c>
      <c r="D73" s="14">
        <v>4</v>
      </c>
      <c r="E73" s="14" t="s">
        <v>30</v>
      </c>
      <c r="F73" s="15">
        <v>795000</v>
      </c>
      <c r="G73" s="77">
        <v>3180000</v>
      </c>
      <c r="H73" s="186"/>
      <c r="I73" s="182"/>
    </row>
    <row r="74" spans="1:9">
      <c r="A74" s="13"/>
      <c r="B74" s="13" t="s">
        <v>343</v>
      </c>
      <c r="C74" s="14" t="s">
        <v>17</v>
      </c>
      <c r="D74" s="14">
        <v>12</v>
      </c>
      <c r="E74" s="14" t="s">
        <v>30</v>
      </c>
      <c r="F74" s="15">
        <v>150000</v>
      </c>
      <c r="G74" s="77">
        <v>1950000</v>
      </c>
      <c r="H74" s="187" t="s">
        <v>347</v>
      </c>
      <c r="I74" s="182" t="s">
        <v>400</v>
      </c>
    </row>
    <row r="75" spans="1:9" ht="15.75" thickBot="1">
      <c r="A75" s="13"/>
      <c r="B75" s="13" t="s">
        <v>344</v>
      </c>
      <c r="C75" s="14" t="s">
        <v>17</v>
      </c>
      <c r="D75" s="14">
        <v>5</v>
      </c>
      <c r="E75" s="14" t="s">
        <v>30</v>
      </c>
      <c r="F75" s="15">
        <v>225000</v>
      </c>
      <c r="G75" s="77">
        <v>1125000</v>
      </c>
      <c r="H75" s="188"/>
      <c r="I75" s="182"/>
    </row>
    <row r="76" spans="1:9" ht="15.75" thickBot="1">
      <c r="A76" s="13"/>
      <c r="B76" s="13" t="s">
        <v>119</v>
      </c>
      <c r="C76" s="14" t="s">
        <v>345</v>
      </c>
      <c r="D76" s="14">
        <v>150</v>
      </c>
      <c r="E76" s="14" t="s">
        <v>30</v>
      </c>
      <c r="F76" s="15">
        <v>18000</v>
      </c>
      <c r="G76" s="77">
        <v>2700000</v>
      </c>
      <c r="H76" s="186" t="s">
        <v>346</v>
      </c>
      <c r="I76" s="182" t="s">
        <v>563</v>
      </c>
    </row>
    <row r="77" spans="1:9">
      <c r="A77" s="12">
        <v>44637</v>
      </c>
      <c r="B77" s="13" t="s">
        <v>348</v>
      </c>
      <c r="C77" s="14" t="s">
        <v>508</v>
      </c>
      <c r="D77" s="14">
        <v>5</v>
      </c>
      <c r="E77" s="14" t="s">
        <v>30</v>
      </c>
      <c r="F77" s="15">
        <v>750000</v>
      </c>
      <c r="G77" s="77">
        <v>3750000</v>
      </c>
      <c r="H77" s="187"/>
      <c r="I77" s="182"/>
    </row>
    <row r="78" spans="1:9">
      <c r="A78" s="13"/>
      <c r="B78" s="13" t="s">
        <v>304</v>
      </c>
      <c r="C78" s="14" t="s">
        <v>508</v>
      </c>
      <c r="D78" s="14">
        <v>1</v>
      </c>
      <c r="E78" s="14" t="s">
        <v>30</v>
      </c>
      <c r="F78" s="15">
        <v>750000</v>
      </c>
      <c r="G78" s="77">
        <v>750000</v>
      </c>
      <c r="H78" s="186" t="s">
        <v>352</v>
      </c>
      <c r="I78" s="182" t="s">
        <v>403</v>
      </c>
    </row>
    <row r="79" spans="1:9">
      <c r="A79" s="13"/>
      <c r="B79" s="13" t="s">
        <v>349</v>
      </c>
      <c r="C79" s="14" t="s">
        <v>508</v>
      </c>
      <c r="D79" s="14">
        <v>2</v>
      </c>
      <c r="E79" s="14" t="s">
        <v>30</v>
      </c>
      <c r="F79" s="15">
        <v>750000</v>
      </c>
      <c r="G79" s="77">
        <v>1500000</v>
      </c>
      <c r="H79" s="186"/>
      <c r="I79" s="182"/>
    </row>
    <row r="80" spans="1:9">
      <c r="A80" s="13"/>
      <c r="B80" s="13" t="s">
        <v>350</v>
      </c>
      <c r="C80" s="14" t="s">
        <v>508</v>
      </c>
      <c r="D80" s="14">
        <v>20</v>
      </c>
      <c r="E80" s="14" t="s">
        <v>30</v>
      </c>
      <c r="F80" s="15">
        <v>55000</v>
      </c>
      <c r="G80" s="77">
        <v>1100000</v>
      </c>
      <c r="H80" s="186"/>
      <c r="I80" s="182"/>
    </row>
    <row r="81" spans="1:9" ht="15.75" thickBot="1">
      <c r="A81" s="13"/>
      <c r="B81" s="13" t="s">
        <v>351</v>
      </c>
      <c r="C81" s="14" t="s">
        <v>508</v>
      </c>
      <c r="D81" s="14">
        <v>5</v>
      </c>
      <c r="E81" s="14" t="s">
        <v>30</v>
      </c>
      <c r="F81" s="15">
        <v>175000</v>
      </c>
      <c r="G81" s="77">
        <v>875000</v>
      </c>
      <c r="H81" s="188"/>
      <c r="I81" s="182"/>
    </row>
    <row r="82" spans="1:9" ht="15.75" thickBot="1">
      <c r="A82" s="12">
        <v>44638</v>
      </c>
      <c r="B82" s="13" t="s">
        <v>353</v>
      </c>
      <c r="C82" s="13" t="s">
        <v>355</v>
      </c>
      <c r="D82" s="14">
        <v>10</v>
      </c>
      <c r="E82" s="14" t="s">
        <v>30</v>
      </c>
      <c r="F82" s="15">
        <v>1200000</v>
      </c>
      <c r="G82" s="77">
        <v>12000000</v>
      </c>
      <c r="H82" s="187" t="s">
        <v>354</v>
      </c>
      <c r="I82" s="182" t="s">
        <v>106</v>
      </c>
    </row>
    <row r="83" spans="1:9" ht="15.75" thickBot="1">
      <c r="A83" s="12">
        <v>44641</v>
      </c>
      <c r="B83" s="13" t="s">
        <v>356</v>
      </c>
      <c r="C83" s="13" t="s">
        <v>355</v>
      </c>
      <c r="D83" s="14">
        <v>2</v>
      </c>
      <c r="E83" s="14" t="s">
        <v>49</v>
      </c>
      <c r="F83" s="15">
        <v>7000000</v>
      </c>
      <c r="G83" s="77">
        <v>14000000</v>
      </c>
      <c r="H83" s="187" t="s">
        <v>360</v>
      </c>
      <c r="I83" s="182" t="s">
        <v>106</v>
      </c>
    </row>
    <row r="84" spans="1:9">
      <c r="A84" s="13"/>
      <c r="B84" s="13" t="s">
        <v>335</v>
      </c>
      <c r="C84" s="14" t="s">
        <v>17</v>
      </c>
      <c r="D84" s="14">
        <v>2</v>
      </c>
      <c r="E84" s="14" t="s">
        <v>30</v>
      </c>
      <c r="F84" s="15">
        <v>790000</v>
      </c>
      <c r="G84" s="77">
        <v>1580000</v>
      </c>
      <c r="H84" s="187"/>
      <c r="I84" s="182" t="s">
        <v>400</v>
      </c>
    </row>
    <row r="85" spans="1:9" ht="15.75" thickBot="1">
      <c r="A85" s="13"/>
      <c r="B85" s="13" t="s">
        <v>357</v>
      </c>
      <c r="C85" s="14" t="s">
        <v>17</v>
      </c>
      <c r="D85" s="14">
        <v>1</v>
      </c>
      <c r="E85" s="14" t="s">
        <v>30</v>
      </c>
      <c r="F85" s="15">
        <v>790000</v>
      </c>
      <c r="G85" s="77">
        <v>790000</v>
      </c>
      <c r="H85" s="186" t="s">
        <v>405</v>
      </c>
      <c r="I85" s="182"/>
    </row>
    <row r="86" spans="1:9">
      <c r="A86" s="13"/>
      <c r="B86" s="13" t="s">
        <v>358</v>
      </c>
      <c r="C86" s="14" t="s">
        <v>15</v>
      </c>
      <c r="D86" s="14">
        <v>10</v>
      </c>
      <c r="E86" s="14" t="s">
        <v>30</v>
      </c>
      <c r="F86" s="15">
        <v>420000</v>
      </c>
      <c r="G86" s="77">
        <v>4200000</v>
      </c>
      <c r="H86" s="187"/>
      <c r="I86" s="182" t="s">
        <v>191</v>
      </c>
    </row>
    <row r="87" spans="1:9" ht="15.75" thickBot="1">
      <c r="A87" s="13"/>
      <c r="B87" s="13" t="s">
        <v>359</v>
      </c>
      <c r="C87" s="14" t="s">
        <v>15</v>
      </c>
      <c r="D87" s="14">
        <v>10</v>
      </c>
      <c r="E87" s="14" t="s">
        <v>30</v>
      </c>
      <c r="F87" s="15">
        <v>420000</v>
      </c>
      <c r="G87" s="77">
        <v>4200000</v>
      </c>
      <c r="H87" s="188" t="s">
        <v>440</v>
      </c>
      <c r="I87" s="182"/>
    </row>
    <row r="88" spans="1:9">
      <c r="A88" s="13"/>
      <c r="B88" s="13" t="s">
        <v>361</v>
      </c>
      <c r="C88" s="14" t="s">
        <v>140</v>
      </c>
      <c r="D88" s="14">
        <v>5</v>
      </c>
      <c r="E88" s="14" t="s">
        <v>30</v>
      </c>
      <c r="F88" s="15">
        <v>300000</v>
      </c>
      <c r="G88" s="77">
        <v>1500000</v>
      </c>
      <c r="H88" s="186"/>
      <c r="I88" s="182"/>
    </row>
    <row r="89" spans="1:9">
      <c r="A89" s="13"/>
      <c r="B89" s="13" t="s">
        <v>362</v>
      </c>
      <c r="C89" s="14" t="s">
        <v>140</v>
      </c>
      <c r="D89" s="14">
        <v>5</v>
      </c>
      <c r="E89" s="14" t="s">
        <v>30</v>
      </c>
      <c r="F89" s="15">
        <v>275000</v>
      </c>
      <c r="G89" s="77">
        <v>1375000</v>
      </c>
      <c r="H89" s="186"/>
      <c r="I89" s="182"/>
    </row>
    <row r="90" spans="1:9">
      <c r="A90" s="13"/>
      <c r="B90" s="13" t="s">
        <v>363</v>
      </c>
      <c r="C90" s="14" t="s">
        <v>140</v>
      </c>
      <c r="D90" s="14">
        <v>3</v>
      </c>
      <c r="E90" s="14" t="s">
        <v>30</v>
      </c>
      <c r="F90" s="15">
        <v>300000</v>
      </c>
      <c r="G90" s="77">
        <v>900000</v>
      </c>
      <c r="H90" s="186"/>
      <c r="I90" s="182"/>
    </row>
    <row r="91" spans="1:9">
      <c r="A91" s="13"/>
      <c r="B91" s="13" t="s">
        <v>364</v>
      </c>
      <c r="C91" s="14" t="s">
        <v>140</v>
      </c>
      <c r="D91" s="14">
        <v>2</v>
      </c>
      <c r="E91" s="14" t="s">
        <v>30</v>
      </c>
      <c r="F91" s="15">
        <v>200000</v>
      </c>
      <c r="G91" s="77">
        <v>400000</v>
      </c>
      <c r="H91" s="186"/>
      <c r="I91" s="182"/>
    </row>
    <row r="92" spans="1:9">
      <c r="A92" s="13"/>
      <c r="B92" s="13" t="s">
        <v>365</v>
      </c>
      <c r="C92" s="14" t="s">
        <v>140</v>
      </c>
      <c r="D92" s="14">
        <v>5</v>
      </c>
      <c r="E92" s="14" t="s">
        <v>30</v>
      </c>
      <c r="F92" s="15">
        <v>300000</v>
      </c>
      <c r="G92" s="77">
        <v>1500000</v>
      </c>
      <c r="H92" s="186"/>
      <c r="I92" s="182"/>
    </row>
    <row r="93" spans="1:9">
      <c r="A93" s="13"/>
      <c r="B93" s="13" t="s">
        <v>366</v>
      </c>
      <c r="C93" s="14" t="s">
        <v>140</v>
      </c>
      <c r="D93" s="14">
        <v>5</v>
      </c>
      <c r="E93" s="14" t="s">
        <v>30</v>
      </c>
      <c r="F93" s="15">
        <v>300000</v>
      </c>
      <c r="G93" s="77">
        <v>1500000</v>
      </c>
      <c r="H93" s="186"/>
      <c r="I93" s="182"/>
    </row>
    <row r="94" spans="1:9">
      <c r="A94" s="13"/>
      <c r="B94" s="13" t="s">
        <v>367</v>
      </c>
      <c r="C94" s="14" t="s">
        <v>140</v>
      </c>
      <c r="D94" s="14">
        <v>5</v>
      </c>
      <c r="E94" s="14" t="s">
        <v>30</v>
      </c>
      <c r="F94" s="15">
        <v>300000</v>
      </c>
      <c r="G94" s="77">
        <v>1500000</v>
      </c>
      <c r="H94" s="186"/>
      <c r="I94" s="182"/>
    </row>
    <row r="95" spans="1:9" ht="15.75" thickBot="1">
      <c r="A95" s="13"/>
      <c r="B95" s="13" t="s">
        <v>368</v>
      </c>
      <c r="C95" s="14" t="s">
        <v>140</v>
      </c>
      <c r="D95" s="14">
        <v>5</v>
      </c>
      <c r="E95" s="14" t="s">
        <v>30</v>
      </c>
      <c r="F95" s="15">
        <v>200000</v>
      </c>
      <c r="G95" s="77">
        <v>1000000</v>
      </c>
      <c r="H95" s="186"/>
      <c r="I95" s="182"/>
    </row>
    <row r="96" spans="1:9" ht="15.75" thickBot="1">
      <c r="A96" s="13"/>
      <c r="B96" s="307" t="s">
        <v>369</v>
      </c>
      <c r="C96" s="222" t="s">
        <v>140</v>
      </c>
      <c r="D96" s="222">
        <v>20</v>
      </c>
      <c r="E96" s="222" t="s">
        <v>30</v>
      </c>
      <c r="F96" s="308"/>
      <c r="G96" s="309"/>
      <c r="H96" s="379"/>
      <c r="I96" s="182"/>
    </row>
    <row r="97" spans="1:9">
      <c r="A97" s="13"/>
      <c r="B97" s="13" t="s">
        <v>370</v>
      </c>
      <c r="C97" s="14" t="s">
        <v>140</v>
      </c>
      <c r="D97" s="14">
        <v>5</v>
      </c>
      <c r="E97" s="14" t="s">
        <v>30</v>
      </c>
      <c r="F97" s="15">
        <v>100000</v>
      </c>
      <c r="G97" s="77">
        <v>500000</v>
      </c>
      <c r="H97" s="186"/>
      <c r="I97" s="182" t="s">
        <v>403</v>
      </c>
    </row>
    <row r="98" spans="1:9">
      <c r="A98" s="13"/>
      <c r="B98" s="13" t="s">
        <v>371</v>
      </c>
      <c r="C98" s="14" t="s">
        <v>140</v>
      </c>
      <c r="D98" s="14">
        <v>10</v>
      </c>
      <c r="E98" s="14" t="s">
        <v>30</v>
      </c>
      <c r="F98" s="15">
        <v>90000</v>
      </c>
      <c r="G98" s="77">
        <v>900000</v>
      </c>
      <c r="H98" s="186"/>
      <c r="I98" s="182"/>
    </row>
    <row r="99" spans="1:9">
      <c r="A99" s="13"/>
      <c r="B99" s="13" t="s">
        <v>372</v>
      </c>
      <c r="C99" s="14" t="s">
        <v>140</v>
      </c>
      <c r="D99" s="14">
        <v>10</v>
      </c>
      <c r="E99" s="14" t="s">
        <v>30</v>
      </c>
      <c r="F99" s="15">
        <v>100000</v>
      </c>
      <c r="G99" s="77">
        <v>1000000</v>
      </c>
      <c r="H99" s="186"/>
      <c r="I99" s="182"/>
    </row>
    <row r="100" spans="1:9">
      <c r="A100" s="13"/>
      <c r="B100" s="13" t="s">
        <v>373</v>
      </c>
      <c r="C100" s="14" t="s">
        <v>140</v>
      </c>
      <c r="D100" s="14">
        <v>5</v>
      </c>
      <c r="E100" s="14" t="s">
        <v>30</v>
      </c>
      <c r="F100" s="15">
        <v>175000</v>
      </c>
      <c r="G100" s="77">
        <v>875000</v>
      </c>
      <c r="H100" s="186"/>
      <c r="I100" s="182"/>
    </row>
    <row r="101" spans="1:9">
      <c r="A101" s="13"/>
      <c r="B101" s="13" t="s">
        <v>374</v>
      </c>
      <c r="C101" s="14" t="s">
        <v>140</v>
      </c>
      <c r="D101" s="14">
        <v>5</v>
      </c>
      <c r="E101" s="14" t="s">
        <v>30</v>
      </c>
      <c r="F101" s="15">
        <v>150000</v>
      </c>
      <c r="G101" s="77">
        <v>750000</v>
      </c>
      <c r="H101" s="186"/>
      <c r="I101" s="182"/>
    </row>
    <row r="102" spans="1:9">
      <c r="A102" s="13"/>
      <c r="B102" s="13" t="s">
        <v>375</v>
      </c>
      <c r="C102" s="14" t="s">
        <v>140</v>
      </c>
      <c r="D102" s="14">
        <v>9</v>
      </c>
      <c r="E102" s="14" t="s">
        <v>30</v>
      </c>
      <c r="F102" s="15">
        <v>140000</v>
      </c>
      <c r="G102" s="77">
        <v>1260000</v>
      </c>
      <c r="H102" s="186" t="s">
        <v>381</v>
      </c>
      <c r="I102" s="182"/>
    </row>
    <row r="103" spans="1:9">
      <c r="A103" s="13"/>
      <c r="B103" s="13" t="s">
        <v>376</v>
      </c>
      <c r="C103" s="14" t="s">
        <v>140</v>
      </c>
      <c r="D103" s="14">
        <v>7</v>
      </c>
      <c r="E103" s="14" t="s">
        <v>30</v>
      </c>
      <c r="F103" s="15">
        <v>160000</v>
      </c>
      <c r="G103" s="77">
        <v>1120000</v>
      </c>
      <c r="H103" s="186"/>
      <c r="I103" s="182"/>
    </row>
    <row r="104" spans="1:9">
      <c r="A104" s="13"/>
      <c r="B104" s="13" t="s">
        <v>377</v>
      </c>
      <c r="C104" s="14" t="s">
        <v>140</v>
      </c>
      <c r="D104" s="14">
        <v>10</v>
      </c>
      <c r="E104" s="14" t="s">
        <v>30</v>
      </c>
      <c r="F104" s="15">
        <v>125000</v>
      </c>
      <c r="G104" s="77">
        <v>1250000</v>
      </c>
      <c r="H104" s="186"/>
      <c r="I104" s="182"/>
    </row>
    <row r="105" spans="1:9">
      <c r="A105" s="13"/>
      <c r="B105" s="13" t="s">
        <v>378</v>
      </c>
      <c r="C105" s="14" t="s">
        <v>140</v>
      </c>
      <c r="D105" s="14">
        <v>10</v>
      </c>
      <c r="E105" s="14" t="s">
        <v>30</v>
      </c>
      <c r="F105" s="15">
        <v>125000</v>
      </c>
      <c r="G105" s="77">
        <v>1250000</v>
      </c>
      <c r="H105" s="186"/>
      <c r="I105" s="182"/>
    </row>
    <row r="106" spans="1:9">
      <c r="A106" s="13"/>
      <c r="B106" s="13" t="s">
        <v>379</v>
      </c>
      <c r="C106" s="14" t="s">
        <v>140</v>
      </c>
      <c r="D106" s="14">
        <v>5</v>
      </c>
      <c r="E106" s="14" t="s">
        <v>30</v>
      </c>
      <c r="F106" s="15">
        <v>125000</v>
      </c>
      <c r="G106" s="77">
        <v>625000</v>
      </c>
      <c r="H106" s="186"/>
      <c r="I106" s="182"/>
    </row>
    <row r="107" spans="1:9" ht="15.75" thickBot="1">
      <c r="A107" s="13"/>
      <c r="B107" s="13" t="s">
        <v>380</v>
      </c>
      <c r="C107" s="14" t="s">
        <v>140</v>
      </c>
      <c r="D107" s="14">
        <v>5</v>
      </c>
      <c r="E107" s="14" t="s">
        <v>30</v>
      </c>
      <c r="F107" s="15">
        <v>125000</v>
      </c>
      <c r="G107" s="77">
        <v>625000</v>
      </c>
      <c r="H107" s="186"/>
      <c r="I107" s="182"/>
    </row>
    <row r="108" spans="1:9">
      <c r="A108" s="12">
        <v>44642</v>
      </c>
      <c r="B108" s="13" t="s">
        <v>392</v>
      </c>
      <c r="C108" s="14" t="s">
        <v>273</v>
      </c>
      <c r="D108" s="14">
        <v>3</v>
      </c>
      <c r="E108" s="14" t="s">
        <v>30</v>
      </c>
      <c r="F108" s="15">
        <v>740000</v>
      </c>
      <c r="G108" s="77">
        <v>2220000</v>
      </c>
      <c r="H108" s="187" t="s">
        <v>601</v>
      </c>
      <c r="I108" s="182"/>
    </row>
    <row r="109" spans="1:9" ht="15.75" thickBot="1">
      <c r="A109" s="13"/>
      <c r="B109" s="13" t="s">
        <v>393</v>
      </c>
      <c r="C109" s="14" t="s">
        <v>273</v>
      </c>
      <c r="D109" s="14">
        <v>3</v>
      </c>
      <c r="E109" s="14" t="s">
        <v>30</v>
      </c>
      <c r="F109" s="15">
        <v>740000</v>
      </c>
      <c r="G109" s="77">
        <v>2220000</v>
      </c>
      <c r="H109" s="186"/>
      <c r="I109" s="182"/>
    </row>
    <row r="110" spans="1:9">
      <c r="A110" s="13"/>
      <c r="B110" s="13" t="s">
        <v>394</v>
      </c>
      <c r="C110" s="14" t="s">
        <v>15</v>
      </c>
      <c r="D110" s="14">
        <v>5</v>
      </c>
      <c r="E110" s="14" t="s">
        <v>30</v>
      </c>
      <c r="F110" s="15">
        <v>300000</v>
      </c>
      <c r="G110" s="77">
        <v>1500000</v>
      </c>
      <c r="H110" s="187"/>
      <c r="I110" s="182" t="s">
        <v>400</v>
      </c>
    </row>
    <row r="111" spans="1:9">
      <c r="A111" s="13"/>
      <c r="B111" s="13" t="s">
        <v>395</v>
      </c>
      <c r="C111" s="14" t="s">
        <v>15</v>
      </c>
      <c r="D111" s="14">
        <v>15</v>
      </c>
      <c r="E111" s="14" t="s">
        <v>30</v>
      </c>
      <c r="F111" s="15">
        <v>45000</v>
      </c>
      <c r="G111" s="77">
        <v>675000</v>
      </c>
      <c r="H111" s="186" t="s">
        <v>399</v>
      </c>
      <c r="I111" s="182"/>
    </row>
    <row r="112" spans="1:9">
      <c r="A112" s="13"/>
      <c r="B112" s="13" t="s">
        <v>396</v>
      </c>
      <c r="C112" s="14" t="s">
        <v>15</v>
      </c>
      <c r="D112" s="14">
        <v>20</v>
      </c>
      <c r="E112" s="14" t="s">
        <v>30</v>
      </c>
      <c r="F112" s="15">
        <v>45000</v>
      </c>
      <c r="G112" s="77">
        <v>900000</v>
      </c>
      <c r="H112" s="186"/>
      <c r="I112" s="182"/>
    </row>
    <row r="113" spans="1:9">
      <c r="A113" s="13"/>
      <c r="B113" s="103" t="s">
        <v>397</v>
      </c>
      <c r="C113" s="102" t="s">
        <v>15</v>
      </c>
      <c r="D113" s="102">
        <v>10</v>
      </c>
      <c r="E113" s="102" t="s">
        <v>30</v>
      </c>
      <c r="F113" s="227"/>
      <c r="G113" s="228"/>
      <c r="H113" s="229" t="s">
        <v>190</v>
      </c>
      <c r="I113" s="182"/>
    </row>
    <row r="114" spans="1:9" ht="15.75" thickBot="1">
      <c r="A114" s="13"/>
      <c r="B114" s="13" t="s">
        <v>398</v>
      </c>
      <c r="C114" s="14" t="s">
        <v>15</v>
      </c>
      <c r="D114" s="14">
        <v>10</v>
      </c>
      <c r="E114" s="14" t="s">
        <v>30</v>
      </c>
      <c r="F114" s="15">
        <v>85000</v>
      </c>
      <c r="G114" s="77">
        <v>850000</v>
      </c>
      <c r="H114" s="186"/>
      <c r="I114" s="182"/>
    </row>
    <row r="115" spans="1:9">
      <c r="A115" s="12">
        <v>44644</v>
      </c>
      <c r="B115" s="13" t="s">
        <v>408</v>
      </c>
      <c r="C115" s="14" t="s">
        <v>140</v>
      </c>
      <c r="D115" s="14">
        <v>3</v>
      </c>
      <c r="E115" s="14" t="s">
        <v>30</v>
      </c>
      <c r="F115" s="15">
        <v>135000</v>
      </c>
      <c r="G115" s="77">
        <v>405000</v>
      </c>
      <c r="H115" s="187"/>
      <c r="I115" s="182"/>
    </row>
    <row r="116" spans="1:9">
      <c r="A116" s="13"/>
      <c r="B116" s="13" t="s">
        <v>409</v>
      </c>
      <c r="C116" s="14" t="s">
        <v>140</v>
      </c>
      <c r="D116" s="14">
        <v>5</v>
      </c>
      <c r="E116" s="14" t="s">
        <v>30</v>
      </c>
      <c r="F116" s="15">
        <v>135000</v>
      </c>
      <c r="G116" s="77">
        <v>675000</v>
      </c>
      <c r="H116" s="186"/>
      <c r="I116" s="182"/>
    </row>
    <row r="117" spans="1:9">
      <c r="A117" s="13"/>
      <c r="B117" s="13" t="s">
        <v>410</v>
      </c>
      <c r="C117" s="14" t="s">
        <v>140</v>
      </c>
      <c r="D117" s="14">
        <v>3</v>
      </c>
      <c r="E117" s="14" t="s">
        <v>30</v>
      </c>
      <c r="F117" s="15">
        <v>150000</v>
      </c>
      <c r="G117" s="77">
        <v>450000</v>
      </c>
      <c r="H117" s="186"/>
      <c r="I117" s="182" t="s">
        <v>106</v>
      </c>
    </row>
    <row r="118" spans="1:9">
      <c r="A118" s="13"/>
      <c r="B118" s="13" t="s">
        <v>411</v>
      </c>
      <c r="C118" s="14" t="s">
        <v>140</v>
      </c>
      <c r="D118" s="14">
        <v>3</v>
      </c>
      <c r="E118" s="14" t="s">
        <v>30</v>
      </c>
      <c r="F118" s="15">
        <v>125000</v>
      </c>
      <c r="G118" s="77">
        <v>375000</v>
      </c>
      <c r="H118" s="186" t="s">
        <v>416</v>
      </c>
      <c r="I118" s="182"/>
    </row>
    <row r="119" spans="1:9">
      <c r="A119" s="13"/>
      <c r="B119" s="13" t="s">
        <v>412</v>
      </c>
      <c r="C119" s="14" t="s">
        <v>140</v>
      </c>
      <c r="D119" s="14">
        <v>3</v>
      </c>
      <c r="E119" s="14" t="s">
        <v>30</v>
      </c>
      <c r="F119" s="15">
        <v>135000</v>
      </c>
      <c r="G119" s="77">
        <v>405000</v>
      </c>
      <c r="H119" s="186"/>
      <c r="I119" s="182"/>
    </row>
    <row r="120" spans="1:9">
      <c r="A120" s="13"/>
      <c r="B120" s="13" t="s">
        <v>413</v>
      </c>
      <c r="C120" s="14" t="s">
        <v>140</v>
      </c>
      <c r="D120" s="14">
        <v>15</v>
      </c>
      <c r="E120" s="14" t="s">
        <v>30</v>
      </c>
      <c r="F120" s="15">
        <v>135000</v>
      </c>
      <c r="G120" s="77">
        <v>2025000</v>
      </c>
      <c r="H120" s="186"/>
      <c r="I120" s="182"/>
    </row>
    <row r="121" spans="1:9">
      <c r="A121" s="13"/>
      <c r="B121" s="13" t="s">
        <v>414</v>
      </c>
      <c r="C121" s="14" t="s">
        <v>140</v>
      </c>
      <c r="D121" s="14">
        <v>5</v>
      </c>
      <c r="E121" s="14" t="s">
        <v>30</v>
      </c>
      <c r="F121" s="15">
        <v>160000</v>
      </c>
      <c r="G121" s="77">
        <v>800000</v>
      </c>
      <c r="H121" s="186"/>
      <c r="I121" s="182"/>
    </row>
    <row r="122" spans="1:9" ht="15.75" thickBot="1">
      <c r="A122" s="13"/>
      <c r="B122" s="13" t="s">
        <v>415</v>
      </c>
      <c r="C122" s="14" t="s">
        <v>140</v>
      </c>
      <c r="D122" s="14">
        <v>5</v>
      </c>
      <c r="E122" s="14" t="s">
        <v>30</v>
      </c>
      <c r="F122" s="15">
        <v>135000</v>
      </c>
      <c r="G122" s="77">
        <v>675000</v>
      </c>
      <c r="H122" s="186"/>
      <c r="I122" s="182"/>
    </row>
    <row r="123" spans="1:9">
      <c r="A123" s="12">
        <v>44645</v>
      </c>
      <c r="B123" s="13" t="s">
        <v>417</v>
      </c>
      <c r="C123" s="14" t="s">
        <v>15</v>
      </c>
      <c r="D123" s="14">
        <v>5</v>
      </c>
      <c r="E123" s="14" t="s">
        <v>30</v>
      </c>
      <c r="F123" s="15">
        <v>45000</v>
      </c>
      <c r="G123" s="77">
        <v>225000</v>
      </c>
      <c r="H123" s="210"/>
      <c r="I123" s="182"/>
    </row>
    <row r="124" spans="1:9">
      <c r="A124" s="13"/>
      <c r="B124" s="13" t="s">
        <v>418</v>
      </c>
      <c r="C124" s="14" t="s">
        <v>15</v>
      </c>
      <c r="D124" s="14">
        <v>10</v>
      </c>
      <c r="E124" s="14" t="s">
        <v>30</v>
      </c>
      <c r="F124" s="15">
        <v>45000</v>
      </c>
      <c r="G124" s="77">
        <v>450000</v>
      </c>
      <c r="H124" s="211" t="s">
        <v>420</v>
      </c>
      <c r="I124" s="182" t="s">
        <v>106</v>
      </c>
    </row>
    <row r="125" spans="1:9" ht="15.75" thickBot="1">
      <c r="A125" s="13"/>
      <c r="B125" s="13" t="s">
        <v>419</v>
      </c>
      <c r="C125" s="14" t="s">
        <v>15</v>
      </c>
      <c r="D125" s="14">
        <v>10</v>
      </c>
      <c r="E125" s="14" t="s">
        <v>30</v>
      </c>
      <c r="F125" s="15">
        <v>45000</v>
      </c>
      <c r="G125" s="77">
        <v>450000</v>
      </c>
      <c r="H125" s="220"/>
      <c r="I125" s="182"/>
    </row>
    <row r="126" spans="1:9">
      <c r="A126" s="12">
        <v>44646</v>
      </c>
      <c r="B126" s="13" t="s">
        <v>422</v>
      </c>
      <c r="C126" s="14" t="s">
        <v>423</v>
      </c>
      <c r="D126" s="14">
        <v>2</v>
      </c>
      <c r="E126" s="14" t="s">
        <v>30</v>
      </c>
      <c r="F126" s="15">
        <v>30000</v>
      </c>
      <c r="G126" s="77">
        <v>60000</v>
      </c>
      <c r="H126" s="187"/>
      <c r="I126" s="182"/>
    </row>
    <row r="127" spans="1:9">
      <c r="A127" s="13"/>
      <c r="B127" s="13" t="s">
        <v>424</v>
      </c>
      <c r="C127" s="14" t="s">
        <v>423</v>
      </c>
      <c r="D127" s="14">
        <v>2</v>
      </c>
      <c r="E127" s="14" t="s">
        <v>30</v>
      </c>
      <c r="F127" s="15">
        <v>20000</v>
      </c>
      <c r="G127" s="77">
        <v>40000</v>
      </c>
      <c r="H127" s="186" t="s">
        <v>427</v>
      </c>
      <c r="I127" s="182" t="s">
        <v>749</v>
      </c>
    </row>
    <row r="128" spans="1:9">
      <c r="A128" s="13"/>
      <c r="B128" s="13" t="s">
        <v>425</v>
      </c>
      <c r="C128" s="14" t="s">
        <v>423</v>
      </c>
      <c r="D128" s="14">
        <v>10</v>
      </c>
      <c r="E128" s="14" t="s">
        <v>30</v>
      </c>
      <c r="F128" s="15">
        <v>12500</v>
      </c>
      <c r="G128" s="77">
        <v>125000</v>
      </c>
      <c r="H128" s="186"/>
      <c r="I128" s="182"/>
    </row>
    <row r="129" spans="1:9" ht="15.75" thickBot="1">
      <c r="A129" s="13"/>
      <c r="B129" s="13" t="s">
        <v>426</v>
      </c>
      <c r="C129" s="14" t="s">
        <v>423</v>
      </c>
      <c r="D129" s="14">
        <v>5</v>
      </c>
      <c r="E129" s="14" t="s">
        <v>30</v>
      </c>
      <c r="F129" s="15">
        <v>25000</v>
      </c>
      <c r="G129" s="77">
        <v>125000</v>
      </c>
      <c r="H129" s="186"/>
      <c r="I129" s="182"/>
    </row>
    <row r="130" spans="1:9" ht="15.75" thickBot="1">
      <c r="A130" s="12">
        <v>44649</v>
      </c>
      <c r="B130" s="13" t="s">
        <v>428</v>
      </c>
      <c r="C130" s="14" t="s">
        <v>15</v>
      </c>
      <c r="D130" s="14">
        <v>10</v>
      </c>
      <c r="E130" s="14" t="s">
        <v>30</v>
      </c>
      <c r="F130" s="15">
        <v>350000</v>
      </c>
      <c r="G130" s="77">
        <v>3500000</v>
      </c>
      <c r="H130" s="187" t="s">
        <v>429</v>
      </c>
      <c r="I130" s="182" t="s">
        <v>400</v>
      </c>
    </row>
    <row r="131" spans="1:9" ht="15.75" thickBot="1">
      <c r="A131" s="12">
        <v>44650</v>
      </c>
      <c r="B131" s="13" t="s">
        <v>430</v>
      </c>
      <c r="C131" s="14" t="s">
        <v>173</v>
      </c>
      <c r="D131" s="14">
        <v>2</v>
      </c>
      <c r="E131" s="14" t="s">
        <v>30</v>
      </c>
      <c r="F131" s="15">
        <v>2150000</v>
      </c>
      <c r="G131" s="77">
        <v>4300000</v>
      </c>
      <c r="H131" s="187" t="s">
        <v>431</v>
      </c>
      <c r="I131" s="182" t="s">
        <v>846</v>
      </c>
    </row>
    <row r="132" spans="1:9">
      <c r="A132" s="12">
        <v>44651</v>
      </c>
      <c r="B132" s="13" t="s">
        <v>432</v>
      </c>
      <c r="C132" s="14" t="s">
        <v>140</v>
      </c>
      <c r="D132" s="14">
        <v>5</v>
      </c>
      <c r="E132" s="14" t="s">
        <v>30</v>
      </c>
      <c r="F132" s="15">
        <v>275000</v>
      </c>
      <c r="G132" s="77">
        <v>1375000</v>
      </c>
      <c r="H132" s="187"/>
      <c r="I132" s="182"/>
    </row>
    <row r="133" spans="1:9">
      <c r="A133" s="13"/>
      <c r="B133" s="13" t="s">
        <v>433</v>
      </c>
      <c r="C133" s="14" t="s">
        <v>140</v>
      </c>
      <c r="D133" s="14">
        <v>5</v>
      </c>
      <c r="E133" s="14" t="s">
        <v>30</v>
      </c>
      <c r="F133" s="15">
        <v>300000</v>
      </c>
      <c r="G133" s="77">
        <v>1500000</v>
      </c>
      <c r="H133" s="186"/>
      <c r="I133" s="182"/>
    </row>
    <row r="134" spans="1:9">
      <c r="A134" s="13"/>
      <c r="B134" s="13" t="s">
        <v>434</v>
      </c>
      <c r="C134" s="14" t="s">
        <v>140</v>
      </c>
      <c r="D134" s="14">
        <v>5</v>
      </c>
      <c r="E134" s="14" t="s">
        <v>30</v>
      </c>
      <c r="F134" s="15">
        <v>250000</v>
      </c>
      <c r="G134" s="77">
        <v>1250000</v>
      </c>
      <c r="H134" s="186"/>
      <c r="I134" s="182" t="s">
        <v>400</v>
      </c>
    </row>
    <row r="135" spans="1:9">
      <c r="A135" s="13"/>
      <c r="B135" s="13" t="s">
        <v>435</v>
      </c>
      <c r="C135" s="14" t="s">
        <v>140</v>
      </c>
      <c r="D135" s="14">
        <v>5</v>
      </c>
      <c r="E135" s="14" t="s">
        <v>30</v>
      </c>
      <c r="F135" s="15">
        <v>135000</v>
      </c>
      <c r="G135" s="77">
        <v>675000</v>
      </c>
      <c r="H135" s="186"/>
      <c r="I135" s="182"/>
    </row>
    <row r="136" spans="1:9">
      <c r="A136" s="13"/>
      <c r="B136" s="13" t="s">
        <v>513</v>
      </c>
      <c r="C136" s="14" t="s">
        <v>140</v>
      </c>
      <c r="D136" s="14">
        <v>5</v>
      </c>
      <c r="E136" s="14" t="s">
        <v>30</v>
      </c>
      <c r="F136" s="15">
        <v>150000</v>
      </c>
      <c r="G136" s="77">
        <v>750000</v>
      </c>
      <c r="H136" s="186" t="s">
        <v>352</v>
      </c>
      <c r="I136" s="182"/>
    </row>
    <row r="137" spans="1:9">
      <c r="A137" s="13"/>
      <c r="B137" s="13" t="s">
        <v>436</v>
      </c>
      <c r="C137" s="14" t="s">
        <v>140</v>
      </c>
      <c r="D137" s="14">
        <v>5</v>
      </c>
      <c r="E137" s="14" t="s">
        <v>30</v>
      </c>
      <c r="F137" s="15">
        <v>135000</v>
      </c>
      <c r="G137" s="77">
        <v>675000</v>
      </c>
      <c r="H137" s="186"/>
      <c r="I137" s="182"/>
    </row>
    <row r="138" spans="1:9">
      <c r="A138" s="13"/>
      <c r="B138" s="13" t="s">
        <v>437</v>
      </c>
      <c r="C138" s="14" t="s">
        <v>140</v>
      </c>
      <c r="D138" s="14">
        <v>5</v>
      </c>
      <c r="E138" s="14" t="s">
        <v>30</v>
      </c>
      <c r="F138" s="15">
        <v>150000</v>
      </c>
      <c r="G138" s="77">
        <v>750000</v>
      </c>
      <c r="H138" s="186"/>
      <c r="I138" s="182"/>
    </row>
    <row r="139" spans="1:9">
      <c r="A139" s="13"/>
      <c r="B139" s="13" t="s">
        <v>438</v>
      </c>
      <c r="C139" s="14" t="s">
        <v>140</v>
      </c>
      <c r="D139" s="14">
        <v>5</v>
      </c>
      <c r="E139" s="14" t="s">
        <v>30</v>
      </c>
      <c r="F139" s="15">
        <v>100000</v>
      </c>
      <c r="G139" s="77">
        <v>500000</v>
      </c>
      <c r="H139" s="186"/>
      <c r="I139" s="182"/>
    </row>
    <row r="140" spans="1:9" ht="15.75" thickBot="1">
      <c r="A140" s="13"/>
      <c r="B140" s="13" t="s">
        <v>514</v>
      </c>
      <c r="C140" s="14" t="s">
        <v>140</v>
      </c>
      <c r="D140" s="14">
        <v>5</v>
      </c>
      <c r="E140" s="14" t="s">
        <v>30</v>
      </c>
      <c r="F140" s="15">
        <v>100000</v>
      </c>
      <c r="G140" s="77">
        <v>500000</v>
      </c>
      <c r="H140" s="188"/>
      <c r="I140" s="182"/>
    </row>
    <row r="141" spans="1:9">
      <c r="A141" s="13"/>
      <c r="B141" s="13"/>
      <c r="C141" s="13"/>
      <c r="D141" s="14"/>
      <c r="E141" s="14"/>
      <c r="F141" s="15"/>
      <c r="G141" s="15"/>
      <c r="H141" s="183"/>
      <c r="I141" s="13"/>
    </row>
    <row r="142" spans="1:9">
      <c r="A142" s="13"/>
      <c r="B142" s="13"/>
      <c r="C142" s="13"/>
      <c r="D142" s="13"/>
      <c r="E142" s="13"/>
      <c r="F142" s="15"/>
      <c r="G142" s="15"/>
      <c r="H142" s="15"/>
      <c r="I142" s="13"/>
    </row>
    <row r="143" spans="1:9">
      <c r="A143" s="13"/>
      <c r="B143" s="13"/>
      <c r="C143" s="13"/>
      <c r="D143" s="13"/>
      <c r="E143" s="13"/>
      <c r="F143" s="15"/>
      <c r="G143" s="15"/>
      <c r="H143" s="15"/>
      <c r="I143" s="13"/>
    </row>
    <row r="144" spans="1:9">
      <c r="A144" s="13"/>
      <c r="B144" s="13"/>
      <c r="C144" s="13"/>
      <c r="D144" s="13"/>
      <c r="E144" s="13"/>
      <c r="F144" s="15"/>
      <c r="G144" s="15"/>
      <c r="H144" s="15"/>
      <c r="I144" s="13"/>
    </row>
    <row r="145" spans="1:9">
      <c r="A145" s="13"/>
      <c r="B145" s="13"/>
      <c r="C145" s="13"/>
      <c r="D145" s="13"/>
      <c r="E145" s="13"/>
      <c r="F145" s="15"/>
      <c r="G145" s="15"/>
      <c r="H145" s="15"/>
      <c r="I145" s="13"/>
    </row>
    <row r="146" spans="1:9">
      <c r="A146" s="13"/>
      <c r="B146" s="13"/>
      <c r="C146" s="13"/>
      <c r="D146" s="13"/>
      <c r="E146" s="13"/>
      <c r="F146" s="15"/>
      <c r="G146" s="15"/>
      <c r="H146" s="15"/>
      <c r="I146" s="13"/>
    </row>
    <row r="147" spans="1:9">
      <c r="A147" s="13"/>
      <c r="B147" s="13"/>
      <c r="C147" s="13"/>
      <c r="D147" s="13"/>
      <c r="E147" s="13"/>
      <c r="F147" s="15"/>
      <c r="G147" s="15"/>
      <c r="H147" s="15"/>
      <c r="I147" s="13"/>
    </row>
    <row r="148" spans="1:9">
      <c r="A148" s="13"/>
      <c r="B148" s="13"/>
      <c r="C148" s="13"/>
      <c r="D148" s="13"/>
      <c r="E148" s="13"/>
      <c r="F148" s="15"/>
      <c r="G148" s="15"/>
      <c r="H148" s="15"/>
      <c r="I148" s="13"/>
    </row>
    <row r="149" spans="1:9">
      <c r="A149" s="13"/>
      <c r="B149" s="13"/>
      <c r="C149" s="13"/>
      <c r="D149" s="13"/>
      <c r="E149" s="13"/>
      <c r="F149" s="15"/>
      <c r="G149" s="15"/>
      <c r="H149" s="15"/>
      <c r="I149" s="13"/>
    </row>
    <row r="150" spans="1:9">
      <c r="A150" s="13"/>
      <c r="B150" s="13"/>
      <c r="C150" s="13"/>
      <c r="D150" s="13"/>
      <c r="E150" s="13"/>
      <c r="F150" s="15"/>
      <c r="G150" s="15"/>
      <c r="H150" s="15"/>
      <c r="I150" s="13"/>
    </row>
    <row r="151" spans="1:9">
      <c r="A151" s="13"/>
      <c r="B151" s="13"/>
      <c r="C151" s="13"/>
      <c r="D151" s="13"/>
      <c r="E151" s="13"/>
      <c r="F151" s="15"/>
      <c r="G151" s="15"/>
      <c r="H151" s="15"/>
      <c r="I151" s="13"/>
    </row>
    <row r="152" spans="1:9">
      <c r="A152" s="13"/>
      <c r="B152" s="13"/>
      <c r="C152" s="13"/>
      <c r="D152" s="13"/>
      <c r="E152" s="13"/>
      <c r="F152" s="15"/>
      <c r="G152" s="15"/>
      <c r="H152" s="15"/>
      <c r="I152" s="13"/>
    </row>
    <row r="153" spans="1:9">
      <c r="A153" s="13"/>
      <c r="B153" s="13"/>
      <c r="C153" s="13"/>
      <c r="D153" s="13"/>
      <c r="E153" s="13"/>
      <c r="F153" s="15"/>
      <c r="G153" s="15"/>
      <c r="H153" s="15"/>
      <c r="I153" s="13"/>
    </row>
    <row r="154" spans="1:9">
      <c r="A154" s="13"/>
      <c r="B154" s="13"/>
      <c r="C154" s="13"/>
      <c r="D154" s="13"/>
      <c r="E154" s="13"/>
      <c r="F154" s="15"/>
      <c r="G154" s="15"/>
      <c r="H154" s="15"/>
      <c r="I154" s="13"/>
    </row>
    <row r="155" spans="1:9">
      <c r="A155" s="13"/>
      <c r="B155" s="13"/>
      <c r="C155" s="13"/>
      <c r="D155" s="13"/>
      <c r="E155" s="13"/>
      <c r="F155" s="15"/>
      <c r="G155" s="15"/>
      <c r="H155" s="15"/>
      <c r="I155" s="13"/>
    </row>
    <row r="156" spans="1:9">
      <c r="A156" s="13"/>
      <c r="B156" s="13"/>
      <c r="C156" s="13"/>
      <c r="D156" s="13"/>
      <c r="E156" s="13"/>
      <c r="F156" s="15"/>
      <c r="G156" s="15"/>
      <c r="H156" s="15"/>
      <c r="I156" s="13"/>
    </row>
    <row r="157" spans="1:9">
      <c r="A157" s="13"/>
      <c r="B157" s="13"/>
      <c r="C157" s="13"/>
      <c r="D157" s="13"/>
      <c r="E157" s="13"/>
      <c r="F157" s="15"/>
      <c r="G157" s="15"/>
      <c r="H157" s="15"/>
      <c r="I157" s="13"/>
    </row>
    <row r="158" spans="1:9">
      <c r="A158" s="13"/>
      <c r="B158" s="13"/>
      <c r="C158" s="13"/>
      <c r="D158" s="13"/>
      <c r="E158" s="13"/>
      <c r="F158" s="15"/>
      <c r="G158" s="15"/>
      <c r="H158" s="15"/>
      <c r="I158" s="13"/>
    </row>
    <row r="159" spans="1:9">
      <c r="A159" s="13"/>
      <c r="B159" s="13"/>
      <c r="C159" s="13"/>
      <c r="D159" s="13"/>
      <c r="E159" s="13"/>
      <c r="F159" s="15"/>
      <c r="G159" s="15"/>
      <c r="H159" s="15"/>
      <c r="I159" s="13"/>
    </row>
    <row r="160" spans="1:9">
      <c r="A160" s="13"/>
      <c r="B160" s="13"/>
      <c r="C160" s="13"/>
      <c r="D160" s="13"/>
      <c r="E160" s="13"/>
      <c r="F160" s="15"/>
      <c r="G160" s="15"/>
      <c r="H160" s="15"/>
      <c r="I160" s="13"/>
    </row>
    <row r="161" spans="1:9">
      <c r="A161" s="13"/>
      <c r="B161" s="13"/>
      <c r="C161" s="13"/>
      <c r="D161" s="13"/>
      <c r="E161" s="13"/>
      <c r="F161" s="15"/>
      <c r="G161" s="15"/>
      <c r="H161" s="15"/>
      <c r="I161" s="13"/>
    </row>
    <row r="162" spans="1:9">
      <c r="A162" s="13"/>
      <c r="B162" s="13"/>
      <c r="C162" s="13"/>
      <c r="D162" s="13"/>
      <c r="E162" s="13"/>
      <c r="F162" s="15"/>
      <c r="G162" s="15"/>
      <c r="H162" s="15"/>
      <c r="I162" s="1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74"/>
  <sheetViews>
    <sheetView topLeftCell="A55" workbookViewId="0">
      <selection activeCell="J20" sqref="J20"/>
    </sheetView>
  </sheetViews>
  <sheetFormatPr defaultRowHeight="15"/>
  <cols>
    <col min="2" max="2" width="35.85546875" customWidth="1"/>
    <col min="3" max="3" width="16.42578125" customWidth="1"/>
    <col min="4" max="4" width="10.85546875" customWidth="1"/>
    <col min="6" max="6" width="15.28515625" customWidth="1"/>
    <col min="7" max="7" width="17.85546875" customWidth="1"/>
    <col min="8" max="8" width="15.7109375" customWidth="1"/>
    <col min="9" max="9" width="12.5703125" customWidth="1"/>
    <col min="12" max="12" width="11.5703125" customWidth="1"/>
    <col min="13" max="13" width="14.28515625" customWidth="1"/>
    <col min="14" max="14" width="15.140625" customWidth="1"/>
    <col min="15" max="15" width="26.42578125" customWidth="1"/>
  </cols>
  <sheetData>
    <row r="1" spans="1:15">
      <c r="A1" s="1" t="s">
        <v>0</v>
      </c>
      <c r="C1" s="2"/>
      <c r="D1" s="2"/>
      <c r="E1" s="2"/>
      <c r="F1" s="3"/>
      <c r="G1" s="3"/>
      <c r="H1" s="3"/>
      <c r="K1" s="4" t="s">
        <v>19</v>
      </c>
      <c r="L1" s="5"/>
      <c r="M1" s="5"/>
      <c r="N1" s="3"/>
    </row>
    <row r="2" spans="1:15" ht="45.75" thickBot="1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9" t="s">
        <v>7</v>
      </c>
      <c r="H2" s="176" t="s">
        <v>8</v>
      </c>
      <c r="I2" s="7" t="s">
        <v>9</v>
      </c>
      <c r="K2" s="10" t="s">
        <v>10</v>
      </c>
      <c r="L2" s="11" t="s">
        <v>11</v>
      </c>
      <c r="M2" s="6" t="s">
        <v>12</v>
      </c>
      <c r="N2" s="9" t="s">
        <v>13</v>
      </c>
      <c r="O2" s="7" t="s">
        <v>9</v>
      </c>
    </row>
    <row r="3" spans="1:15" ht="15.75" thickBot="1">
      <c r="A3" s="12">
        <v>44652</v>
      </c>
      <c r="B3" s="13" t="s">
        <v>439</v>
      </c>
      <c r="C3" s="14" t="s">
        <v>307</v>
      </c>
      <c r="D3" s="14">
        <v>10</v>
      </c>
      <c r="E3" s="14" t="s">
        <v>30</v>
      </c>
      <c r="F3" s="15">
        <v>59000</v>
      </c>
      <c r="G3" s="77">
        <v>590000</v>
      </c>
      <c r="H3" s="177">
        <v>590000</v>
      </c>
      <c r="I3" s="175" t="s">
        <v>400</v>
      </c>
      <c r="J3" s="17"/>
      <c r="K3" s="159">
        <v>1</v>
      </c>
      <c r="L3" s="160">
        <v>44536</v>
      </c>
      <c r="M3" s="161" t="s">
        <v>15</v>
      </c>
      <c r="N3" s="162">
        <v>9265000</v>
      </c>
      <c r="O3" s="163" t="s">
        <v>256</v>
      </c>
    </row>
    <row r="4" spans="1:15">
      <c r="A4" s="12">
        <v>44656</v>
      </c>
      <c r="B4" s="13" t="s">
        <v>441</v>
      </c>
      <c r="C4" s="14" t="s">
        <v>17</v>
      </c>
      <c r="D4" s="14">
        <v>2</v>
      </c>
      <c r="E4" s="14" t="s">
        <v>30</v>
      </c>
      <c r="F4" s="15">
        <v>790000</v>
      </c>
      <c r="G4" s="77">
        <v>1580000</v>
      </c>
      <c r="H4" s="177" t="s">
        <v>405</v>
      </c>
      <c r="I4" s="175" t="s">
        <v>191</v>
      </c>
      <c r="J4" s="19"/>
      <c r="K4" s="201">
        <v>2</v>
      </c>
      <c r="L4" s="137">
        <v>44621</v>
      </c>
      <c r="M4" s="138" t="s">
        <v>17</v>
      </c>
      <c r="N4" s="311">
        <v>29245000</v>
      </c>
      <c r="O4" s="138" t="s">
        <v>256</v>
      </c>
    </row>
    <row r="5" spans="1:15" ht="15.75" thickBot="1">
      <c r="A5" s="13"/>
      <c r="B5" s="13" t="s">
        <v>442</v>
      </c>
      <c r="C5" s="14" t="s">
        <v>17</v>
      </c>
      <c r="D5" s="14">
        <v>1</v>
      </c>
      <c r="E5" s="14" t="s">
        <v>30</v>
      </c>
      <c r="F5" s="15">
        <v>790000</v>
      </c>
      <c r="G5" s="77">
        <v>790000</v>
      </c>
      <c r="H5" s="178"/>
      <c r="I5" s="175"/>
      <c r="J5" s="23"/>
      <c r="K5" s="202">
        <v>4</v>
      </c>
      <c r="L5" s="104">
        <v>44629</v>
      </c>
      <c r="M5" s="105" t="s">
        <v>404</v>
      </c>
      <c r="N5" s="106">
        <v>10840000</v>
      </c>
      <c r="O5" s="103" t="s">
        <v>509</v>
      </c>
    </row>
    <row r="6" spans="1:15" ht="15.75" thickBot="1">
      <c r="A6" s="12">
        <v>44658</v>
      </c>
      <c r="B6" s="13" t="s">
        <v>443</v>
      </c>
      <c r="C6" s="14" t="s">
        <v>173</v>
      </c>
      <c r="D6" s="14">
        <v>2</v>
      </c>
      <c r="E6" s="14" t="s">
        <v>30</v>
      </c>
      <c r="F6" s="15">
        <v>2100000</v>
      </c>
      <c r="G6" s="77">
        <v>4200000</v>
      </c>
      <c r="H6" s="177">
        <v>4200000</v>
      </c>
      <c r="I6" s="175" t="s">
        <v>847</v>
      </c>
      <c r="J6" s="26"/>
      <c r="K6" s="202">
        <v>5</v>
      </c>
      <c r="L6" s="104">
        <v>44630</v>
      </c>
      <c r="M6" s="105" t="s">
        <v>404</v>
      </c>
      <c r="N6" s="106">
        <v>9000000</v>
      </c>
      <c r="O6" s="103" t="s">
        <v>509</v>
      </c>
    </row>
    <row r="7" spans="1:15">
      <c r="A7" s="12">
        <v>44660</v>
      </c>
      <c r="B7" s="13" t="s">
        <v>444</v>
      </c>
      <c r="C7" s="14" t="s">
        <v>17</v>
      </c>
      <c r="D7" s="14">
        <v>3</v>
      </c>
      <c r="E7" s="14" t="s">
        <v>30</v>
      </c>
      <c r="F7" s="15">
        <v>790000</v>
      </c>
      <c r="G7" s="77">
        <v>2370000</v>
      </c>
      <c r="H7" s="177">
        <v>3950000</v>
      </c>
      <c r="I7" s="175" t="s">
        <v>191</v>
      </c>
      <c r="J7" s="26"/>
      <c r="K7" s="203">
        <v>6</v>
      </c>
      <c r="L7" s="204">
        <v>44631</v>
      </c>
      <c r="M7" s="205" t="s">
        <v>307</v>
      </c>
      <c r="N7" s="206">
        <v>1600000</v>
      </c>
      <c r="O7" s="207" t="s">
        <v>555</v>
      </c>
    </row>
    <row r="8" spans="1:15" ht="15.75" thickBot="1">
      <c r="A8" s="12"/>
      <c r="B8" s="13" t="s">
        <v>445</v>
      </c>
      <c r="C8" s="14" t="s">
        <v>17</v>
      </c>
      <c r="D8" s="14">
        <v>2</v>
      </c>
      <c r="E8" s="14" t="s">
        <v>30</v>
      </c>
      <c r="F8" s="15">
        <v>790000</v>
      </c>
      <c r="G8" s="77">
        <v>1580000</v>
      </c>
      <c r="H8" s="193"/>
      <c r="I8" s="175"/>
      <c r="J8" s="26"/>
      <c r="K8" s="202">
        <v>12</v>
      </c>
      <c r="L8" s="104">
        <v>44637</v>
      </c>
      <c r="M8" s="105" t="s">
        <v>404</v>
      </c>
      <c r="N8" s="106">
        <v>7975000</v>
      </c>
      <c r="O8" s="260" t="s">
        <v>509</v>
      </c>
    </row>
    <row r="9" spans="1:15" ht="15.75" thickBot="1">
      <c r="A9" s="12">
        <v>44662</v>
      </c>
      <c r="B9" s="13" t="s">
        <v>447</v>
      </c>
      <c r="C9" s="14" t="s">
        <v>173</v>
      </c>
      <c r="D9" s="14">
        <v>1</v>
      </c>
      <c r="E9" s="14" t="s">
        <v>30</v>
      </c>
      <c r="F9" s="15">
        <v>2150000</v>
      </c>
      <c r="G9" s="77">
        <v>2150000</v>
      </c>
      <c r="H9" s="177">
        <v>2150000</v>
      </c>
      <c r="I9" s="175" t="s">
        <v>847</v>
      </c>
      <c r="J9" s="26"/>
      <c r="K9" s="208">
        <v>14</v>
      </c>
      <c r="L9" s="196">
        <v>44641</v>
      </c>
      <c r="M9" s="197" t="s">
        <v>140</v>
      </c>
      <c r="N9" s="209">
        <v>19830000</v>
      </c>
      <c r="O9" s="261" t="s">
        <v>541</v>
      </c>
    </row>
    <row r="10" spans="1:15">
      <c r="A10" s="12"/>
      <c r="B10" s="29" t="s">
        <v>448</v>
      </c>
      <c r="C10" s="14" t="s">
        <v>15</v>
      </c>
      <c r="D10" s="31">
        <v>5</v>
      </c>
      <c r="E10" s="14" t="s">
        <v>30</v>
      </c>
      <c r="F10" s="15">
        <v>420000</v>
      </c>
      <c r="G10" s="77">
        <v>2100000</v>
      </c>
      <c r="H10" s="177"/>
      <c r="I10" s="175"/>
      <c r="J10" s="26"/>
      <c r="K10" s="212">
        <v>15</v>
      </c>
      <c r="L10" s="217">
        <v>44642</v>
      </c>
      <c r="M10" s="218" t="s">
        <v>15</v>
      </c>
      <c r="N10" s="213">
        <v>3925000</v>
      </c>
      <c r="O10" s="219" t="s">
        <v>552</v>
      </c>
    </row>
    <row r="11" spans="1:15">
      <c r="A11" s="29"/>
      <c r="B11" s="29" t="s">
        <v>449</v>
      </c>
      <c r="C11" s="14" t="s">
        <v>15</v>
      </c>
      <c r="D11" s="31">
        <v>5</v>
      </c>
      <c r="E11" s="14" t="s">
        <v>30</v>
      </c>
      <c r="F11" s="15">
        <v>420000</v>
      </c>
      <c r="G11" s="77">
        <v>2100000</v>
      </c>
      <c r="H11" s="178" t="s">
        <v>452</v>
      </c>
      <c r="I11" s="175" t="s">
        <v>191</v>
      </c>
      <c r="J11" s="26" t="s">
        <v>589</v>
      </c>
      <c r="K11" s="244">
        <v>17</v>
      </c>
      <c r="L11" s="43">
        <v>44635</v>
      </c>
      <c r="M11" s="41" t="s">
        <v>345</v>
      </c>
      <c r="N11" s="44">
        <v>2700000</v>
      </c>
      <c r="O11" s="245" t="s">
        <v>256</v>
      </c>
    </row>
    <row r="12" spans="1:15">
      <c r="A12" s="29"/>
      <c r="B12" s="29" t="s">
        <v>450</v>
      </c>
      <c r="C12" s="14" t="s">
        <v>15</v>
      </c>
      <c r="D12" s="31">
        <v>5</v>
      </c>
      <c r="E12" s="14" t="s">
        <v>30</v>
      </c>
      <c r="F12" s="28">
        <v>650000</v>
      </c>
      <c r="G12" s="179">
        <v>3250000</v>
      </c>
      <c r="H12" s="178"/>
      <c r="I12" s="175"/>
      <c r="J12" s="26"/>
      <c r="K12" s="212">
        <v>18</v>
      </c>
      <c r="L12" s="217">
        <v>44650</v>
      </c>
      <c r="M12" s="218" t="s">
        <v>15</v>
      </c>
      <c r="N12" s="213">
        <v>3500000</v>
      </c>
      <c r="O12" s="214" t="s">
        <v>552</v>
      </c>
    </row>
    <row r="13" spans="1:15" ht="15.75" thickBot="1">
      <c r="A13" s="29"/>
      <c r="B13" s="29" t="s">
        <v>451</v>
      </c>
      <c r="C13" s="27" t="s">
        <v>15</v>
      </c>
      <c r="D13" s="31">
        <v>2</v>
      </c>
      <c r="E13" s="31" t="s">
        <v>30</v>
      </c>
      <c r="F13" s="28">
        <v>300000</v>
      </c>
      <c r="G13" s="179">
        <v>600000</v>
      </c>
      <c r="H13" s="185"/>
      <c r="I13" s="180"/>
      <c r="J13" s="26"/>
      <c r="K13" s="239">
        <v>19</v>
      </c>
      <c r="L13" s="240">
        <v>44650</v>
      </c>
      <c r="M13" s="241" t="s">
        <v>173</v>
      </c>
      <c r="N13" s="242">
        <v>4300000</v>
      </c>
      <c r="O13" s="243" t="s">
        <v>849</v>
      </c>
    </row>
    <row r="14" spans="1:15">
      <c r="A14" s="32"/>
      <c r="B14" s="29" t="s">
        <v>453</v>
      </c>
      <c r="C14" s="27" t="s">
        <v>307</v>
      </c>
      <c r="D14" s="31">
        <v>2</v>
      </c>
      <c r="E14" s="31" t="s">
        <v>30</v>
      </c>
      <c r="F14" s="28">
        <v>357500</v>
      </c>
      <c r="G14" s="179">
        <v>715000</v>
      </c>
      <c r="H14" s="184"/>
      <c r="I14" s="181"/>
      <c r="J14" s="26"/>
      <c r="K14" s="234">
        <v>20</v>
      </c>
      <c r="L14" s="235">
        <v>44652</v>
      </c>
      <c r="M14" s="236" t="s">
        <v>307</v>
      </c>
      <c r="N14" s="237">
        <v>590000</v>
      </c>
      <c r="O14" s="238" t="s">
        <v>555</v>
      </c>
    </row>
    <row r="15" spans="1:15">
      <c r="A15" s="32">
        <v>44663</v>
      </c>
      <c r="B15" s="29" t="s">
        <v>454</v>
      </c>
      <c r="C15" s="27" t="s">
        <v>307</v>
      </c>
      <c r="D15" s="31">
        <v>2</v>
      </c>
      <c r="E15" s="31" t="s">
        <v>30</v>
      </c>
      <c r="F15" s="28">
        <v>357500</v>
      </c>
      <c r="G15" s="179">
        <v>715000</v>
      </c>
      <c r="H15" s="185"/>
      <c r="I15" s="181"/>
      <c r="J15" s="26"/>
      <c r="K15" s="234">
        <v>21</v>
      </c>
      <c r="L15" s="235">
        <v>44663</v>
      </c>
      <c r="M15" s="236" t="s">
        <v>307</v>
      </c>
      <c r="N15" s="237">
        <v>12832500</v>
      </c>
      <c r="O15" s="238" t="s">
        <v>256</v>
      </c>
    </row>
    <row r="16" spans="1:15">
      <c r="A16" s="29"/>
      <c r="B16" s="29" t="s">
        <v>457</v>
      </c>
      <c r="C16" s="27" t="s">
        <v>307</v>
      </c>
      <c r="D16" s="31">
        <v>4</v>
      </c>
      <c r="E16" s="31" t="s">
        <v>30</v>
      </c>
      <c r="F16" s="28">
        <v>500000</v>
      </c>
      <c r="G16" s="179">
        <v>2000000</v>
      </c>
      <c r="H16" s="185"/>
      <c r="I16" s="181" t="s">
        <v>400</v>
      </c>
      <c r="J16" s="26"/>
      <c r="K16" s="269">
        <v>22</v>
      </c>
      <c r="L16" s="56">
        <v>44651</v>
      </c>
      <c r="M16" s="57" t="s">
        <v>140</v>
      </c>
      <c r="N16" s="58">
        <v>7975000</v>
      </c>
      <c r="O16" s="64" t="s">
        <v>541</v>
      </c>
    </row>
    <row r="17" spans="1:15">
      <c r="A17" s="29"/>
      <c r="B17" s="29" t="s">
        <v>455</v>
      </c>
      <c r="C17" s="27" t="s">
        <v>307</v>
      </c>
      <c r="D17" s="31">
        <v>3</v>
      </c>
      <c r="E17" s="31" t="s">
        <v>30</v>
      </c>
      <c r="F17" s="28">
        <v>300000</v>
      </c>
      <c r="G17" s="179">
        <v>900000</v>
      </c>
      <c r="H17" s="185" t="s">
        <v>458</v>
      </c>
      <c r="I17" s="181"/>
      <c r="J17" s="26"/>
      <c r="K17" s="271">
        <v>23</v>
      </c>
      <c r="L17" s="272">
        <v>44607</v>
      </c>
      <c r="M17" s="273" t="s">
        <v>15</v>
      </c>
      <c r="N17" s="274">
        <v>3600000</v>
      </c>
      <c r="O17" s="271" t="s">
        <v>552</v>
      </c>
    </row>
    <row r="18" spans="1:15">
      <c r="A18" s="29"/>
      <c r="B18" s="29" t="s">
        <v>453</v>
      </c>
      <c r="C18" s="27" t="s">
        <v>307</v>
      </c>
      <c r="D18" s="31">
        <v>2</v>
      </c>
      <c r="E18" s="31" t="s">
        <v>30</v>
      </c>
      <c r="F18" s="28">
        <v>357500</v>
      </c>
      <c r="G18" s="179">
        <v>715000</v>
      </c>
      <c r="H18" s="185"/>
      <c r="I18" s="181"/>
      <c r="J18" s="26"/>
      <c r="K18" s="282">
        <v>24</v>
      </c>
      <c r="L18" s="283">
        <v>44672</v>
      </c>
      <c r="M18" s="284" t="s">
        <v>83</v>
      </c>
      <c r="N18" s="285">
        <v>2450000</v>
      </c>
      <c r="O18" s="282" t="s">
        <v>1000</v>
      </c>
    </row>
    <row r="19" spans="1:15">
      <c r="A19" s="29"/>
      <c r="B19" s="29" t="s">
        <v>456</v>
      </c>
      <c r="C19" s="27" t="s">
        <v>307</v>
      </c>
      <c r="D19" s="31">
        <v>5</v>
      </c>
      <c r="E19" s="31" t="s">
        <v>30</v>
      </c>
      <c r="F19" s="28">
        <v>357500</v>
      </c>
      <c r="G19" s="179">
        <v>1787500</v>
      </c>
      <c r="H19" s="185"/>
      <c r="I19" s="181"/>
      <c r="J19" s="26"/>
      <c r="K19" s="282">
        <v>25</v>
      </c>
      <c r="L19" s="283">
        <v>44676</v>
      </c>
      <c r="M19" s="284" t="s">
        <v>83</v>
      </c>
      <c r="N19" s="285">
        <v>16500000</v>
      </c>
      <c r="O19" s="282" t="s">
        <v>1000</v>
      </c>
    </row>
    <row r="20" spans="1:15">
      <c r="A20" s="29"/>
      <c r="B20" s="29" t="s">
        <v>453</v>
      </c>
      <c r="C20" s="27" t="s">
        <v>307</v>
      </c>
      <c r="D20" s="31">
        <v>5</v>
      </c>
      <c r="E20" s="31" t="s">
        <v>30</v>
      </c>
      <c r="F20" s="28">
        <v>500000</v>
      </c>
      <c r="G20" s="179">
        <v>2500000</v>
      </c>
      <c r="H20" s="185"/>
      <c r="I20" s="181"/>
      <c r="J20" s="26"/>
      <c r="K20" s="325"/>
      <c r="L20" s="21"/>
      <c r="M20" s="22"/>
      <c r="N20" s="326"/>
      <c r="O20" s="325"/>
    </row>
    <row r="21" spans="1:15">
      <c r="A21" s="29"/>
      <c r="B21" s="29" t="s">
        <v>454</v>
      </c>
      <c r="C21" s="27" t="s">
        <v>307</v>
      </c>
      <c r="D21" s="31">
        <v>5</v>
      </c>
      <c r="E21" s="31" t="s">
        <v>30</v>
      </c>
      <c r="F21" s="28">
        <v>500000</v>
      </c>
      <c r="G21" s="179">
        <v>2500000</v>
      </c>
      <c r="H21" s="185"/>
      <c r="I21" s="181"/>
      <c r="J21" s="26"/>
      <c r="K21" s="26"/>
      <c r="L21" s="34"/>
      <c r="M21" s="34"/>
      <c r="N21" s="26"/>
      <c r="O21" s="26"/>
    </row>
    <row r="22" spans="1:15" ht="15.75" thickBot="1">
      <c r="A22" s="29"/>
      <c r="B22" s="29" t="s">
        <v>456</v>
      </c>
      <c r="C22" s="27" t="s">
        <v>307</v>
      </c>
      <c r="D22" s="31">
        <v>2</v>
      </c>
      <c r="E22" s="31" t="s">
        <v>30</v>
      </c>
      <c r="F22" s="28">
        <v>500000</v>
      </c>
      <c r="G22" s="179">
        <v>1000000</v>
      </c>
      <c r="H22" s="185"/>
      <c r="I22" s="181"/>
      <c r="J22" s="26"/>
      <c r="K22" s="26"/>
      <c r="L22" s="34"/>
      <c r="M22" s="34"/>
      <c r="N22" s="286">
        <f>SUM(N3:N21)</f>
        <v>146127500</v>
      </c>
      <c r="O22" s="26"/>
    </row>
    <row r="23" spans="1:15">
      <c r="A23" s="29"/>
      <c r="B23" s="29" t="s">
        <v>459</v>
      </c>
      <c r="C23" s="27" t="s">
        <v>15</v>
      </c>
      <c r="D23" s="31">
        <v>10</v>
      </c>
      <c r="E23" s="31" t="s">
        <v>30</v>
      </c>
      <c r="F23" s="28">
        <v>415000</v>
      </c>
      <c r="G23" s="179">
        <v>4150000</v>
      </c>
      <c r="H23" s="184"/>
      <c r="I23" s="181"/>
      <c r="J23" s="26"/>
      <c r="K23" s="26"/>
      <c r="L23" s="34"/>
      <c r="M23" s="34"/>
      <c r="N23" s="286"/>
      <c r="O23" s="26"/>
    </row>
    <row r="24" spans="1:15">
      <c r="A24" s="29"/>
      <c r="B24" s="29" t="s">
        <v>460</v>
      </c>
      <c r="C24" s="27" t="s">
        <v>15</v>
      </c>
      <c r="D24" s="31">
        <v>7</v>
      </c>
      <c r="E24" s="31" t="s">
        <v>30</v>
      </c>
      <c r="F24" s="28">
        <v>415000</v>
      </c>
      <c r="G24" s="179">
        <v>2905000</v>
      </c>
      <c r="H24" s="185" t="s">
        <v>565</v>
      </c>
      <c r="I24" s="181" t="s">
        <v>191</v>
      </c>
      <c r="J24" s="26"/>
      <c r="K24" s="26"/>
      <c r="L24" s="34"/>
      <c r="M24" s="34"/>
      <c r="N24" s="26"/>
      <c r="O24" s="26"/>
    </row>
    <row r="25" spans="1:15">
      <c r="A25" s="29"/>
      <c r="B25" s="29" t="s">
        <v>461</v>
      </c>
      <c r="C25" s="27" t="s">
        <v>15</v>
      </c>
      <c r="D25" s="31">
        <v>5</v>
      </c>
      <c r="E25" s="31" t="s">
        <v>30</v>
      </c>
      <c r="F25" s="28">
        <v>420000</v>
      </c>
      <c r="G25" s="179">
        <v>2100000</v>
      </c>
      <c r="H25" s="185"/>
      <c r="I25" s="181"/>
      <c r="J25" s="26"/>
      <c r="K25" s="26"/>
      <c r="L25" s="34"/>
      <c r="M25" s="34"/>
      <c r="N25" s="26"/>
      <c r="O25" s="26"/>
    </row>
    <row r="26" spans="1:15" ht="15.75" thickBot="1">
      <c r="A26" s="29"/>
      <c r="B26" s="29" t="s">
        <v>462</v>
      </c>
      <c r="C26" s="27" t="s">
        <v>15</v>
      </c>
      <c r="D26" s="31">
        <v>6</v>
      </c>
      <c r="E26" s="31" t="s">
        <v>30</v>
      </c>
      <c r="F26" s="28">
        <v>900000</v>
      </c>
      <c r="G26" s="277">
        <v>5400000</v>
      </c>
      <c r="H26" s="185"/>
      <c r="I26" s="181"/>
      <c r="J26" s="26"/>
      <c r="K26" s="26"/>
      <c r="L26" s="34"/>
      <c r="M26" s="34"/>
      <c r="N26" s="26"/>
      <c r="O26" s="26"/>
    </row>
    <row r="27" spans="1:15">
      <c r="A27" s="29"/>
      <c r="B27" s="29" t="s">
        <v>463</v>
      </c>
      <c r="C27" s="27" t="s">
        <v>17</v>
      </c>
      <c r="D27" s="31">
        <v>10</v>
      </c>
      <c r="E27" s="31" t="s">
        <v>30</v>
      </c>
      <c r="F27" s="179">
        <v>225000</v>
      </c>
      <c r="G27" s="276">
        <v>2250000</v>
      </c>
      <c r="H27" s="184" t="s">
        <v>465</v>
      </c>
      <c r="I27" s="181" t="s">
        <v>191</v>
      </c>
      <c r="J27" s="26"/>
      <c r="L27" s="34"/>
      <c r="M27" s="34"/>
      <c r="N27" s="26"/>
    </row>
    <row r="28" spans="1:15" ht="15.75" thickBot="1">
      <c r="A28" s="29"/>
      <c r="B28" s="29" t="s">
        <v>464</v>
      </c>
      <c r="C28" s="27" t="s">
        <v>17</v>
      </c>
      <c r="D28" s="31">
        <v>2</v>
      </c>
      <c r="E28" s="31" t="s">
        <v>30</v>
      </c>
      <c r="F28" s="28">
        <v>795000</v>
      </c>
      <c r="G28" s="278">
        <v>1590000</v>
      </c>
      <c r="H28" s="185"/>
      <c r="I28" s="181"/>
      <c r="J28" s="26"/>
      <c r="M28" s="5"/>
    </row>
    <row r="29" spans="1:15" ht="15.75" thickBot="1">
      <c r="A29" s="29"/>
      <c r="B29" s="29" t="s">
        <v>466</v>
      </c>
      <c r="C29" s="27" t="s">
        <v>273</v>
      </c>
      <c r="D29" s="31">
        <v>100</v>
      </c>
      <c r="E29" s="31" t="s">
        <v>30</v>
      </c>
      <c r="F29" s="28">
        <v>10000</v>
      </c>
      <c r="G29" s="179">
        <v>1000000</v>
      </c>
      <c r="H29" s="280"/>
      <c r="I29" s="181"/>
      <c r="J29" s="26"/>
      <c r="M29" s="5"/>
    </row>
    <row r="30" spans="1:15">
      <c r="A30" s="29"/>
      <c r="B30" s="29" t="s">
        <v>467</v>
      </c>
      <c r="C30" s="27" t="s">
        <v>15</v>
      </c>
      <c r="D30" s="31">
        <v>10</v>
      </c>
      <c r="E30" s="31" t="s">
        <v>30</v>
      </c>
      <c r="F30" s="28">
        <v>130000</v>
      </c>
      <c r="G30" s="179">
        <v>1300000</v>
      </c>
      <c r="H30" s="185"/>
      <c r="I30" s="181"/>
      <c r="J30" s="26"/>
      <c r="M30" s="5"/>
    </row>
    <row r="31" spans="1:15">
      <c r="A31" s="29"/>
      <c r="B31" s="29" t="s">
        <v>468</v>
      </c>
      <c r="C31" s="27" t="s">
        <v>15</v>
      </c>
      <c r="D31" s="31">
        <v>10</v>
      </c>
      <c r="E31" s="31" t="s">
        <v>30</v>
      </c>
      <c r="F31" s="28">
        <v>130000</v>
      </c>
      <c r="G31" s="179">
        <v>1300000</v>
      </c>
      <c r="H31" s="185"/>
      <c r="I31" s="181"/>
      <c r="J31" s="26"/>
      <c r="M31" s="5"/>
    </row>
    <row r="32" spans="1:15">
      <c r="A32" s="32">
        <v>44664</v>
      </c>
      <c r="B32" s="13" t="s">
        <v>469</v>
      </c>
      <c r="C32" s="14" t="s">
        <v>15</v>
      </c>
      <c r="D32" s="14">
        <v>10</v>
      </c>
      <c r="E32" s="14" t="s">
        <v>30</v>
      </c>
      <c r="F32" s="15">
        <v>85000</v>
      </c>
      <c r="G32" s="77">
        <v>850000</v>
      </c>
      <c r="H32" s="185"/>
      <c r="I32" s="181"/>
      <c r="J32" s="26"/>
      <c r="M32" s="5"/>
    </row>
    <row r="33" spans="1:13">
      <c r="A33" s="32">
        <v>44666</v>
      </c>
      <c r="B33" s="13" t="s">
        <v>470</v>
      </c>
      <c r="C33" s="14" t="s">
        <v>15</v>
      </c>
      <c r="D33" s="14">
        <v>10</v>
      </c>
      <c r="E33" s="14" t="s">
        <v>30</v>
      </c>
      <c r="F33" s="15">
        <v>95000</v>
      </c>
      <c r="G33" s="77">
        <v>950000</v>
      </c>
      <c r="H33" s="185"/>
      <c r="I33" s="181"/>
      <c r="J33" s="26"/>
      <c r="M33" s="5"/>
    </row>
    <row r="34" spans="1:13">
      <c r="A34" s="29"/>
      <c r="B34" s="13" t="s">
        <v>471</v>
      </c>
      <c r="C34" s="14" t="s">
        <v>15</v>
      </c>
      <c r="D34" s="14">
        <v>10</v>
      </c>
      <c r="E34" s="14" t="s">
        <v>30</v>
      </c>
      <c r="F34" s="15">
        <v>140000</v>
      </c>
      <c r="G34" s="77">
        <v>1400000</v>
      </c>
      <c r="H34" s="185"/>
      <c r="I34" s="181"/>
      <c r="J34" s="26"/>
      <c r="M34" s="5"/>
    </row>
    <row r="35" spans="1:13">
      <c r="A35" s="13"/>
      <c r="B35" s="13" t="s">
        <v>472</v>
      </c>
      <c r="C35" s="14" t="s">
        <v>15</v>
      </c>
      <c r="D35" s="14">
        <v>10</v>
      </c>
      <c r="E35" s="14" t="s">
        <v>30</v>
      </c>
      <c r="F35" s="15">
        <v>140000</v>
      </c>
      <c r="G35" s="77">
        <v>1400000</v>
      </c>
      <c r="H35" s="185"/>
      <c r="I35" s="181"/>
      <c r="J35" s="26"/>
      <c r="M35" s="5"/>
    </row>
    <row r="36" spans="1:13">
      <c r="A36" s="13"/>
      <c r="B36" s="13" t="s">
        <v>473</v>
      </c>
      <c r="C36" s="14" t="s">
        <v>15</v>
      </c>
      <c r="D36" s="14">
        <v>10</v>
      </c>
      <c r="E36" s="14" t="s">
        <v>30</v>
      </c>
      <c r="F36" s="15">
        <v>155000</v>
      </c>
      <c r="G36" s="77">
        <v>1550000</v>
      </c>
      <c r="H36" s="186"/>
      <c r="I36" s="182" t="s">
        <v>191</v>
      </c>
      <c r="J36" s="26"/>
      <c r="M36" s="5"/>
    </row>
    <row r="37" spans="1:13">
      <c r="A37" s="13"/>
      <c r="B37" s="13" t="s">
        <v>474</v>
      </c>
      <c r="C37" s="14" t="s">
        <v>15</v>
      </c>
      <c r="D37" s="14">
        <v>10</v>
      </c>
      <c r="E37" s="14" t="s">
        <v>30</v>
      </c>
      <c r="F37" s="15">
        <v>45000</v>
      </c>
      <c r="G37" s="77">
        <v>450000</v>
      </c>
      <c r="H37" s="186" t="s">
        <v>503</v>
      </c>
      <c r="I37" s="182"/>
      <c r="J37" s="26"/>
      <c r="M37" s="5"/>
    </row>
    <row r="38" spans="1:13">
      <c r="A38" s="13"/>
      <c r="B38" s="13" t="s">
        <v>475</v>
      </c>
      <c r="C38" s="14" t="s">
        <v>15</v>
      </c>
      <c r="D38" s="14">
        <v>5</v>
      </c>
      <c r="E38" s="14" t="s">
        <v>30</v>
      </c>
      <c r="F38" s="15">
        <v>45000</v>
      </c>
      <c r="G38" s="77">
        <v>225000</v>
      </c>
      <c r="H38" s="186"/>
      <c r="I38" s="182"/>
      <c r="J38" s="26"/>
      <c r="M38" s="5"/>
    </row>
    <row r="39" spans="1:13">
      <c r="A39" s="13"/>
      <c r="B39" s="13" t="s">
        <v>476</v>
      </c>
      <c r="C39" s="14" t="s">
        <v>15</v>
      </c>
      <c r="D39" s="14">
        <v>10</v>
      </c>
      <c r="E39" s="14" t="s">
        <v>30</v>
      </c>
      <c r="F39" s="15">
        <v>95000</v>
      </c>
      <c r="G39" s="77">
        <v>950000</v>
      </c>
      <c r="H39" s="186"/>
      <c r="I39" s="182"/>
      <c r="J39" s="26"/>
      <c r="M39" s="5"/>
    </row>
    <row r="40" spans="1:13">
      <c r="A40" s="13"/>
      <c r="B40" s="13" t="s">
        <v>477</v>
      </c>
      <c r="C40" s="14" t="s">
        <v>15</v>
      </c>
      <c r="D40" s="14">
        <v>10</v>
      </c>
      <c r="E40" s="14" t="s">
        <v>30</v>
      </c>
      <c r="F40" s="15">
        <v>85000</v>
      </c>
      <c r="G40" s="77">
        <v>850000</v>
      </c>
      <c r="H40" s="186"/>
      <c r="I40" s="182"/>
      <c r="J40" s="26"/>
      <c r="M40" s="5"/>
    </row>
    <row r="41" spans="1:13">
      <c r="A41" s="13"/>
      <c r="B41" s="13" t="s">
        <v>478</v>
      </c>
      <c r="C41" s="14" t="s">
        <v>15</v>
      </c>
      <c r="D41" s="14">
        <v>2</v>
      </c>
      <c r="E41" s="14" t="s">
        <v>30</v>
      </c>
      <c r="F41" s="15">
        <v>475000</v>
      </c>
      <c r="G41" s="77">
        <v>950000</v>
      </c>
      <c r="H41" s="186"/>
      <c r="I41" s="182"/>
      <c r="J41" s="26"/>
      <c r="M41" s="5"/>
    </row>
    <row r="42" spans="1:13" ht="15.75" thickBot="1">
      <c r="A42" s="13"/>
      <c r="B42" s="13" t="s">
        <v>479</v>
      </c>
      <c r="C42" s="14" t="s">
        <v>15</v>
      </c>
      <c r="D42" s="14">
        <v>10</v>
      </c>
      <c r="E42" s="14" t="s">
        <v>30</v>
      </c>
      <c r="F42" s="15">
        <v>45000</v>
      </c>
      <c r="G42" s="77">
        <v>450000</v>
      </c>
      <c r="H42" s="188"/>
      <c r="I42" s="182"/>
      <c r="J42" s="26"/>
      <c r="M42" s="5"/>
    </row>
    <row r="43" spans="1:13">
      <c r="A43" s="13"/>
      <c r="B43" s="13" t="s">
        <v>480</v>
      </c>
      <c r="C43" s="14" t="s">
        <v>481</v>
      </c>
      <c r="D43" s="14">
        <v>1</v>
      </c>
      <c r="E43" s="14" t="s">
        <v>30</v>
      </c>
      <c r="F43" s="54"/>
      <c r="G43" s="225"/>
      <c r="H43" s="186"/>
      <c r="I43" s="182"/>
    </row>
    <row r="44" spans="1:13" ht="15.75" thickBot="1">
      <c r="A44" s="13"/>
      <c r="B44" s="13" t="s">
        <v>482</v>
      </c>
      <c r="C44" s="14" t="s">
        <v>481</v>
      </c>
      <c r="D44" s="14">
        <v>1</v>
      </c>
      <c r="E44" s="14" t="s">
        <v>30</v>
      </c>
      <c r="F44" s="14"/>
      <c r="G44" s="230"/>
      <c r="H44" s="188"/>
      <c r="I44" s="182"/>
    </row>
    <row r="45" spans="1:13">
      <c r="A45" s="13"/>
      <c r="B45" s="13" t="s">
        <v>483</v>
      </c>
      <c r="C45" s="14" t="s">
        <v>15</v>
      </c>
      <c r="D45" s="14">
        <v>20</v>
      </c>
      <c r="E45" s="14" t="s">
        <v>30</v>
      </c>
      <c r="F45" s="14" t="s">
        <v>484</v>
      </c>
      <c r="G45" s="230" t="s">
        <v>485</v>
      </c>
      <c r="H45" s="187"/>
      <c r="I45" s="182"/>
    </row>
    <row r="46" spans="1:13">
      <c r="A46" s="12">
        <v>44667</v>
      </c>
      <c r="B46" s="13" t="s">
        <v>487</v>
      </c>
      <c r="C46" s="14" t="s">
        <v>15</v>
      </c>
      <c r="D46" s="14">
        <v>5</v>
      </c>
      <c r="E46" s="14" t="s">
        <v>30</v>
      </c>
      <c r="F46" s="14" t="s">
        <v>484</v>
      </c>
      <c r="G46" s="230" t="s">
        <v>486</v>
      </c>
      <c r="H46" s="186"/>
      <c r="I46" s="182"/>
    </row>
    <row r="47" spans="1:13">
      <c r="A47" s="13"/>
      <c r="B47" s="13" t="s">
        <v>488</v>
      </c>
      <c r="C47" s="14" t="s">
        <v>15</v>
      </c>
      <c r="D47" s="14">
        <v>5</v>
      </c>
      <c r="E47" s="14" t="s">
        <v>30</v>
      </c>
      <c r="F47" s="14" t="s">
        <v>489</v>
      </c>
      <c r="G47" s="230" t="s">
        <v>490</v>
      </c>
      <c r="H47" s="186"/>
      <c r="I47" s="182" t="s">
        <v>566</v>
      </c>
    </row>
    <row r="48" spans="1:13">
      <c r="A48" s="12">
        <v>44669</v>
      </c>
      <c r="B48" s="13" t="s">
        <v>492</v>
      </c>
      <c r="C48" s="14" t="s">
        <v>15</v>
      </c>
      <c r="D48" s="14">
        <v>10</v>
      </c>
      <c r="E48" s="14" t="s">
        <v>30</v>
      </c>
      <c r="F48" s="14" t="s">
        <v>489</v>
      </c>
      <c r="G48" s="230" t="s">
        <v>491</v>
      </c>
      <c r="H48" s="232"/>
      <c r="I48" s="182"/>
    </row>
    <row r="49" spans="1:11">
      <c r="A49" s="13"/>
      <c r="B49" s="13" t="s">
        <v>493</v>
      </c>
      <c r="C49" s="14" t="s">
        <v>15</v>
      </c>
      <c r="D49" s="14">
        <v>2</v>
      </c>
      <c r="E49" s="14" t="s">
        <v>30</v>
      </c>
      <c r="F49" s="14" t="s">
        <v>494</v>
      </c>
      <c r="G49" s="230" t="s">
        <v>495</v>
      </c>
      <c r="H49" s="275" t="s">
        <v>501</v>
      </c>
      <c r="I49" s="182"/>
    </row>
    <row r="50" spans="1:11">
      <c r="A50" s="13"/>
      <c r="B50" s="13" t="s">
        <v>498</v>
      </c>
      <c r="C50" s="14" t="s">
        <v>15</v>
      </c>
      <c r="D50" s="14">
        <v>5</v>
      </c>
      <c r="E50" s="14" t="s">
        <v>30</v>
      </c>
      <c r="F50" s="14" t="s">
        <v>497</v>
      </c>
      <c r="G50" s="230" t="s">
        <v>496</v>
      </c>
      <c r="H50" s="232"/>
      <c r="I50" s="182"/>
    </row>
    <row r="51" spans="1:11" ht="15.75" thickBot="1">
      <c r="A51" s="13"/>
      <c r="B51" s="13" t="s">
        <v>499</v>
      </c>
      <c r="C51" s="14" t="s">
        <v>15</v>
      </c>
      <c r="D51" s="14">
        <v>4</v>
      </c>
      <c r="E51" s="14" t="s">
        <v>30</v>
      </c>
      <c r="F51" s="14" t="s">
        <v>497</v>
      </c>
      <c r="G51" s="230" t="s">
        <v>500</v>
      </c>
      <c r="H51" s="233"/>
      <c r="I51" s="182"/>
    </row>
    <row r="52" spans="1:11" ht="15.75" thickBot="1">
      <c r="A52" s="13"/>
      <c r="B52" s="13" t="s">
        <v>502</v>
      </c>
      <c r="C52" s="14" t="s">
        <v>17</v>
      </c>
      <c r="D52" s="14">
        <v>10</v>
      </c>
      <c r="E52" s="14" t="s">
        <v>30</v>
      </c>
      <c r="F52" s="14" t="s">
        <v>490</v>
      </c>
      <c r="G52" s="230" t="s">
        <v>389</v>
      </c>
      <c r="H52" s="232" t="s">
        <v>389</v>
      </c>
      <c r="I52" s="182" t="s">
        <v>191</v>
      </c>
    </row>
    <row r="53" spans="1:11" ht="15.75" thickBot="1">
      <c r="A53" s="13"/>
      <c r="B53" s="13" t="s">
        <v>504</v>
      </c>
      <c r="C53" s="14" t="s">
        <v>355</v>
      </c>
      <c r="D53" s="14">
        <v>1</v>
      </c>
      <c r="E53" s="14" t="s">
        <v>30</v>
      </c>
      <c r="F53" s="14" t="s">
        <v>505</v>
      </c>
      <c r="G53" s="230" t="s">
        <v>505</v>
      </c>
      <c r="H53" s="268" t="s">
        <v>505</v>
      </c>
      <c r="I53" s="182" t="s">
        <v>1002</v>
      </c>
    </row>
    <row r="54" spans="1:11">
      <c r="A54" s="13"/>
      <c r="B54" s="13" t="s">
        <v>506</v>
      </c>
      <c r="C54" s="14" t="s">
        <v>17</v>
      </c>
      <c r="D54" s="14">
        <v>15</v>
      </c>
      <c r="E54" s="14" t="s">
        <v>30</v>
      </c>
      <c r="F54" s="14" t="s">
        <v>490</v>
      </c>
      <c r="G54" s="230" t="s">
        <v>390</v>
      </c>
      <c r="H54" s="232" t="s">
        <v>556</v>
      </c>
      <c r="I54" s="182" t="s">
        <v>191</v>
      </c>
    </row>
    <row r="55" spans="1:11" ht="15.75" thickBot="1">
      <c r="A55" s="12">
        <v>44670</v>
      </c>
      <c r="B55" s="13" t="s">
        <v>507</v>
      </c>
      <c r="C55" s="14" t="s">
        <v>17</v>
      </c>
      <c r="D55" s="14">
        <v>5</v>
      </c>
      <c r="E55" s="14" t="s">
        <v>30</v>
      </c>
      <c r="F55" s="14" t="s">
        <v>490</v>
      </c>
      <c r="G55" s="230" t="s">
        <v>420</v>
      </c>
      <c r="H55" s="232"/>
      <c r="I55" s="182"/>
    </row>
    <row r="56" spans="1:11">
      <c r="A56" s="12">
        <v>44672</v>
      </c>
      <c r="B56" s="13" t="s">
        <v>515</v>
      </c>
      <c r="C56" s="14" t="s">
        <v>307</v>
      </c>
      <c r="D56" s="14">
        <v>3</v>
      </c>
      <c r="E56" s="14" t="s">
        <v>30</v>
      </c>
      <c r="F56" s="14" t="s">
        <v>516</v>
      </c>
      <c r="G56" s="230" t="s">
        <v>517</v>
      </c>
      <c r="H56" s="259"/>
      <c r="I56" s="182" t="s">
        <v>191</v>
      </c>
    </row>
    <row r="57" spans="1:11">
      <c r="A57" s="13"/>
      <c r="B57" s="13" t="s">
        <v>453</v>
      </c>
      <c r="C57" s="14" t="s">
        <v>307</v>
      </c>
      <c r="D57" s="14">
        <v>1</v>
      </c>
      <c r="E57" s="14" t="s">
        <v>30</v>
      </c>
      <c r="F57" s="14" t="s">
        <v>518</v>
      </c>
      <c r="G57" s="230" t="s">
        <v>518</v>
      </c>
      <c r="H57" s="232" t="s">
        <v>564</v>
      </c>
      <c r="I57" s="182"/>
      <c r="K57" t="s">
        <v>563</v>
      </c>
    </row>
    <row r="58" spans="1:11" ht="15.75" thickBot="1">
      <c r="A58" s="13"/>
      <c r="B58" s="13" t="s">
        <v>519</v>
      </c>
      <c r="C58" s="14" t="s">
        <v>307</v>
      </c>
      <c r="D58" s="14">
        <v>8</v>
      </c>
      <c r="E58" s="14" t="s">
        <v>30</v>
      </c>
      <c r="F58" s="14" t="s">
        <v>518</v>
      </c>
      <c r="G58" s="230" t="s">
        <v>520</v>
      </c>
      <c r="H58" s="233"/>
      <c r="I58" s="182"/>
    </row>
    <row r="59" spans="1:11" ht="15.75" thickBot="1">
      <c r="A59" s="12">
        <v>44674</v>
      </c>
      <c r="B59" s="13" t="s">
        <v>521</v>
      </c>
      <c r="C59" s="14" t="s">
        <v>83</v>
      </c>
      <c r="D59" s="14">
        <v>1</v>
      </c>
      <c r="E59" s="14" t="s">
        <v>30</v>
      </c>
      <c r="F59" s="14" t="s">
        <v>522</v>
      </c>
      <c r="G59" s="230" t="s">
        <v>522</v>
      </c>
      <c r="H59" s="232" t="s">
        <v>522</v>
      </c>
      <c r="I59" s="182" t="s">
        <v>1001</v>
      </c>
    </row>
    <row r="60" spans="1:11">
      <c r="A60" s="13"/>
      <c r="B60" s="13" t="s">
        <v>523</v>
      </c>
      <c r="C60" s="14" t="s">
        <v>345</v>
      </c>
      <c r="D60" s="14">
        <v>10</v>
      </c>
      <c r="E60" s="14" t="s">
        <v>30</v>
      </c>
      <c r="F60" s="14" t="s">
        <v>524</v>
      </c>
      <c r="G60" s="230" t="s">
        <v>524</v>
      </c>
      <c r="H60" s="259"/>
      <c r="I60" s="182"/>
    </row>
    <row r="61" spans="1:11">
      <c r="A61" s="13"/>
      <c r="B61" s="13" t="s">
        <v>526</v>
      </c>
      <c r="C61" s="14" t="s">
        <v>345</v>
      </c>
      <c r="D61" s="14">
        <v>2</v>
      </c>
      <c r="E61" s="14" t="s">
        <v>30</v>
      </c>
      <c r="F61" s="14" t="s">
        <v>495</v>
      </c>
      <c r="G61" s="230" t="s">
        <v>525</v>
      </c>
      <c r="H61" s="232"/>
      <c r="I61" s="182"/>
    </row>
    <row r="62" spans="1:11">
      <c r="A62" s="12">
        <v>44676</v>
      </c>
      <c r="B62" s="13" t="s">
        <v>527</v>
      </c>
      <c r="C62" s="14" t="s">
        <v>345</v>
      </c>
      <c r="D62" s="14">
        <v>5</v>
      </c>
      <c r="E62" s="14" t="s">
        <v>30</v>
      </c>
      <c r="F62" s="14" t="s">
        <v>528</v>
      </c>
      <c r="G62" s="230" t="s">
        <v>494</v>
      </c>
      <c r="H62" s="232"/>
      <c r="I62" s="182" t="s">
        <v>566</v>
      </c>
    </row>
    <row r="63" spans="1:11">
      <c r="A63" s="12">
        <v>44677</v>
      </c>
      <c r="B63" s="13" t="s">
        <v>531</v>
      </c>
      <c r="C63" s="267" t="s">
        <v>345</v>
      </c>
      <c r="D63" s="14">
        <v>5</v>
      </c>
      <c r="E63" s="14" t="s">
        <v>30</v>
      </c>
      <c r="F63" s="14" t="s">
        <v>530</v>
      </c>
      <c r="G63" s="230" t="s">
        <v>529</v>
      </c>
      <c r="H63" s="232" t="s">
        <v>536</v>
      </c>
      <c r="I63" s="182"/>
    </row>
    <row r="64" spans="1:11">
      <c r="A64" s="13"/>
      <c r="B64" s="13" t="s">
        <v>532</v>
      </c>
      <c r="C64" s="14" t="s">
        <v>345</v>
      </c>
      <c r="D64" s="14">
        <v>3</v>
      </c>
      <c r="E64" s="14" t="s">
        <v>30</v>
      </c>
      <c r="F64" s="14" t="s">
        <v>516</v>
      </c>
      <c r="G64" s="230" t="s">
        <v>517</v>
      </c>
      <c r="H64" s="232"/>
      <c r="I64" s="182"/>
    </row>
    <row r="65" spans="1:9" ht="15.75" thickBot="1">
      <c r="A65" s="13"/>
      <c r="B65" s="13" t="s">
        <v>535</v>
      </c>
      <c r="C65" s="14" t="s">
        <v>345</v>
      </c>
      <c r="D65" s="14">
        <v>3</v>
      </c>
      <c r="E65" s="14" t="s">
        <v>30</v>
      </c>
      <c r="F65" s="14" t="s">
        <v>534</v>
      </c>
      <c r="G65" s="230" t="s">
        <v>533</v>
      </c>
      <c r="H65" s="233"/>
      <c r="I65" s="182"/>
    </row>
    <row r="66" spans="1:9" ht="15.75" thickBot="1">
      <c r="A66" s="13"/>
      <c r="B66" s="13" t="s">
        <v>537</v>
      </c>
      <c r="C66" s="14" t="s">
        <v>173</v>
      </c>
      <c r="D66" s="14">
        <v>1</v>
      </c>
      <c r="E66" s="14" t="s">
        <v>30</v>
      </c>
      <c r="F66" s="14" t="s">
        <v>538</v>
      </c>
      <c r="G66" s="230" t="s">
        <v>538</v>
      </c>
      <c r="H66" s="233" t="s">
        <v>538</v>
      </c>
      <c r="I66" s="182" t="s">
        <v>191</v>
      </c>
    </row>
    <row r="67" spans="1:9" ht="15.75" thickBot="1">
      <c r="A67" s="13"/>
      <c r="B67" s="13" t="s">
        <v>539</v>
      </c>
      <c r="C67" s="14" t="s">
        <v>15</v>
      </c>
      <c r="D67" s="14">
        <v>5</v>
      </c>
      <c r="E67" s="14" t="s">
        <v>30</v>
      </c>
      <c r="F67" s="14" t="s">
        <v>540</v>
      </c>
      <c r="G67" s="230" t="s">
        <v>525</v>
      </c>
      <c r="H67" s="268" t="s">
        <v>525</v>
      </c>
      <c r="I67" s="182" t="s">
        <v>566</v>
      </c>
    </row>
    <row r="68" spans="1:9">
      <c r="A68" s="13"/>
      <c r="B68" s="13"/>
      <c r="C68" s="13"/>
      <c r="D68" s="13"/>
      <c r="E68" s="13"/>
      <c r="F68" s="13"/>
      <c r="G68" s="13"/>
      <c r="H68" s="232"/>
      <c r="I68" s="182"/>
    </row>
    <row r="69" spans="1:9" ht="15.75" thickBot="1">
      <c r="A69" s="12">
        <v>44679</v>
      </c>
      <c r="B69" s="13" t="s">
        <v>848</v>
      </c>
      <c r="C69" s="13" t="s">
        <v>173</v>
      </c>
      <c r="D69" s="13">
        <v>1</v>
      </c>
      <c r="E69" s="13" t="s">
        <v>30</v>
      </c>
      <c r="F69" s="13" t="s">
        <v>538</v>
      </c>
      <c r="G69" s="13" t="s">
        <v>538</v>
      </c>
      <c r="H69" s="232" t="s">
        <v>538</v>
      </c>
      <c r="I69" s="182" t="s">
        <v>847</v>
      </c>
    </row>
    <row r="70" spans="1:9" ht="15.75" thickBot="1">
      <c r="A70" s="12">
        <v>44680</v>
      </c>
      <c r="B70" s="13"/>
      <c r="C70" s="13"/>
      <c r="D70" s="13"/>
      <c r="E70" s="13"/>
      <c r="F70" s="13"/>
      <c r="G70" s="13"/>
      <c r="H70" s="259"/>
      <c r="I70" s="182"/>
    </row>
    <row r="71" spans="1:9" ht="15.75" thickBot="1">
      <c r="A71" s="13"/>
      <c r="H71" s="268"/>
      <c r="I71" s="182"/>
    </row>
    <row r="72" spans="1:9">
      <c r="A72" s="13"/>
      <c r="H72" s="231"/>
      <c r="I72" s="13"/>
    </row>
    <row r="73" spans="1:9">
      <c r="A73" s="13"/>
      <c r="H73" s="231"/>
      <c r="I73" s="13"/>
    </row>
    <row r="74" spans="1:9">
      <c r="H74" s="13"/>
      <c r="I74" s="13"/>
    </row>
  </sheetData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P43"/>
  <sheetViews>
    <sheetView topLeftCell="A10" workbookViewId="0">
      <selection activeCell="J21" sqref="J21"/>
    </sheetView>
  </sheetViews>
  <sheetFormatPr defaultRowHeight="15"/>
  <cols>
    <col min="2" max="2" width="36.7109375" customWidth="1"/>
    <col min="3" max="3" width="16.42578125" customWidth="1"/>
    <col min="6" max="6" width="17.28515625" customWidth="1"/>
    <col min="7" max="7" width="13" customWidth="1"/>
    <col min="8" max="8" width="18.28515625" customWidth="1"/>
    <col min="9" max="9" width="14.7109375" customWidth="1"/>
    <col min="12" max="12" width="12.85546875" customWidth="1"/>
    <col min="13" max="13" width="16.7109375" customWidth="1"/>
    <col min="14" max="14" width="18.85546875" customWidth="1"/>
    <col min="15" max="15" width="15.42578125" customWidth="1"/>
  </cols>
  <sheetData>
    <row r="1" spans="1:15">
      <c r="A1" s="1" t="s">
        <v>0</v>
      </c>
      <c r="C1" s="2"/>
      <c r="D1" s="2"/>
      <c r="E1" s="2"/>
      <c r="F1" s="3"/>
      <c r="G1" s="3"/>
      <c r="H1" s="3"/>
      <c r="K1" s="4" t="s">
        <v>156</v>
      </c>
      <c r="L1" s="5"/>
      <c r="M1" s="5"/>
      <c r="N1" s="3"/>
    </row>
    <row r="2" spans="1:15" ht="30.75" thickBot="1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9" t="s">
        <v>7</v>
      </c>
      <c r="H2" s="176" t="s">
        <v>8</v>
      </c>
      <c r="I2" s="7" t="s">
        <v>9</v>
      </c>
      <c r="K2" s="10" t="s">
        <v>10</v>
      </c>
      <c r="L2" s="11" t="s">
        <v>11</v>
      </c>
      <c r="M2" s="6" t="s">
        <v>12</v>
      </c>
      <c r="N2" s="9" t="s">
        <v>13</v>
      </c>
      <c r="O2" s="7" t="s">
        <v>9</v>
      </c>
    </row>
    <row r="3" spans="1:15">
      <c r="A3" s="12">
        <v>44693</v>
      </c>
      <c r="B3" s="13" t="s">
        <v>542</v>
      </c>
      <c r="C3" s="14" t="s">
        <v>15</v>
      </c>
      <c r="D3" s="14">
        <v>3</v>
      </c>
      <c r="E3" s="14" t="s">
        <v>30</v>
      </c>
      <c r="F3" s="15">
        <v>415000</v>
      </c>
      <c r="G3" s="77">
        <v>1245000</v>
      </c>
      <c r="H3" s="177"/>
      <c r="I3" s="175"/>
      <c r="J3" s="17"/>
      <c r="K3" s="159">
        <v>1</v>
      </c>
      <c r="L3" s="160">
        <v>44596</v>
      </c>
      <c r="M3" s="161" t="s">
        <v>15</v>
      </c>
      <c r="N3" s="162">
        <v>29850000</v>
      </c>
      <c r="O3" s="163" t="s">
        <v>553</v>
      </c>
    </row>
    <row r="4" spans="1:15">
      <c r="A4" s="13"/>
      <c r="B4" s="13" t="s">
        <v>543</v>
      </c>
      <c r="C4" s="14" t="s">
        <v>15</v>
      </c>
      <c r="D4" s="14">
        <v>15</v>
      </c>
      <c r="E4" s="14" t="s">
        <v>30</v>
      </c>
      <c r="F4" s="15">
        <v>45000</v>
      </c>
      <c r="G4" s="77">
        <v>675000</v>
      </c>
      <c r="H4" s="178"/>
      <c r="I4" s="175" t="s">
        <v>566</v>
      </c>
      <c r="J4" s="19"/>
      <c r="K4" s="251">
        <v>2</v>
      </c>
      <c r="L4" s="111">
        <v>44656</v>
      </c>
      <c r="M4" s="112" t="s">
        <v>17</v>
      </c>
      <c r="N4" s="252">
        <v>16265000</v>
      </c>
      <c r="O4" s="112" t="s">
        <v>597</v>
      </c>
    </row>
    <row r="5" spans="1:15">
      <c r="A5" s="13"/>
      <c r="B5" s="13" t="s">
        <v>544</v>
      </c>
      <c r="C5" s="14" t="s">
        <v>15</v>
      </c>
      <c r="D5" s="14">
        <v>15</v>
      </c>
      <c r="E5" s="14" t="s">
        <v>30</v>
      </c>
      <c r="F5" s="15">
        <v>45000</v>
      </c>
      <c r="G5" s="77">
        <v>675000</v>
      </c>
      <c r="H5" s="178" t="s">
        <v>547</v>
      </c>
      <c r="I5" s="175"/>
      <c r="J5" s="23"/>
      <c r="K5" s="202">
        <v>3</v>
      </c>
      <c r="L5" s="104">
        <v>44658</v>
      </c>
      <c r="M5" s="105" t="s">
        <v>173</v>
      </c>
      <c r="N5" s="256">
        <v>4200000</v>
      </c>
      <c r="O5" s="103" t="s">
        <v>849</v>
      </c>
    </row>
    <row r="6" spans="1:15">
      <c r="A6" s="13"/>
      <c r="B6" s="13" t="s">
        <v>545</v>
      </c>
      <c r="C6" s="14" t="s">
        <v>15</v>
      </c>
      <c r="D6" s="14">
        <v>10</v>
      </c>
      <c r="E6" s="14" t="s">
        <v>30</v>
      </c>
      <c r="F6" s="15">
        <v>45000</v>
      </c>
      <c r="G6" s="77">
        <v>450000</v>
      </c>
      <c r="H6" s="178"/>
      <c r="I6" s="175"/>
      <c r="J6" s="26"/>
      <c r="K6" s="251">
        <v>4</v>
      </c>
      <c r="L6" s="253">
        <v>44660</v>
      </c>
      <c r="M6" s="254" t="s">
        <v>17</v>
      </c>
      <c r="N6" s="255">
        <v>10000000</v>
      </c>
      <c r="O6" s="114" t="s">
        <v>712</v>
      </c>
    </row>
    <row r="7" spans="1:15">
      <c r="A7" s="13"/>
      <c r="B7" s="13" t="s">
        <v>692</v>
      </c>
      <c r="C7" s="14" t="s">
        <v>15</v>
      </c>
      <c r="D7" s="14">
        <v>5</v>
      </c>
      <c r="E7" s="14" t="s">
        <v>30</v>
      </c>
      <c r="F7" s="15">
        <v>300000</v>
      </c>
      <c r="G7" s="77">
        <v>1500000</v>
      </c>
      <c r="H7" s="178"/>
      <c r="I7" s="175"/>
      <c r="J7" s="26"/>
      <c r="K7" s="202">
        <v>5</v>
      </c>
      <c r="L7" s="104">
        <v>44662</v>
      </c>
      <c r="M7" s="105" t="s">
        <v>173</v>
      </c>
      <c r="N7" s="257">
        <v>2150000</v>
      </c>
      <c r="O7" s="103" t="s">
        <v>849</v>
      </c>
    </row>
    <row r="8" spans="1:15" ht="15.75" thickBot="1">
      <c r="A8" s="12"/>
      <c r="B8" s="13" t="s">
        <v>546</v>
      </c>
      <c r="C8" s="14" t="s">
        <v>15</v>
      </c>
      <c r="D8" s="14">
        <v>6</v>
      </c>
      <c r="E8" s="14" t="s">
        <v>30</v>
      </c>
      <c r="F8" s="15">
        <v>45000</v>
      </c>
      <c r="G8" s="77">
        <v>270000</v>
      </c>
      <c r="H8" s="178"/>
      <c r="I8" s="175"/>
      <c r="J8" s="26"/>
      <c r="K8" s="159">
        <v>6</v>
      </c>
      <c r="L8" s="160">
        <v>44662</v>
      </c>
      <c r="M8" s="161" t="s">
        <v>15</v>
      </c>
      <c r="N8" s="249">
        <v>8050000</v>
      </c>
      <c r="O8" s="250" t="s">
        <v>553</v>
      </c>
    </row>
    <row r="9" spans="1:15">
      <c r="A9" s="12">
        <v>44697</v>
      </c>
      <c r="B9" s="13" t="s">
        <v>557</v>
      </c>
      <c r="C9" s="14" t="s">
        <v>15</v>
      </c>
      <c r="D9" s="14">
        <v>10</v>
      </c>
      <c r="E9" s="14" t="s">
        <v>30</v>
      </c>
      <c r="F9" s="15">
        <v>85000</v>
      </c>
      <c r="G9" s="77">
        <v>850000</v>
      </c>
      <c r="H9" s="177"/>
      <c r="I9" s="175"/>
      <c r="J9" s="26"/>
      <c r="K9" s="159">
        <v>8</v>
      </c>
      <c r="L9" s="160">
        <v>44666</v>
      </c>
      <c r="M9" s="161" t="s">
        <v>15</v>
      </c>
      <c r="N9" s="249">
        <v>12625000</v>
      </c>
      <c r="O9" s="163" t="s">
        <v>553</v>
      </c>
    </row>
    <row r="10" spans="1:15">
      <c r="A10" s="29"/>
      <c r="B10" s="29" t="s">
        <v>558</v>
      </c>
      <c r="C10" s="14" t="s">
        <v>15</v>
      </c>
      <c r="D10" s="31">
        <v>20</v>
      </c>
      <c r="E10" s="14" t="s">
        <v>30</v>
      </c>
      <c r="F10" s="15">
        <v>135000</v>
      </c>
      <c r="G10" s="77">
        <v>2700000</v>
      </c>
      <c r="H10" s="178" t="s">
        <v>562</v>
      </c>
      <c r="I10" s="175" t="s">
        <v>566</v>
      </c>
      <c r="J10" s="26"/>
      <c r="K10" s="159">
        <v>9</v>
      </c>
      <c r="L10" s="160">
        <v>44631</v>
      </c>
      <c r="M10" s="161" t="s">
        <v>15</v>
      </c>
      <c r="N10" s="249">
        <v>12250000</v>
      </c>
      <c r="O10" s="163" t="s">
        <v>553</v>
      </c>
    </row>
    <row r="11" spans="1:15">
      <c r="A11" s="29"/>
      <c r="B11" s="29" t="s">
        <v>559</v>
      </c>
      <c r="C11" s="14" t="s">
        <v>15</v>
      </c>
      <c r="D11" s="31">
        <v>20</v>
      </c>
      <c r="E11" s="14" t="s">
        <v>30</v>
      </c>
      <c r="F11" s="15">
        <v>145000</v>
      </c>
      <c r="G11" s="77">
        <v>2900000</v>
      </c>
      <c r="H11" s="178"/>
      <c r="I11" s="175"/>
      <c r="J11" s="26"/>
      <c r="K11" s="159">
        <v>11</v>
      </c>
      <c r="L11" s="160">
        <v>44663</v>
      </c>
      <c r="M11" s="161" t="s">
        <v>15</v>
      </c>
      <c r="N11" s="258">
        <v>14555000</v>
      </c>
      <c r="O11" s="163" t="s">
        <v>553</v>
      </c>
    </row>
    <row r="12" spans="1:15">
      <c r="A12" s="29"/>
      <c r="B12" s="29" t="s">
        <v>560</v>
      </c>
      <c r="C12" s="14" t="s">
        <v>15</v>
      </c>
      <c r="D12" s="31">
        <v>4</v>
      </c>
      <c r="E12" s="14" t="s">
        <v>30</v>
      </c>
      <c r="F12" s="28">
        <v>145000</v>
      </c>
      <c r="G12" s="179">
        <v>580000</v>
      </c>
      <c r="H12" s="178"/>
      <c r="I12" s="175"/>
      <c r="J12" s="26"/>
      <c r="K12" s="159">
        <v>12</v>
      </c>
      <c r="L12" s="160">
        <v>44641</v>
      </c>
      <c r="M12" s="161" t="s">
        <v>15</v>
      </c>
      <c r="N12" s="258">
        <v>8400000</v>
      </c>
      <c r="O12" s="163" t="s">
        <v>553</v>
      </c>
    </row>
    <row r="13" spans="1:15" ht="15.75" thickBot="1">
      <c r="A13" s="32"/>
      <c r="B13" s="29" t="s">
        <v>561</v>
      </c>
      <c r="C13" s="27" t="s">
        <v>15</v>
      </c>
      <c r="D13" s="31">
        <v>15</v>
      </c>
      <c r="E13" s="31" t="s">
        <v>30</v>
      </c>
      <c r="F13" s="28">
        <v>85000</v>
      </c>
      <c r="G13" s="179">
        <v>1275000</v>
      </c>
      <c r="H13" s="185"/>
      <c r="I13" s="180" t="s">
        <v>588</v>
      </c>
      <c r="J13" s="26"/>
      <c r="K13" s="202">
        <v>15</v>
      </c>
      <c r="L13" s="101">
        <v>44679</v>
      </c>
      <c r="M13" s="102" t="s">
        <v>173</v>
      </c>
      <c r="N13" s="297">
        <v>2150000</v>
      </c>
      <c r="O13" s="298" t="s">
        <v>849</v>
      </c>
    </row>
    <row r="14" spans="1:15">
      <c r="A14" s="32">
        <v>44704</v>
      </c>
      <c r="B14" s="29" t="s">
        <v>568</v>
      </c>
      <c r="C14" s="27" t="s">
        <v>140</v>
      </c>
      <c r="D14" s="31">
        <v>10</v>
      </c>
      <c r="E14" s="31" t="s">
        <v>30</v>
      </c>
      <c r="F14" s="28">
        <v>100000</v>
      </c>
      <c r="G14" s="179">
        <v>1000000</v>
      </c>
      <c r="H14" s="184"/>
      <c r="I14" s="181"/>
      <c r="J14" s="26"/>
      <c r="K14" s="299">
        <v>16</v>
      </c>
      <c r="L14" s="300">
        <v>44674</v>
      </c>
      <c r="M14" s="301" t="s">
        <v>307</v>
      </c>
      <c r="N14" s="302">
        <v>4117500</v>
      </c>
      <c r="O14" s="303" t="s">
        <v>597</v>
      </c>
    </row>
    <row r="15" spans="1:15">
      <c r="A15" s="29"/>
      <c r="B15" s="29" t="s">
        <v>569</v>
      </c>
      <c r="C15" s="27" t="s">
        <v>140</v>
      </c>
      <c r="D15" s="31">
        <v>5</v>
      </c>
      <c r="E15" s="31" t="s">
        <v>30</v>
      </c>
      <c r="F15" s="28">
        <v>40000</v>
      </c>
      <c r="G15" s="179">
        <v>200000</v>
      </c>
      <c r="H15" s="185"/>
      <c r="I15" s="181" t="s">
        <v>566</v>
      </c>
      <c r="J15" s="26"/>
      <c r="K15" s="312">
        <v>17</v>
      </c>
      <c r="L15" s="283"/>
      <c r="M15" s="284" t="s">
        <v>598</v>
      </c>
      <c r="N15" s="313">
        <v>10050000</v>
      </c>
      <c r="O15" s="314" t="s">
        <v>597</v>
      </c>
    </row>
    <row r="16" spans="1:15">
      <c r="A16" s="29"/>
      <c r="B16" s="29" t="s">
        <v>570</v>
      </c>
      <c r="C16" s="27" t="s">
        <v>140</v>
      </c>
      <c r="D16" s="31">
        <v>5</v>
      </c>
      <c r="E16" s="31" t="s">
        <v>30</v>
      </c>
      <c r="F16" s="28">
        <v>40000</v>
      </c>
      <c r="G16" s="179">
        <v>200000</v>
      </c>
      <c r="H16" s="185"/>
      <c r="I16" s="181"/>
      <c r="J16" s="26"/>
      <c r="K16" s="269">
        <v>18</v>
      </c>
      <c r="L16" s="56">
        <v>44624</v>
      </c>
      <c r="M16" s="57" t="s">
        <v>21</v>
      </c>
      <c r="N16" s="378">
        <v>490000</v>
      </c>
      <c r="O16" s="64" t="s">
        <v>992</v>
      </c>
    </row>
    <row r="17" spans="1:16">
      <c r="A17" s="29"/>
      <c r="B17" s="29" t="s">
        <v>571</v>
      </c>
      <c r="C17" s="27" t="s">
        <v>140</v>
      </c>
      <c r="D17" s="31">
        <v>10</v>
      </c>
      <c r="E17" s="31" t="s">
        <v>30</v>
      </c>
      <c r="F17" s="28">
        <v>16000</v>
      </c>
      <c r="G17" s="179">
        <v>1600000</v>
      </c>
      <c r="H17" s="185"/>
      <c r="I17" s="181"/>
      <c r="J17" s="26"/>
      <c r="K17" s="20">
        <v>20</v>
      </c>
      <c r="L17" s="25"/>
      <c r="M17" s="27"/>
      <c r="N17" s="246"/>
      <c r="O17" s="38"/>
    </row>
    <row r="18" spans="1:16">
      <c r="A18" s="29"/>
      <c r="B18" s="29" t="s">
        <v>572</v>
      </c>
      <c r="C18" s="27" t="s">
        <v>140</v>
      </c>
      <c r="D18" s="31">
        <v>20</v>
      </c>
      <c r="E18" s="31" t="s">
        <v>30</v>
      </c>
      <c r="F18" s="28">
        <v>135000</v>
      </c>
      <c r="G18" s="179">
        <v>2700000</v>
      </c>
      <c r="H18" s="185" t="s">
        <v>576</v>
      </c>
      <c r="I18" s="181"/>
      <c r="J18" s="26"/>
      <c r="K18" s="29"/>
      <c r="L18" s="34"/>
      <c r="M18" s="34"/>
      <c r="N18" s="247"/>
      <c r="O18" s="29"/>
    </row>
    <row r="19" spans="1:16">
      <c r="A19" s="29"/>
      <c r="B19" s="29" t="s">
        <v>573</v>
      </c>
      <c r="C19" s="27" t="s">
        <v>140</v>
      </c>
      <c r="D19" s="31">
        <v>10</v>
      </c>
      <c r="E19" s="31" t="s">
        <v>30</v>
      </c>
      <c r="F19" s="28">
        <v>135000</v>
      </c>
      <c r="G19" s="179">
        <v>1350000</v>
      </c>
      <c r="H19" s="185"/>
      <c r="I19" s="181"/>
      <c r="J19" s="26"/>
      <c r="K19" s="26"/>
      <c r="L19" s="34"/>
      <c r="M19" s="34"/>
      <c r="N19" s="35"/>
      <c r="O19" s="26"/>
    </row>
    <row r="20" spans="1:16">
      <c r="A20" s="29"/>
      <c r="B20" s="29" t="s">
        <v>574</v>
      </c>
      <c r="C20" s="27" t="s">
        <v>140</v>
      </c>
      <c r="D20" s="31">
        <v>3</v>
      </c>
      <c r="E20" s="31" t="s">
        <v>30</v>
      </c>
      <c r="F20" s="28">
        <v>40000</v>
      </c>
      <c r="G20" s="179">
        <v>120000</v>
      </c>
      <c r="H20" s="185"/>
      <c r="I20" s="181"/>
      <c r="J20" s="26"/>
      <c r="K20" s="26"/>
      <c r="L20" s="34"/>
      <c r="M20" s="34"/>
      <c r="N20" s="248" t="s">
        <v>993</v>
      </c>
      <c r="O20" s="26"/>
      <c r="P20">
        <f>O21</f>
        <v>0</v>
      </c>
    </row>
    <row r="21" spans="1:16" ht="15.75" thickBot="1">
      <c r="A21" s="29"/>
      <c r="B21" s="29" t="s">
        <v>575</v>
      </c>
      <c r="C21" s="27" t="s">
        <v>140</v>
      </c>
      <c r="D21" s="31">
        <v>10</v>
      </c>
      <c r="E21" s="31" t="s">
        <v>30</v>
      </c>
      <c r="F21" s="28">
        <v>80000</v>
      </c>
      <c r="G21" s="179">
        <v>800000</v>
      </c>
      <c r="H21" s="185"/>
      <c r="I21" s="181"/>
      <c r="J21" s="26"/>
      <c r="K21" s="26"/>
      <c r="L21" s="34"/>
      <c r="M21" s="34"/>
      <c r="N21" s="248"/>
      <c r="O21" s="26"/>
    </row>
    <row r="22" spans="1:16">
      <c r="A22" s="32">
        <v>44708</v>
      </c>
      <c r="B22" s="29" t="s">
        <v>580</v>
      </c>
      <c r="C22" s="27" t="s">
        <v>16</v>
      </c>
      <c r="D22" s="31">
        <v>1</v>
      </c>
      <c r="E22" s="31" t="s">
        <v>49</v>
      </c>
      <c r="F22" s="28">
        <v>5500000</v>
      </c>
      <c r="G22" s="179">
        <v>5500000</v>
      </c>
      <c r="H22" s="184" t="s">
        <v>579</v>
      </c>
      <c r="I22" s="181" t="s">
        <v>587</v>
      </c>
      <c r="J22" s="26"/>
      <c r="K22" s="26"/>
      <c r="L22" s="34"/>
      <c r="M22" s="34"/>
      <c r="N22" s="26"/>
      <c r="O22" s="26"/>
    </row>
    <row r="23" spans="1:16" ht="15.75" thickBot="1">
      <c r="A23" s="29"/>
      <c r="B23" s="29" t="s">
        <v>578</v>
      </c>
      <c r="C23" s="27" t="s">
        <v>16</v>
      </c>
      <c r="D23" s="31">
        <v>1</v>
      </c>
      <c r="E23" s="31" t="s">
        <v>49</v>
      </c>
      <c r="F23" s="28">
        <v>5500000</v>
      </c>
      <c r="G23" s="179">
        <v>5500000</v>
      </c>
      <c r="H23" s="185"/>
      <c r="I23" s="181"/>
      <c r="J23" s="26"/>
      <c r="K23" s="26"/>
      <c r="L23" s="34"/>
      <c r="M23" s="34"/>
      <c r="N23" s="26"/>
      <c r="O23" s="26"/>
    </row>
    <row r="24" spans="1:16">
      <c r="A24" s="29"/>
      <c r="B24" s="29" t="s">
        <v>581</v>
      </c>
      <c r="C24" s="27" t="s">
        <v>140</v>
      </c>
      <c r="D24" s="31">
        <v>5</v>
      </c>
      <c r="E24" s="31" t="s">
        <v>30</v>
      </c>
      <c r="F24" s="28">
        <v>136000</v>
      </c>
      <c r="G24" s="179">
        <v>675000</v>
      </c>
      <c r="H24" s="184"/>
      <c r="I24" s="181"/>
      <c r="J24" s="26"/>
      <c r="K24" s="26"/>
      <c r="L24" s="34"/>
      <c r="M24" s="34"/>
      <c r="N24" s="26"/>
      <c r="O24" s="26"/>
    </row>
    <row r="25" spans="1:16">
      <c r="A25" s="29"/>
      <c r="B25" s="29" t="s">
        <v>582</v>
      </c>
      <c r="C25" s="27" t="s">
        <v>140</v>
      </c>
      <c r="D25" s="31">
        <v>5</v>
      </c>
      <c r="E25" s="31" t="s">
        <v>30</v>
      </c>
      <c r="F25" s="28">
        <v>160000</v>
      </c>
      <c r="G25" s="179">
        <v>800000</v>
      </c>
      <c r="H25" s="185" t="s">
        <v>585</v>
      </c>
      <c r="I25" s="181" t="s">
        <v>566</v>
      </c>
      <c r="J25" s="26"/>
      <c r="K25" s="26"/>
      <c r="L25" s="34"/>
      <c r="M25" s="34"/>
      <c r="N25" s="26"/>
      <c r="O25" s="26"/>
    </row>
    <row r="26" spans="1:16">
      <c r="A26" s="29"/>
      <c r="B26" s="29" t="s">
        <v>583</v>
      </c>
      <c r="C26" s="27" t="s">
        <v>140</v>
      </c>
      <c r="D26" s="31">
        <v>5</v>
      </c>
      <c r="E26" s="31" t="s">
        <v>30</v>
      </c>
      <c r="F26" s="28">
        <v>135000</v>
      </c>
      <c r="G26" s="179">
        <v>675000</v>
      </c>
      <c r="H26" s="185"/>
      <c r="I26" s="181"/>
      <c r="J26" s="26"/>
      <c r="K26" s="26"/>
      <c r="L26" s="34"/>
      <c r="M26" s="34"/>
      <c r="N26" s="26"/>
      <c r="O26" s="26"/>
    </row>
    <row r="27" spans="1:16" ht="15.75" thickBot="1">
      <c r="A27" s="29"/>
      <c r="B27" s="29" t="s">
        <v>584</v>
      </c>
      <c r="C27" s="27" t="s">
        <v>140</v>
      </c>
      <c r="D27" s="31">
        <v>5</v>
      </c>
      <c r="E27" s="31" t="s">
        <v>30</v>
      </c>
      <c r="F27" s="28">
        <v>160000</v>
      </c>
      <c r="G27" s="179">
        <v>800000</v>
      </c>
      <c r="H27" s="185"/>
      <c r="I27" s="181"/>
      <c r="J27" s="26"/>
      <c r="M27" s="5"/>
    </row>
    <row r="28" spans="1:16" ht="15.75" thickBot="1">
      <c r="A28" s="32">
        <v>44712</v>
      </c>
      <c r="B28" s="29" t="s">
        <v>586</v>
      </c>
      <c r="C28" s="27" t="s">
        <v>279</v>
      </c>
      <c r="D28" s="31">
        <v>20</v>
      </c>
      <c r="E28" s="31" t="s">
        <v>30</v>
      </c>
      <c r="F28" s="28">
        <v>100000</v>
      </c>
      <c r="G28" s="179">
        <v>2000000</v>
      </c>
      <c r="H28" s="280" t="s">
        <v>495</v>
      </c>
      <c r="I28" s="181" t="s">
        <v>566</v>
      </c>
      <c r="J28" s="26"/>
      <c r="M28" s="5"/>
    </row>
    <row r="29" spans="1:16">
      <c r="A29" s="29"/>
      <c r="B29" s="29"/>
      <c r="C29" s="27"/>
      <c r="D29" s="31"/>
      <c r="E29" s="31"/>
      <c r="F29" s="28"/>
      <c r="G29" s="28"/>
      <c r="H29" s="279"/>
      <c r="I29" s="29"/>
      <c r="J29" s="26"/>
      <c r="M29" s="5"/>
    </row>
    <row r="30" spans="1:16">
      <c r="A30" s="29"/>
      <c r="B30" s="29"/>
      <c r="C30" s="27"/>
      <c r="D30" s="31"/>
      <c r="E30" s="31"/>
      <c r="F30" s="28"/>
      <c r="G30" s="28"/>
      <c r="H30" s="28"/>
      <c r="I30" s="29"/>
      <c r="J30" s="26"/>
      <c r="M30" s="5"/>
    </row>
    <row r="31" spans="1:16">
      <c r="A31" s="13"/>
      <c r="B31" s="13"/>
      <c r="C31" s="13"/>
      <c r="D31" s="13"/>
      <c r="E31" s="13"/>
      <c r="F31" s="15"/>
      <c r="G31" s="15"/>
      <c r="H31" s="15"/>
      <c r="I31" s="13"/>
      <c r="M31" s="5"/>
    </row>
    <row r="32" spans="1:16">
      <c r="A32" s="13"/>
      <c r="B32" s="13"/>
      <c r="C32" s="13"/>
      <c r="D32" s="13"/>
      <c r="E32" s="13"/>
      <c r="F32" s="15"/>
      <c r="G32" s="15"/>
      <c r="H32" s="15"/>
      <c r="I32" s="13"/>
      <c r="M32" s="5"/>
    </row>
    <row r="33" spans="1:13">
      <c r="A33" s="13"/>
      <c r="B33" s="13"/>
      <c r="C33" s="13"/>
      <c r="D33" s="13"/>
      <c r="E33" s="13"/>
      <c r="F33" s="15"/>
      <c r="G33" s="15"/>
      <c r="H33" s="15"/>
      <c r="I33" s="13"/>
      <c r="M33" s="5"/>
    </row>
    <row r="34" spans="1:13">
      <c r="A34" s="13"/>
      <c r="B34" s="13"/>
      <c r="C34" s="13"/>
      <c r="D34" s="13"/>
      <c r="E34" s="13"/>
      <c r="F34" s="15"/>
      <c r="G34" s="15"/>
      <c r="H34" s="15"/>
      <c r="I34" s="13"/>
      <c r="M34" s="5"/>
    </row>
    <row r="35" spans="1:13">
      <c r="A35" s="13"/>
      <c r="B35" s="13"/>
      <c r="C35" s="13"/>
      <c r="D35" s="13"/>
      <c r="E35" s="13"/>
      <c r="F35" s="15"/>
      <c r="G35" s="15"/>
      <c r="H35" s="15"/>
      <c r="I35" s="13"/>
      <c r="M35" s="5"/>
    </row>
    <row r="36" spans="1:13">
      <c r="A36" s="13"/>
      <c r="B36" s="13"/>
      <c r="C36" s="13"/>
      <c r="D36" s="13"/>
      <c r="E36" s="13"/>
      <c r="F36" s="15"/>
      <c r="G36" s="15"/>
      <c r="H36" s="15"/>
      <c r="I36" s="13"/>
      <c r="M36" s="5"/>
    </row>
    <row r="37" spans="1:13">
      <c r="A37" s="13"/>
      <c r="B37" s="13"/>
      <c r="C37" s="13"/>
      <c r="D37" s="13"/>
      <c r="E37" s="13"/>
      <c r="F37" s="15"/>
      <c r="G37" s="15"/>
      <c r="H37" s="15"/>
      <c r="I37" s="13"/>
      <c r="M37" s="5"/>
    </row>
    <row r="38" spans="1:13">
      <c r="A38" s="13"/>
      <c r="B38" s="13"/>
      <c r="C38" s="13"/>
      <c r="D38" s="13"/>
      <c r="E38" s="13"/>
      <c r="F38" s="15"/>
      <c r="G38" s="15"/>
      <c r="H38" s="15"/>
      <c r="I38" s="13"/>
      <c r="M38" s="5"/>
    </row>
    <row r="39" spans="1:13">
      <c r="A39" s="13"/>
      <c r="B39" s="13"/>
      <c r="C39" s="13"/>
      <c r="D39" s="13"/>
      <c r="E39" s="13"/>
      <c r="F39" s="15"/>
      <c r="G39" s="15"/>
      <c r="H39" s="15"/>
      <c r="I39" s="13"/>
      <c r="M39" s="5"/>
    </row>
    <row r="40" spans="1:13">
      <c r="A40" s="13"/>
      <c r="B40" s="13"/>
      <c r="C40" s="13"/>
      <c r="D40" s="13"/>
      <c r="E40" s="13"/>
      <c r="F40" s="15"/>
      <c r="G40" s="15"/>
      <c r="H40" s="15"/>
      <c r="I40" s="13"/>
      <c r="M40" s="5"/>
    </row>
    <row r="41" spans="1:13">
      <c r="A41" s="13"/>
      <c r="B41" s="13"/>
      <c r="C41" s="13"/>
      <c r="D41" s="13"/>
      <c r="E41" s="13"/>
      <c r="F41" s="15"/>
      <c r="G41" s="15"/>
      <c r="H41" s="15"/>
      <c r="I41" s="13"/>
    </row>
    <row r="42" spans="1:13">
      <c r="A42" s="13"/>
      <c r="B42" s="13"/>
      <c r="C42" s="13"/>
      <c r="D42" s="13"/>
      <c r="E42" s="13"/>
      <c r="F42" s="15"/>
      <c r="G42" s="15"/>
      <c r="H42" s="15"/>
      <c r="I42" s="13"/>
    </row>
    <row r="43" spans="1:13">
      <c r="A43" s="13"/>
      <c r="B43" s="13"/>
      <c r="C43" s="13"/>
      <c r="D43" s="13"/>
      <c r="E43" s="13"/>
      <c r="F43" s="13"/>
      <c r="G43" s="13"/>
      <c r="H43" s="13"/>
      <c r="I43" s="13"/>
    </row>
  </sheetData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O128"/>
  <sheetViews>
    <sheetView topLeftCell="A97" zoomScale="110" zoomScaleNormal="110" workbookViewId="0">
      <selection activeCell="B96" sqref="B96"/>
    </sheetView>
  </sheetViews>
  <sheetFormatPr defaultRowHeight="15"/>
  <cols>
    <col min="2" max="2" width="40.42578125" customWidth="1"/>
    <col min="3" max="3" width="14.42578125" customWidth="1"/>
    <col min="6" max="6" width="15" customWidth="1"/>
    <col min="7" max="7" width="16.28515625" customWidth="1"/>
    <col min="8" max="8" width="17" customWidth="1"/>
    <col min="9" max="9" width="17.140625" customWidth="1"/>
    <col min="12" max="12" width="10.85546875" customWidth="1"/>
    <col min="13" max="13" width="17.5703125" customWidth="1"/>
    <col min="14" max="14" width="15.42578125" customWidth="1"/>
    <col min="15" max="15" width="22.140625" customWidth="1"/>
  </cols>
  <sheetData>
    <row r="1" spans="1:15">
      <c r="A1" s="1" t="s">
        <v>0</v>
      </c>
      <c r="C1" s="2"/>
      <c r="D1" s="2"/>
      <c r="E1" s="2"/>
      <c r="F1" s="3"/>
      <c r="G1" s="3"/>
      <c r="H1" s="3"/>
      <c r="K1" s="4" t="s">
        <v>157</v>
      </c>
      <c r="L1" s="5"/>
      <c r="M1" s="5"/>
      <c r="N1" s="3"/>
    </row>
    <row r="2" spans="1:15" ht="45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9" t="s">
        <v>7</v>
      </c>
      <c r="H2" s="8" t="s">
        <v>8</v>
      </c>
      <c r="I2" s="7" t="s">
        <v>9</v>
      </c>
      <c r="K2" s="10" t="s">
        <v>10</v>
      </c>
      <c r="L2" s="11" t="s">
        <v>11</v>
      </c>
      <c r="M2" s="6" t="s">
        <v>12</v>
      </c>
      <c r="N2" s="9" t="s">
        <v>13</v>
      </c>
      <c r="O2" s="7" t="s">
        <v>9</v>
      </c>
    </row>
    <row r="3" spans="1:15">
      <c r="A3" s="12">
        <v>44718</v>
      </c>
      <c r="B3" s="13" t="s">
        <v>593</v>
      </c>
      <c r="C3" s="14" t="s">
        <v>345</v>
      </c>
      <c r="D3" s="14">
        <v>1</v>
      </c>
      <c r="E3" s="14" t="s">
        <v>30</v>
      </c>
      <c r="F3" s="15">
        <v>6000000</v>
      </c>
      <c r="G3" s="15">
        <v>6000000</v>
      </c>
      <c r="H3" s="16">
        <v>6000000</v>
      </c>
      <c r="I3" s="16" t="s">
        <v>595</v>
      </c>
      <c r="J3" s="17"/>
      <c r="K3" s="201">
        <v>1</v>
      </c>
      <c r="L3" s="198">
        <v>44669</v>
      </c>
      <c r="M3" s="199" t="s">
        <v>15</v>
      </c>
      <c r="N3" s="215">
        <v>21250000</v>
      </c>
      <c r="O3" s="216" t="s">
        <v>554</v>
      </c>
    </row>
    <row r="4" spans="1:15" ht="15.75" thickBot="1">
      <c r="A4" s="13"/>
      <c r="B4" s="13" t="s">
        <v>596</v>
      </c>
      <c r="C4" s="14" t="s">
        <v>594</v>
      </c>
      <c r="D4" s="14">
        <v>1</v>
      </c>
      <c r="E4" s="14" t="s">
        <v>49</v>
      </c>
      <c r="F4" s="15">
        <v>10500000</v>
      </c>
      <c r="G4" s="15">
        <v>10500000</v>
      </c>
      <c r="H4" s="304">
        <v>10500000</v>
      </c>
      <c r="I4" s="16" t="s">
        <v>421</v>
      </c>
      <c r="J4" s="19"/>
      <c r="K4" s="287">
        <v>2</v>
      </c>
      <c r="L4" s="288">
        <v>44677</v>
      </c>
      <c r="M4" s="166" t="s">
        <v>345</v>
      </c>
      <c r="N4" s="166" t="s">
        <v>536</v>
      </c>
      <c r="O4" s="166" t="s">
        <v>567</v>
      </c>
    </row>
    <row r="5" spans="1:15">
      <c r="A5" s="12">
        <v>44719</v>
      </c>
      <c r="B5" s="13" t="s">
        <v>599</v>
      </c>
      <c r="C5" s="14" t="s">
        <v>16</v>
      </c>
      <c r="D5" s="14">
        <v>2</v>
      </c>
      <c r="E5" s="14" t="s">
        <v>49</v>
      </c>
      <c r="F5" s="15">
        <v>1110000</v>
      </c>
      <c r="G5" s="77">
        <v>2220000</v>
      </c>
      <c r="H5" s="177" t="s">
        <v>601</v>
      </c>
      <c r="I5" s="175" t="s">
        <v>587</v>
      </c>
      <c r="J5" s="23"/>
      <c r="K5" s="201">
        <v>3</v>
      </c>
      <c r="L5" s="198">
        <v>44682</v>
      </c>
      <c r="M5" s="199" t="s">
        <v>15</v>
      </c>
      <c r="N5" s="200">
        <v>4041000</v>
      </c>
      <c r="O5" s="155" t="s">
        <v>567</v>
      </c>
    </row>
    <row r="6" spans="1:15" ht="15.75" thickBot="1">
      <c r="A6" s="13"/>
      <c r="B6" s="13" t="s">
        <v>600</v>
      </c>
      <c r="C6" s="14" t="s">
        <v>16</v>
      </c>
      <c r="D6" s="14">
        <v>2</v>
      </c>
      <c r="E6" s="14" t="s">
        <v>49</v>
      </c>
      <c r="F6" s="15">
        <v>1110000</v>
      </c>
      <c r="G6" s="77">
        <v>2220000</v>
      </c>
      <c r="H6" s="178"/>
      <c r="I6" s="175"/>
      <c r="J6" s="26"/>
      <c r="K6" s="201">
        <v>4</v>
      </c>
      <c r="L6" s="198">
        <v>44693</v>
      </c>
      <c r="M6" s="199" t="s">
        <v>15</v>
      </c>
      <c r="N6" s="215">
        <v>4815000</v>
      </c>
      <c r="O6" s="155" t="s">
        <v>567</v>
      </c>
    </row>
    <row r="7" spans="1:15">
      <c r="A7" s="12">
        <v>44721</v>
      </c>
      <c r="B7" s="13" t="s">
        <v>604</v>
      </c>
      <c r="C7" s="14" t="s">
        <v>345</v>
      </c>
      <c r="D7" s="14">
        <v>2</v>
      </c>
      <c r="E7" s="14" t="s">
        <v>30</v>
      </c>
      <c r="F7" s="15">
        <v>700000</v>
      </c>
      <c r="G7" s="77">
        <v>1400000</v>
      </c>
      <c r="H7" s="177"/>
      <c r="I7" s="175"/>
      <c r="J7" s="26"/>
      <c r="K7" s="201">
        <v>5</v>
      </c>
      <c r="L7" s="198">
        <v>44697</v>
      </c>
      <c r="M7" s="199" t="s">
        <v>15</v>
      </c>
      <c r="N7" s="215">
        <v>8305000</v>
      </c>
      <c r="O7" s="155" t="s">
        <v>567</v>
      </c>
    </row>
    <row r="8" spans="1:15">
      <c r="A8" s="12"/>
      <c r="B8" s="13" t="s">
        <v>602</v>
      </c>
      <c r="C8" s="14" t="s">
        <v>345</v>
      </c>
      <c r="D8" s="14">
        <v>4</v>
      </c>
      <c r="E8" s="14" t="s">
        <v>30</v>
      </c>
      <c r="F8" s="15">
        <v>275000</v>
      </c>
      <c r="G8" s="77">
        <v>1650000</v>
      </c>
      <c r="H8" s="178"/>
      <c r="I8" s="175"/>
      <c r="J8" s="26"/>
      <c r="K8" s="289">
        <v>6</v>
      </c>
      <c r="L8" s="290">
        <v>44708</v>
      </c>
      <c r="M8" s="291" t="s">
        <v>140</v>
      </c>
      <c r="N8" s="292">
        <v>2950000</v>
      </c>
      <c r="O8" s="293" t="s">
        <v>567</v>
      </c>
    </row>
    <row r="9" spans="1:15">
      <c r="A9" s="13"/>
      <c r="B9" s="13" t="s">
        <v>603</v>
      </c>
      <c r="C9" s="14" t="s">
        <v>345</v>
      </c>
      <c r="D9" s="14">
        <v>2</v>
      </c>
      <c r="E9" s="14" t="s">
        <v>30</v>
      </c>
      <c r="F9" s="15">
        <v>650000</v>
      </c>
      <c r="G9" s="77">
        <v>1300000</v>
      </c>
      <c r="H9" s="178"/>
      <c r="I9" s="175"/>
      <c r="J9" s="26"/>
      <c r="K9" s="289">
        <v>7</v>
      </c>
      <c r="L9" s="290">
        <v>44704</v>
      </c>
      <c r="M9" s="291" t="s">
        <v>140</v>
      </c>
      <c r="N9" s="294">
        <v>7970000</v>
      </c>
      <c r="O9" s="295" t="s">
        <v>567</v>
      </c>
    </row>
    <row r="10" spans="1:15">
      <c r="A10" s="29"/>
      <c r="B10" s="29" t="s">
        <v>605</v>
      </c>
      <c r="C10" s="14" t="s">
        <v>345</v>
      </c>
      <c r="D10" s="31">
        <v>4</v>
      </c>
      <c r="E10" s="14" t="s">
        <v>30</v>
      </c>
      <c r="F10" s="15">
        <v>185000</v>
      </c>
      <c r="G10" s="77">
        <v>740000</v>
      </c>
      <c r="H10" s="178"/>
      <c r="I10" s="175"/>
      <c r="J10" s="26"/>
      <c r="K10" s="327">
        <v>9</v>
      </c>
      <c r="L10" s="328">
        <v>44712</v>
      </c>
      <c r="M10" s="329" t="s">
        <v>925</v>
      </c>
      <c r="N10" s="330">
        <v>2000000</v>
      </c>
      <c r="O10" s="331" t="s">
        <v>567</v>
      </c>
    </row>
    <row r="11" spans="1:15">
      <c r="A11" s="29"/>
      <c r="B11" s="29" t="s">
        <v>606</v>
      </c>
      <c r="C11" s="14" t="s">
        <v>345</v>
      </c>
      <c r="D11" s="31">
        <v>1</v>
      </c>
      <c r="E11" s="14" t="s">
        <v>30</v>
      </c>
      <c r="F11" s="28">
        <v>750000</v>
      </c>
      <c r="G11" s="179">
        <v>750000</v>
      </c>
      <c r="H11" s="178" t="s">
        <v>1003</v>
      </c>
      <c r="I11" s="175"/>
      <c r="J11" s="26"/>
      <c r="K11" s="319">
        <v>11</v>
      </c>
      <c r="L11" s="320">
        <v>44732</v>
      </c>
      <c r="M11" s="321" t="s">
        <v>671</v>
      </c>
      <c r="N11" s="322">
        <v>10675000</v>
      </c>
      <c r="O11" s="323" t="s">
        <v>567</v>
      </c>
    </row>
    <row r="12" spans="1:15">
      <c r="A12" s="32"/>
      <c r="B12" s="29" t="s">
        <v>607</v>
      </c>
      <c r="C12" s="27" t="s">
        <v>345</v>
      </c>
      <c r="D12" s="31">
        <v>1</v>
      </c>
      <c r="E12" s="31" t="s">
        <v>30</v>
      </c>
      <c r="F12" s="28">
        <v>850000</v>
      </c>
      <c r="G12" s="179">
        <v>850000</v>
      </c>
      <c r="H12" s="185"/>
      <c r="I12" s="180"/>
      <c r="J12" s="26"/>
      <c r="K12" s="289">
        <v>12</v>
      </c>
      <c r="L12" s="290">
        <v>44732</v>
      </c>
      <c r="M12" s="291" t="s">
        <v>140</v>
      </c>
      <c r="N12" s="292">
        <v>6400000</v>
      </c>
      <c r="O12" s="295" t="s">
        <v>567</v>
      </c>
    </row>
    <row r="13" spans="1:15">
      <c r="A13" s="29"/>
      <c r="B13" s="29" t="s">
        <v>608</v>
      </c>
      <c r="C13" s="27" t="s">
        <v>345</v>
      </c>
      <c r="D13" s="31">
        <v>1</v>
      </c>
      <c r="E13" s="31" t="s">
        <v>30</v>
      </c>
      <c r="F13" s="28">
        <v>850000</v>
      </c>
      <c r="G13" s="179">
        <v>850000</v>
      </c>
      <c r="H13" s="185"/>
      <c r="I13" s="181"/>
      <c r="J13" s="26"/>
      <c r="K13" s="333">
        <v>13</v>
      </c>
      <c r="L13" s="156">
        <v>44735</v>
      </c>
      <c r="M13" s="157" t="s">
        <v>273</v>
      </c>
      <c r="N13" s="158">
        <v>7015000</v>
      </c>
      <c r="O13" s="136" t="s">
        <v>1071</v>
      </c>
    </row>
    <row r="14" spans="1:15">
      <c r="A14" s="29"/>
      <c r="B14" s="29" t="s">
        <v>609</v>
      </c>
      <c r="C14" s="27" t="s">
        <v>345</v>
      </c>
      <c r="D14" s="31">
        <v>1</v>
      </c>
      <c r="E14" s="31" t="s">
        <v>30</v>
      </c>
      <c r="F14" s="28">
        <v>750000</v>
      </c>
      <c r="G14" s="179">
        <v>750000</v>
      </c>
      <c r="H14" s="185" t="s">
        <v>624</v>
      </c>
      <c r="I14" s="181" t="s">
        <v>868</v>
      </c>
      <c r="J14" s="26"/>
      <c r="K14" s="374">
        <v>14</v>
      </c>
      <c r="L14" s="375">
        <v>44627</v>
      </c>
      <c r="M14" s="376" t="s">
        <v>21</v>
      </c>
      <c r="N14" s="377">
        <v>2400000</v>
      </c>
      <c r="O14" s="149" t="s">
        <v>567</v>
      </c>
    </row>
    <row r="15" spans="1:15">
      <c r="A15" s="29"/>
      <c r="B15" s="29" t="s">
        <v>610</v>
      </c>
      <c r="C15" s="27" t="s">
        <v>345</v>
      </c>
      <c r="D15" s="31">
        <v>2</v>
      </c>
      <c r="E15" s="31" t="s">
        <v>30</v>
      </c>
      <c r="F15" s="28">
        <v>625000</v>
      </c>
      <c r="G15" s="179">
        <v>1250000</v>
      </c>
      <c r="H15" s="185"/>
      <c r="I15" s="181"/>
      <c r="J15" s="26"/>
      <c r="K15" s="289">
        <v>15</v>
      </c>
      <c r="L15" s="290"/>
      <c r="M15" s="291" t="s">
        <v>140</v>
      </c>
      <c r="N15" s="292">
        <v>1300000</v>
      </c>
      <c r="O15" s="380" t="s">
        <v>567</v>
      </c>
    </row>
    <row r="16" spans="1:15">
      <c r="A16" s="29"/>
      <c r="B16" s="29" t="s">
        <v>611</v>
      </c>
      <c r="C16" s="27" t="s">
        <v>345</v>
      </c>
      <c r="D16" s="31">
        <v>2</v>
      </c>
      <c r="E16" s="31" t="s">
        <v>30</v>
      </c>
      <c r="F16" s="28">
        <v>275000</v>
      </c>
      <c r="G16" s="179">
        <v>550000</v>
      </c>
      <c r="H16" s="185"/>
      <c r="I16" s="181"/>
      <c r="J16" s="26"/>
      <c r="K16" s="20">
        <v>16</v>
      </c>
      <c r="L16" s="33">
        <v>44728</v>
      </c>
      <c r="M16" s="14" t="s">
        <v>355</v>
      </c>
      <c r="N16" s="28">
        <v>9250000</v>
      </c>
      <c r="O16" s="38" t="s">
        <v>1085</v>
      </c>
    </row>
    <row r="17" spans="1:15">
      <c r="A17" s="29"/>
      <c r="B17" s="29" t="s">
        <v>612</v>
      </c>
      <c r="C17" s="27" t="s">
        <v>345</v>
      </c>
      <c r="D17" s="31">
        <v>1</v>
      </c>
      <c r="E17" s="31" t="s">
        <v>30</v>
      </c>
      <c r="F17" s="28">
        <v>550000</v>
      </c>
      <c r="G17" s="179">
        <v>550000</v>
      </c>
      <c r="H17" s="185"/>
      <c r="I17" s="181"/>
      <c r="J17" s="26"/>
      <c r="K17" s="20">
        <v>17</v>
      </c>
      <c r="L17" s="25"/>
      <c r="M17" s="27"/>
      <c r="N17" s="28"/>
      <c r="O17" s="38"/>
    </row>
    <row r="18" spans="1:15">
      <c r="A18" s="29"/>
      <c r="B18" s="29" t="s">
        <v>613</v>
      </c>
      <c r="C18" s="27" t="s">
        <v>345</v>
      </c>
      <c r="D18" s="31">
        <v>1</v>
      </c>
      <c r="E18" s="31" t="s">
        <v>30</v>
      </c>
      <c r="F18" s="28">
        <v>1000000</v>
      </c>
      <c r="G18" s="179">
        <v>1000000</v>
      </c>
      <c r="H18" s="185"/>
      <c r="I18" s="181"/>
      <c r="J18" s="26"/>
      <c r="K18" s="24">
        <v>18</v>
      </c>
      <c r="L18" s="25"/>
      <c r="M18" s="27"/>
      <c r="N18" s="28"/>
      <c r="O18" s="38"/>
    </row>
    <row r="19" spans="1:15">
      <c r="A19" s="29"/>
      <c r="B19" s="29" t="s">
        <v>614</v>
      </c>
      <c r="C19" s="27" t="s">
        <v>345</v>
      </c>
      <c r="D19" s="31">
        <v>4</v>
      </c>
      <c r="E19" s="31" t="s">
        <v>30</v>
      </c>
      <c r="F19" s="28">
        <v>140000</v>
      </c>
      <c r="G19" s="179">
        <v>560000</v>
      </c>
      <c r="H19" s="185"/>
      <c r="I19" s="181"/>
      <c r="J19" s="26"/>
      <c r="K19" s="20">
        <v>19</v>
      </c>
      <c r="L19" s="25"/>
      <c r="M19" s="27"/>
      <c r="N19" s="28"/>
      <c r="O19" s="38"/>
    </row>
    <row r="20" spans="1:15">
      <c r="A20" s="29"/>
      <c r="B20" s="29" t="s">
        <v>615</v>
      </c>
      <c r="C20" s="27" t="s">
        <v>345</v>
      </c>
      <c r="D20" s="31">
        <v>5</v>
      </c>
      <c r="E20" s="31" t="s">
        <v>30</v>
      </c>
      <c r="F20" s="28">
        <v>200000</v>
      </c>
      <c r="G20" s="179">
        <v>1000000</v>
      </c>
      <c r="H20" s="185"/>
      <c r="I20" s="181"/>
      <c r="J20" s="26"/>
      <c r="K20" s="29"/>
      <c r="L20" s="25"/>
      <c r="M20" s="27"/>
      <c r="N20" s="28"/>
      <c r="O20" s="29"/>
    </row>
    <row r="21" spans="1:15">
      <c r="A21" s="29"/>
      <c r="B21" s="29" t="s">
        <v>616</v>
      </c>
      <c r="C21" s="27" t="s">
        <v>345</v>
      </c>
      <c r="D21" s="31">
        <v>2</v>
      </c>
      <c r="E21" s="31" t="s">
        <v>30</v>
      </c>
      <c r="F21" s="28">
        <v>425000</v>
      </c>
      <c r="G21" s="179">
        <v>850000</v>
      </c>
      <c r="H21" s="185"/>
      <c r="I21" s="181"/>
      <c r="J21" s="26"/>
      <c r="K21" s="26"/>
      <c r="L21" s="34"/>
      <c r="M21" s="34"/>
      <c r="N21" s="26"/>
      <c r="O21" s="26"/>
    </row>
    <row r="22" spans="1:15">
      <c r="A22" s="29"/>
      <c r="B22" s="29" t="s">
        <v>617</v>
      </c>
      <c r="C22" s="27" t="s">
        <v>345</v>
      </c>
      <c r="D22" s="31">
        <v>3</v>
      </c>
      <c r="E22" s="31" t="s">
        <v>30</v>
      </c>
      <c r="F22" s="28">
        <v>375000</v>
      </c>
      <c r="G22" s="179">
        <v>1125000</v>
      </c>
      <c r="H22" s="185"/>
      <c r="I22" s="181"/>
      <c r="J22" s="26"/>
      <c r="K22" s="26"/>
      <c r="L22" s="34"/>
      <c r="M22" s="34"/>
      <c r="N22" s="35"/>
      <c r="O22" s="26"/>
    </row>
    <row r="23" spans="1:15">
      <c r="A23" s="29"/>
      <c r="B23" s="29" t="s">
        <v>618</v>
      </c>
      <c r="C23" s="27" t="s">
        <v>345</v>
      </c>
      <c r="D23" s="31">
        <v>2</v>
      </c>
      <c r="E23" s="31" t="s">
        <v>30</v>
      </c>
      <c r="F23" s="28">
        <v>450000</v>
      </c>
      <c r="G23" s="179">
        <v>900000</v>
      </c>
      <c r="H23" s="185"/>
      <c r="I23" s="181"/>
      <c r="J23" s="26"/>
      <c r="K23" s="26"/>
      <c r="L23" s="34"/>
      <c r="M23" s="34"/>
      <c r="N23" s="35" t="s">
        <v>1054</v>
      </c>
      <c r="O23" s="26"/>
    </row>
    <row r="24" spans="1:15">
      <c r="A24" s="29"/>
      <c r="B24" s="29" t="s">
        <v>619</v>
      </c>
      <c r="C24" s="27" t="s">
        <v>345</v>
      </c>
      <c r="D24" s="31">
        <v>2</v>
      </c>
      <c r="E24" s="31" t="s">
        <v>30</v>
      </c>
      <c r="F24" s="28">
        <v>150000</v>
      </c>
      <c r="G24" s="179">
        <v>300000</v>
      </c>
      <c r="H24" s="185"/>
      <c r="I24" s="181"/>
      <c r="J24" s="26"/>
      <c r="K24" s="26"/>
      <c r="L24" s="34"/>
      <c r="M24" s="34"/>
      <c r="N24" s="286">
        <v>102456000</v>
      </c>
      <c r="O24" s="26" t="s">
        <v>1076</v>
      </c>
    </row>
    <row r="25" spans="1:15">
      <c r="A25" s="29"/>
      <c r="B25" s="29" t="s">
        <v>620</v>
      </c>
      <c r="C25" s="27" t="s">
        <v>345</v>
      </c>
      <c r="D25" s="31">
        <v>2</v>
      </c>
      <c r="E25" s="31" t="s">
        <v>30</v>
      </c>
      <c r="F25" s="28">
        <v>600000</v>
      </c>
      <c r="G25" s="179">
        <v>1200000</v>
      </c>
      <c r="H25" s="185"/>
      <c r="I25" s="181"/>
      <c r="J25" s="26"/>
      <c r="K25" s="26"/>
      <c r="L25" s="34"/>
      <c r="M25" s="34"/>
      <c r="N25" s="26" t="s">
        <v>1086</v>
      </c>
      <c r="O25" s="26" t="s">
        <v>1087</v>
      </c>
    </row>
    <row r="26" spans="1:15">
      <c r="A26" s="29"/>
      <c r="B26" s="29" t="s">
        <v>621</v>
      </c>
      <c r="C26" s="27" t="s">
        <v>345</v>
      </c>
      <c r="D26" s="31">
        <v>4</v>
      </c>
      <c r="E26" s="31" t="s">
        <v>30</v>
      </c>
      <c r="F26" s="28">
        <v>130000</v>
      </c>
      <c r="G26" s="179">
        <v>520000</v>
      </c>
      <c r="H26" s="185"/>
      <c r="I26" s="181"/>
      <c r="J26" s="26"/>
      <c r="K26" s="26"/>
      <c r="L26" s="34"/>
      <c r="M26" s="34"/>
      <c r="N26" s="26"/>
      <c r="O26" s="26"/>
    </row>
    <row r="27" spans="1:15">
      <c r="A27" s="29"/>
      <c r="B27" s="29" t="s">
        <v>622</v>
      </c>
      <c r="C27" s="27" t="s">
        <v>345</v>
      </c>
      <c r="D27" s="31">
        <v>4</v>
      </c>
      <c r="E27" s="31" t="s">
        <v>30</v>
      </c>
      <c r="F27" s="28">
        <v>130000</v>
      </c>
      <c r="G27" s="179">
        <v>520000</v>
      </c>
      <c r="H27" s="185"/>
      <c r="I27" s="181"/>
      <c r="J27" s="26"/>
      <c r="K27" s="26"/>
      <c r="L27" s="34"/>
      <c r="M27" s="34"/>
      <c r="N27" s="26"/>
      <c r="O27" s="26"/>
    </row>
    <row r="28" spans="1:15" ht="15.75" thickBot="1">
      <c r="A28" s="29"/>
      <c r="B28" s="29" t="s">
        <v>623</v>
      </c>
      <c r="C28" s="27" t="s">
        <v>345</v>
      </c>
      <c r="D28" s="31">
        <v>2</v>
      </c>
      <c r="E28" s="31" t="s">
        <v>30</v>
      </c>
      <c r="F28" s="28">
        <v>1050000</v>
      </c>
      <c r="G28" s="179">
        <v>2100000</v>
      </c>
      <c r="H28" s="185"/>
      <c r="I28" s="181"/>
      <c r="J28" s="26"/>
      <c r="K28" s="26"/>
      <c r="L28" s="34"/>
      <c r="M28" s="34"/>
      <c r="N28" s="26"/>
      <c r="O28" s="26"/>
    </row>
    <row r="29" spans="1:15">
      <c r="A29" s="32">
        <v>44722</v>
      </c>
      <c r="B29" s="29" t="s">
        <v>625</v>
      </c>
      <c r="C29" s="27" t="s">
        <v>15</v>
      </c>
      <c r="D29" s="31">
        <v>10</v>
      </c>
      <c r="E29" s="31" t="s">
        <v>30</v>
      </c>
      <c r="F29" s="28">
        <v>330000</v>
      </c>
      <c r="G29" s="179">
        <v>3300000</v>
      </c>
      <c r="H29" s="184"/>
      <c r="I29" s="181"/>
      <c r="J29" s="26"/>
      <c r="L29" s="34"/>
      <c r="M29" s="34"/>
      <c r="N29" s="26"/>
    </row>
    <row r="30" spans="1:15">
      <c r="A30" s="29"/>
      <c r="B30" s="29" t="s">
        <v>626</v>
      </c>
      <c r="C30" s="27" t="s">
        <v>15</v>
      </c>
      <c r="D30" s="31">
        <v>2</v>
      </c>
      <c r="E30" s="31" t="s">
        <v>30</v>
      </c>
      <c r="F30" s="28">
        <v>900000</v>
      </c>
      <c r="G30" s="179">
        <v>1800000</v>
      </c>
      <c r="H30" s="185" t="s">
        <v>628</v>
      </c>
      <c r="I30" s="181" t="s">
        <v>587</v>
      </c>
      <c r="J30" s="26"/>
      <c r="M30" s="5"/>
    </row>
    <row r="31" spans="1:15">
      <c r="A31" s="13"/>
      <c r="B31" s="13" t="s">
        <v>627</v>
      </c>
      <c r="C31" s="14" t="s">
        <v>15</v>
      </c>
      <c r="D31" s="14">
        <v>10</v>
      </c>
      <c r="E31" s="14" t="s">
        <v>30</v>
      </c>
      <c r="F31" s="15">
        <v>95000</v>
      </c>
      <c r="G31" s="77">
        <v>950000</v>
      </c>
      <c r="H31" s="186"/>
      <c r="I31" s="182"/>
      <c r="M31" s="5"/>
    </row>
    <row r="32" spans="1:15" ht="15.75" thickBot="1">
      <c r="A32" s="13"/>
      <c r="B32" s="13" t="s">
        <v>176</v>
      </c>
      <c r="C32" s="14" t="s">
        <v>15</v>
      </c>
      <c r="D32" s="14">
        <v>10</v>
      </c>
      <c r="E32" s="14" t="s">
        <v>30</v>
      </c>
      <c r="F32" s="15">
        <v>95000</v>
      </c>
      <c r="G32" s="77">
        <v>950000</v>
      </c>
      <c r="H32" s="186"/>
      <c r="I32" s="182"/>
      <c r="M32" s="5"/>
    </row>
    <row r="33" spans="1:13">
      <c r="A33" s="12"/>
      <c r="B33" s="13" t="s">
        <v>629</v>
      </c>
      <c r="C33" s="14" t="s">
        <v>345</v>
      </c>
      <c r="D33" s="14">
        <v>1</v>
      </c>
      <c r="E33" s="14" t="s">
        <v>30</v>
      </c>
      <c r="F33" s="15">
        <v>1150000</v>
      </c>
      <c r="G33" s="77">
        <v>1150000</v>
      </c>
      <c r="H33" s="187"/>
      <c r="I33" s="182"/>
      <c r="M33" s="5"/>
    </row>
    <row r="34" spans="1:13">
      <c r="A34" s="13"/>
      <c r="B34" s="13" t="s">
        <v>630</v>
      </c>
      <c r="C34" s="14" t="s">
        <v>345</v>
      </c>
      <c r="D34" s="14">
        <v>1</v>
      </c>
      <c r="E34" s="14" t="s">
        <v>30</v>
      </c>
      <c r="F34" s="15">
        <v>1150000</v>
      </c>
      <c r="G34" s="77">
        <v>1150000</v>
      </c>
      <c r="H34" s="186"/>
      <c r="I34" s="182"/>
      <c r="M34" s="5"/>
    </row>
    <row r="35" spans="1:13">
      <c r="A35" s="13"/>
      <c r="B35" s="13" t="s">
        <v>631</v>
      </c>
      <c r="C35" s="14" t="s">
        <v>345</v>
      </c>
      <c r="D35" s="14">
        <v>1</v>
      </c>
      <c r="E35" s="14" t="s">
        <v>30</v>
      </c>
      <c r="F35" s="15">
        <v>1150000</v>
      </c>
      <c r="G35" s="77">
        <v>1150000</v>
      </c>
      <c r="H35" s="186" t="s">
        <v>635</v>
      </c>
      <c r="I35" s="182" t="s">
        <v>595</v>
      </c>
      <c r="M35" s="5"/>
    </row>
    <row r="36" spans="1:13">
      <c r="A36" s="13"/>
      <c r="B36" s="13" t="s">
        <v>632</v>
      </c>
      <c r="C36" s="14" t="s">
        <v>345</v>
      </c>
      <c r="D36" s="14">
        <v>1</v>
      </c>
      <c r="E36" s="14" t="s">
        <v>30</v>
      </c>
      <c r="F36" s="15">
        <v>750000</v>
      </c>
      <c r="G36" s="77">
        <v>750000</v>
      </c>
      <c r="H36" s="186"/>
      <c r="I36" s="182"/>
      <c r="M36" s="5"/>
    </row>
    <row r="37" spans="1:13">
      <c r="A37" s="13"/>
      <c r="B37" s="13" t="s">
        <v>633</v>
      </c>
      <c r="C37" s="14" t="s">
        <v>345</v>
      </c>
      <c r="D37" s="14">
        <v>1</v>
      </c>
      <c r="E37" s="14" t="s">
        <v>30</v>
      </c>
      <c r="F37" s="15">
        <v>850000</v>
      </c>
      <c r="G37" s="77">
        <v>850000</v>
      </c>
      <c r="H37" s="186"/>
      <c r="I37" s="182"/>
      <c r="M37" s="5"/>
    </row>
    <row r="38" spans="1:13">
      <c r="A38" s="13"/>
      <c r="B38" s="13" t="s">
        <v>634</v>
      </c>
      <c r="C38" s="14" t="s">
        <v>345</v>
      </c>
      <c r="D38" s="14">
        <v>1</v>
      </c>
      <c r="E38" s="14" t="s">
        <v>30</v>
      </c>
      <c r="F38" s="15">
        <v>750000</v>
      </c>
      <c r="G38" s="77">
        <v>750000</v>
      </c>
      <c r="H38" s="186"/>
      <c r="I38" s="182"/>
      <c r="M38" s="5"/>
    </row>
    <row r="39" spans="1:13" ht="15.75" thickBot="1">
      <c r="A39" s="13"/>
      <c r="B39" s="13" t="s">
        <v>606</v>
      </c>
      <c r="C39" s="14" t="s">
        <v>345</v>
      </c>
      <c r="D39" s="14">
        <v>1</v>
      </c>
      <c r="E39" s="14" t="s">
        <v>30</v>
      </c>
      <c r="F39" s="15">
        <v>750000</v>
      </c>
      <c r="G39" s="77">
        <v>750000</v>
      </c>
      <c r="H39" s="188"/>
      <c r="I39" s="182"/>
      <c r="M39" s="5"/>
    </row>
    <row r="40" spans="1:13" ht="15.75" thickBot="1">
      <c r="A40" s="12">
        <v>44725</v>
      </c>
      <c r="B40" s="13" t="s">
        <v>637</v>
      </c>
      <c r="C40" s="14" t="s">
        <v>638</v>
      </c>
      <c r="D40" s="14">
        <v>2</v>
      </c>
      <c r="E40" s="14" t="s">
        <v>30</v>
      </c>
      <c r="F40" s="15">
        <v>1650000</v>
      </c>
      <c r="G40" s="15">
        <v>3300000</v>
      </c>
      <c r="H40" s="305" t="s">
        <v>639</v>
      </c>
      <c r="I40" s="13" t="s">
        <v>640</v>
      </c>
      <c r="M40" s="5"/>
    </row>
    <row r="41" spans="1:13" ht="15.75" thickBot="1">
      <c r="A41" s="13"/>
      <c r="B41" s="13" t="s">
        <v>641</v>
      </c>
      <c r="C41" s="14" t="s">
        <v>17</v>
      </c>
      <c r="D41" s="14">
        <v>10</v>
      </c>
      <c r="E41" s="14" t="s">
        <v>30</v>
      </c>
      <c r="F41" s="15">
        <v>215000</v>
      </c>
      <c r="G41" s="77">
        <v>2150000</v>
      </c>
      <c r="H41" s="306" t="s">
        <v>538</v>
      </c>
      <c r="I41" s="182" t="s">
        <v>587</v>
      </c>
      <c r="M41" s="5"/>
    </row>
    <row r="42" spans="1:13">
      <c r="A42" s="12">
        <v>44726</v>
      </c>
      <c r="B42" s="13" t="s">
        <v>1031</v>
      </c>
      <c r="C42" s="14" t="s">
        <v>117</v>
      </c>
      <c r="D42" s="14">
        <v>10</v>
      </c>
      <c r="E42" s="14" t="s">
        <v>30</v>
      </c>
      <c r="F42" s="15">
        <v>80000</v>
      </c>
      <c r="G42" s="15">
        <v>800000</v>
      </c>
      <c r="H42" s="183" t="s">
        <v>540</v>
      </c>
      <c r="I42" s="13" t="s">
        <v>566</v>
      </c>
      <c r="M42" s="5"/>
    </row>
    <row r="43" spans="1:13" ht="15.75" thickBot="1">
      <c r="A43" s="12"/>
      <c r="B43" s="13" t="s">
        <v>642</v>
      </c>
      <c r="C43" s="14" t="s">
        <v>16</v>
      </c>
      <c r="D43" s="14">
        <v>2</v>
      </c>
      <c r="E43" s="14" t="s">
        <v>49</v>
      </c>
      <c r="F43" s="15">
        <v>1110000</v>
      </c>
      <c r="G43" s="15">
        <v>2220000</v>
      </c>
      <c r="H43" s="305" t="s">
        <v>643</v>
      </c>
      <c r="I43" s="13" t="s">
        <v>587</v>
      </c>
      <c r="M43" s="5"/>
    </row>
    <row r="44" spans="1:13">
      <c r="A44" s="12">
        <v>44727</v>
      </c>
      <c r="B44" s="13" t="s">
        <v>644</v>
      </c>
      <c r="C44" s="14" t="s">
        <v>140</v>
      </c>
      <c r="D44" s="14">
        <v>5</v>
      </c>
      <c r="E44" s="14" t="s">
        <v>30</v>
      </c>
      <c r="F44" s="15">
        <v>300000</v>
      </c>
      <c r="G44" s="77">
        <v>1500000</v>
      </c>
      <c r="H44" s="187" t="s">
        <v>693</v>
      </c>
      <c r="I44" s="182" t="s">
        <v>587</v>
      </c>
      <c r="M44" s="5"/>
    </row>
    <row r="45" spans="1:13">
      <c r="A45" s="12"/>
      <c r="B45" s="103" t="s">
        <v>645</v>
      </c>
      <c r="C45" s="102" t="s">
        <v>671</v>
      </c>
      <c r="D45" s="102">
        <v>5</v>
      </c>
      <c r="E45" s="102" t="s">
        <v>30</v>
      </c>
      <c r="F45" s="227">
        <v>300000</v>
      </c>
      <c r="G45" s="228">
        <v>1500000</v>
      </c>
      <c r="H45" s="229" t="s">
        <v>190</v>
      </c>
      <c r="I45" s="182"/>
      <c r="M45" s="5"/>
    </row>
    <row r="46" spans="1:13" ht="15.75" thickBot="1">
      <c r="A46" s="12"/>
      <c r="B46" s="13" t="s">
        <v>646</v>
      </c>
      <c r="C46" s="14" t="s">
        <v>140</v>
      </c>
      <c r="D46" s="14">
        <v>5</v>
      </c>
      <c r="E46" s="14" t="s">
        <v>30</v>
      </c>
      <c r="F46" s="15">
        <v>300000</v>
      </c>
      <c r="G46" s="77">
        <v>1500000</v>
      </c>
      <c r="H46" s="186"/>
      <c r="I46" s="182"/>
      <c r="M46" s="5"/>
    </row>
    <row r="47" spans="1:13" ht="15.75" thickBot="1">
      <c r="A47" s="12">
        <v>44728</v>
      </c>
      <c r="B47" s="13" t="s">
        <v>647</v>
      </c>
      <c r="C47" s="14" t="s">
        <v>173</v>
      </c>
      <c r="D47" s="14">
        <v>1</v>
      </c>
      <c r="E47" s="14" t="s">
        <v>30</v>
      </c>
      <c r="F47" s="15">
        <v>4800000</v>
      </c>
      <c r="G47" s="77">
        <v>4800000</v>
      </c>
      <c r="H47" s="187" t="s">
        <v>648</v>
      </c>
      <c r="I47" s="182" t="s">
        <v>1044</v>
      </c>
      <c r="M47" s="5"/>
    </row>
    <row r="48" spans="1:13">
      <c r="A48" s="12"/>
      <c r="B48" s="13" t="s">
        <v>649</v>
      </c>
      <c r="C48" s="14" t="s">
        <v>17</v>
      </c>
      <c r="D48" s="14">
        <v>2</v>
      </c>
      <c r="E48" s="14" t="s">
        <v>30</v>
      </c>
      <c r="F48" s="15">
        <v>795000</v>
      </c>
      <c r="G48" s="77">
        <v>1590000</v>
      </c>
      <c r="H48" s="187"/>
      <c r="I48" s="182"/>
      <c r="M48" s="5"/>
    </row>
    <row r="49" spans="1:13">
      <c r="A49" s="12"/>
      <c r="B49" s="13" t="s">
        <v>650</v>
      </c>
      <c r="C49" s="14" t="s">
        <v>17</v>
      </c>
      <c r="D49" s="14">
        <v>2</v>
      </c>
      <c r="E49" s="14" t="s">
        <v>30</v>
      </c>
      <c r="F49" s="15">
        <v>795000</v>
      </c>
      <c r="G49" s="77">
        <v>1590000</v>
      </c>
      <c r="H49" s="186" t="s">
        <v>652</v>
      </c>
      <c r="I49" s="182" t="s">
        <v>587</v>
      </c>
      <c r="M49" s="5"/>
    </row>
    <row r="50" spans="1:13" ht="15.75" thickBot="1">
      <c r="A50" s="12"/>
      <c r="B50" s="13" t="s">
        <v>651</v>
      </c>
      <c r="C50" s="14" t="s">
        <v>17</v>
      </c>
      <c r="D50" s="14">
        <v>2</v>
      </c>
      <c r="E50" s="14" t="s">
        <v>30</v>
      </c>
      <c r="F50" s="15">
        <v>795000</v>
      </c>
      <c r="G50" s="77">
        <v>1590000</v>
      </c>
      <c r="H50" s="188"/>
      <c r="I50" s="182"/>
      <c r="M50" s="5"/>
    </row>
    <row r="51" spans="1:13" ht="15.75" thickBot="1">
      <c r="A51" s="12"/>
      <c r="B51" s="13" t="s">
        <v>654</v>
      </c>
      <c r="C51" s="14" t="s">
        <v>653</v>
      </c>
      <c r="D51" s="14">
        <v>1</v>
      </c>
      <c r="E51" s="14" t="s">
        <v>30</v>
      </c>
      <c r="F51" s="15">
        <v>9250000</v>
      </c>
      <c r="G51" s="77">
        <v>9250000</v>
      </c>
      <c r="H51" s="187" t="s">
        <v>655</v>
      </c>
      <c r="I51" s="182" t="s">
        <v>566</v>
      </c>
      <c r="M51" s="5"/>
    </row>
    <row r="52" spans="1:13">
      <c r="A52" s="12">
        <v>44729</v>
      </c>
      <c r="B52" s="13" t="s">
        <v>656</v>
      </c>
      <c r="C52" s="14" t="s">
        <v>15</v>
      </c>
      <c r="D52" s="14">
        <v>10</v>
      </c>
      <c r="E52" s="14" t="s">
        <v>30</v>
      </c>
      <c r="F52" s="15">
        <v>230000</v>
      </c>
      <c r="G52" s="77">
        <v>2300000</v>
      </c>
      <c r="H52" s="187"/>
      <c r="I52" s="182"/>
      <c r="M52" s="5"/>
    </row>
    <row r="53" spans="1:13">
      <c r="A53" s="12"/>
      <c r="B53" s="13" t="s">
        <v>657</v>
      </c>
      <c r="C53" s="14" t="s">
        <v>15</v>
      </c>
      <c r="D53" s="14">
        <v>2</v>
      </c>
      <c r="E53" s="14" t="s">
        <v>30</v>
      </c>
      <c r="F53" s="15">
        <v>120000</v>
      </c>
      <c r="G53" s="77">
        <v>240000</v>
      </c>
      <c r="H53" s="186"/>
      <c r="I53" s="182"/>
      <c r="M53" s="5"/>
    </row>
    <row r="54" spans="1:13">
      <c r="A54" s="12"/>
      <c r="B54" s="13" t="s">
        <v>658</v>
      </c>
      <c r="C54" s="14" t="s">
        <v>15</v>
      </c>
      <c r="D54" s="14">
        <v>2</v>
      </c>
      <c r="E54" s="14" t="s">
        <v>30</v>
      </c>
      <c r="F54" s="15">
        <v>45000</v>
      </c>
      <c r="G54" s="77">
        <v>900000</v>
      </c>
      <c r="H54" s="186"/>
      <c r="I54" s="182"/>
      <c r="M54" s="5"/>
    </row>
    <row r="55" spans="1:13">
      <c r="A55" s="12"/>
      <c r="B55" s="13" t="s">
        <v>659</v>
      </c>
      <c r="C55" s="14" t="s">
        <v>15</v>
      </c>
      <c r="D55" s="14">
        <v>15</v>
      </c>
      <c r="E55" s="14" t="s">
        <v>30</v>
      </c>
      <c r="F55" s="15">
        <v>135000</v>
      </c>
      <c r="G55" s="77">
        <v>2025000</v>
      </c>
      <c r="H55" s="186" t="s">
        <v>666</v>
      </c>
      <c r="I55" s="182" t="s">
        <v>587</v>
      </c>
      <c r="M55" s="5"/>
    </row>
    <row r="56" spans="1:13">
      <c r="A56" s="12"/>
      <c r="B56" s="13" t="s">
        <v>660</v>
      </c>
      <c r="C56" s="14" t="s">
        <v>15</v>
      </c>
      <c r="D56" s="14">
        <v>15</v>
      </c>
      <c r="E56" s="14" t="s">
        <v>30</v>
      </c>
      <c r="F56" s="15">
        <v>145000</v>
      </c>
      <c r="G56" s="77">
        <v>2175000</v>
      </c>
      <c r="H56" s="186"/>
      <c r="I56" s="182"/>
      <c r="M56" s="5"/>
    </row>
    <row r="57" spans="1:13">
      <c r="A57" s="12"/>
      <c r="B57" s="13" t="s">
        <v>661</v>
      </c>
      <c r="C57" s="14" t="s">
        <v>15</v>
      </c>
      <c r="D57" s="14">
        <v>15</v>
      </c>
      <c r="E57" s="14" t="s">
        <v>30</v>
      </c>
      <c r="F57" s="15">
        <v>85000</v>
      </c>
      <c r="G57" s="77">
        <v>1275000</v>
      </c>
      <c r="H57" s="186"/>
      <c r="I57" s="182"/>
      <c r="M57" s="5"/>
    </row>
    <row r="58" spans="1:13">
      <c r="A58" s="12"/>
      <c r="B58" s="13" t="s">
        <v>662</v>
      </c>
      <c r="C58" s="14" t="s">
        <v>15</v>
      </c>
      <c r="D58" s="14">
        <v>20</v>
      </c>
      <c r="E58" s="14" t="s">
        <v>30</v>
      </c>
      <c r="F58" s="15">
        <v>45000</v>
      </c>
      <c r="G58" s="77">
        <v>900000</v>
      </c>
      <c r="H58" s="186"/>
      <c r="I58" s="182"/>
      <c r="M58" s="5"/>
    </row>
    <row r="59" spans="1:13">
      <c r="A59" s="12"/>
      <c r="B59" s="13" t="s">
        <v>663</v>
      </c>
      <c r="C59" s="14" t="s">
        <v>15</v>
      </c>
      <c r="D59" s="14">
        <v>5</v>
      </c>
      <c r="E59" s="14" t="s">
        <v>30</v>
      </c>
      <c r="F59" s="15">
        <v>500000</v>
      </c>
      <c r="G59" s="77">
        <v>2500000</v>
      </c>
      <c r="H59" s="186"/>
      <c r="I59" s="182"/>
      <c r="M59" s="5"/>
    </row>
    <row r="60" spans="1:13">
      <c r="A60" s="12"/>
      <c r="B60" s="13" t="s">
        <v>664</v>
      </c>
      <c r="C60" s="14" t="s">
        <v>15</v>
      </c>
      <c r="D60" s="14">
        <v>15</v>
      </c>
      <c r="E60" s="14" t="s">
        <v>30</v>
      </c>
      <c r="F60" s="15">
        <v>135000</v>
      </c>
      <c r="G60" s="77">
        <v>2025000</v>
      </c>
      <c r="H60" s="186"/>
      <c r="I60" s="182"/>
      <c r="M60" s="5"/>
    </row>
    <row r="61" spans="1:13" ht="15.75" thickBot="1">
      <c r="A61" s="12"/>
      <c r="B61" s="13" t="s">
        <v>665</v>
      </c>
      <c r="C61" s="14" t="s">
        <v>15</v>
      </c>
      <c r="D61" s="14">
        <v>10</v>
      </c>
      <c r="E61" s="14" t="s">
        <v>30</v>
      </c>
      <c r="F61" s="15">
        <v>65000</v>
      </c>
      <c r="G61" s="77">
        <v>650000</v>
      </c>
      <c r="H61" s="186"/>
      <c r="I61" s="182"/>
      <c r="M61" s="5"/>
    </row>
    <row r="62" spans="1:13">
      <c r="A62" s="12"/>
      <c r="B62" s="13" t="s">
        <v>667</v>
      </c>
      <c r="C62" s="14" t="s">
        <v>15</v>
      </c>
      <c r="D62" s="14">
        <v>15</v>
      </c>
      <c r="E62" s="14" t="s">
        <v>30</v>
      </c>
      <c r="F62" s="15">
        <v>145000</v>
      </c>
      <c r="G62" s="77">
        <v>2175000</v>
      </c>
      <c r="H62" s="187" t="s">
        <v>669</v>
      </c>
      <c r="I62" s="182" t="s">
        <v>587</v>
      </c>
      <c r="M62" s="5"/>
    </row>
    <row r="63" spans="1:13" ht="15.75" thickBot="1">
      <c r="A63" s="12"/>
      <c r="B63" s="103" t="s">
        <v>668</v>
      </c>
      <c r="C63" s="102" t="s">
        <v>15</v>
      </c>
      <c r="D63" s="102">
        <v>10</v>
      </c>
      <c r="E63" s="102" t="s">
        <v>30</v>
      </c>
      <c r="F63" s="227">
        <v>160000</v>
      </c>
      <c r="G63" s="228">
        <v>1600000</v>
      </c>
      <c r="H63" s="229" t="s">
        <v>190</v>
      </c>
      <c r="I63" s="182"/>
      <c r="M63" s="5"/>
    </row>
    <row r="64" spans="1:13">
      <c r="A64" s="12">
        <v>44732</v>
      </c>
      <c r="B64" s="307" t="s">
        <v>670</v>
      </c>
      <c r="C64" s="222" t="s">
        <v>671</v>
      </c>
      <c r="D64" s="222">
        <v>5</v>
      </c>
      <c r="E64" s="222" t="s">
        <v>30</v>
      </c>
      <c r="F64" s="308">
        <v>80000</v>
      </c>
      <c r="G64" s="309">
        <v>400000</v>
      </c>
      <c r="H64" s="310"/>
      <c r="I64" s="182"/>
      <c r="M64" s="5"/>
    </row>
    <row r="65" spans="1:13">
      <c r="A65" s="12"/>
      <c r="B65" s="13" t="s">
        <v>672</v>
      </c>
      <c r="C65" s="14" t="s">
        <v>671</v>
      </c>
      <c r="D65" s="14">
        <v>5</v>
      </c>
      <c r="E65" s="14" t="s">
        <v>30</v>
      </c>
      <c r="F65" s="15">
        <v>85000</v>
      </c>
      <c r="G65" s="77">
        <v>425000</v>
      </c>
      <c r="H65" s="186"/>
      <c r="I65" s="182"/>
      <c r="M65" s="5"/>
    </row>
    <row r="66" spans="1:13">
      <c r="A66" s="12"/>
      <c r="B66" s="13" t="s">
        <v>673</v>
      </c>
      <c r="C66" s="14" t="s">
        <v>671</v>
      </c>
      <c r="D66" s="14">
        <v>10</v>
      </c>
      <c r="E66" s="14" t="s">
        <v>30</v>
      </c>
      <c r="F66" s="15">
        <v>75000</v>
      </c>
      <c r="G66" s="77">
        <v>750000</v>
      </c>
      <c r="H66" s="186"/>
      <c r="I66" s="182"/>
      <c r="M66" s="5"/>
    </row>
    <row r="67" spans="1:13">
      <c r="A67" s="12"/>
      <c r="B67" s="13" t="s">
        <v>674</v>
      </c>
      <c r="C67" s="14" t="s">
        <v>671</v>
      </c>
      <c r="D67" s="14">
        <v>10</v>
      </c>
      <c r="E67" s="14" t="s">
        <v>30</v>
      </c>
      <c r="F67" s="15">
        <v>90000</v>
      </c>
      <c r="G67" s="77">
        <v>900000</v>
      </c>
      <c r="H67" s="186"/>
      <c r="I67" s="182"/>
      <c r="M67" s="5"/>
    </row>
    <row r="68" spans="1:13">
      <c r="A68" s="12"/>
      <c r="B68" s="13" t="s">
        <v>675</v>
      </c>
      <c r="C68" s="14" t="s">
        <v>671</v>
      </c>
      <c r="D68" s="14">
        <v>9</v>
      </c>
      <c r="E68" s="14" t="s">
        <v>30</v>
      </c>
      <c r="F68" s="15">
        <v>85000</v>
      </c>
      <c r="G68" s="77">
        <v>765000</v>
      </c>
      <c r="H68" s="186"/>
      <c r="I68" s="182"/>
      <c r="M68" s="5"/>
    </row>
    <row r="69" spans="1:13">
      <c r="A69" s="12"/>
      <c r="B69" s="13" t="s">
        <v>676</v>
      </c>
      <c r="C69" s="14" t="s">
        <v>671</v>
      </c>
      <c r="D69" s="14">
        <v>10</v>
      </c>
      <c r="E69" s="14" t="s">
        <v>30</v>
      </c>
      <c r="F69" s="15">
        <v>85000</v>
      </c>
      <c r="G69" s="77">
        <v>850000</v>
      </c>
      <c r="H69" s="186"/>
      <c r="I69" s="182"/>
      <c r="M69" s="5"/>
    </row>
    <row r="70" spans="1:13">
      <c r="A70" s="12"/>
      <c r="B70" s="13" t="s">
        <v>677</v>
      </c>
      <c r="C70" s="14" t="s">
        <v>671</v>
      </c>
      <c r="D70" s="14">
        <v>10</v>
      </c>
      <c r="E70" s="14" t="s">
        <v>30</v>
      </c>
      <c r="F70" s="15">
        <v>175000</v>
      </c>
      <c r="G70" s="77">
        <v>1750000</v>
      </c>
      <c r="H70" s="186" t="s">
        <v>688</v>
      </c>
      <c r="I70" s="182"/>
      <c r="M70" s="5"/>
    </row>
    <row r="71" spans="1:13">
      <c r="A71" s="12"/>
      <c r="B71" s="13" t="s">
        <v>678</v>
      </c>
      <c r="C71" s="14" t="s">
        <v>671</v>
      </c>
      <c r="D71" s="14">
        <v>5</v>
      </c>
      <c r="E71" s="14" t="s">
        <v>30</v>
      </c>
      <c r="F71" s="15">
        <v>115000</v>
      </c>
      <c r="G71" s="77">
        <v>575000</v>
      </c>
      <c r="H71" s="186"/>
      <c r="I71" s="182" t="s">
        <v>566</v>
      </c>
      <c r="M71" s="5"/>
    </row>
    <row r="72" spans="1:13">
      <c r="A72" s="12"/>
      <c r="B72" s="13" t="s">
        <v>679</v>
      </c>
      <c r="C72" s="14" t="s">
        <v>671</v>
      </c>
      <c r="D72" s="14">
        <v>5</v>
      </c>
      <c r="E72" s="14" t="s">
        <v>30</v>
      </c>
      <c r="F72" s="15">
        <v>110000</v>
      </c>
      <c r="G72" s="77">
        <v>550000</v>
      </c>
      <c r="H72" s="186"/>
      <c r="I72" s="182"/>
      <c r="M72" s="5"/>
    </row>
    <row r="73" spans="1:13">
      <c r="A73" s="12"/>
      <c r="B73" s="13" t="s">
        <v>680</v>
      </c>
      <c r="C73" s="14" t="s">
        <v>671</v>
      </c>
      <c r="D73" s="14">
        <v>5</v>
      </c>
      <c r="E73" s="14" t="s">
        <v>30</v>
      </c>
      <c r="F73" s="15">
        <v>95000</v>
      </c>
      <c r="G73" s="77">
        <v>475000</v>
      </c>
      <c r="H73" s="186"/>
      <c r="I73" s="182"/>
      <c r="M73" s="5"/>
    </row>
    <row r="74" spans="1:13">
      <c r="A74" s="12"/>
      <c r="B74" s="13" t="s">
        <v>681</v>
      </c>
      <c r="C74" s="14" t="s">
        <v>671</v>
      </c>
      <c r="D74" s="14">
        <v>5</v>
      </c>
      <c r="E74" s="14" t="s">
        <v>30</v>
      </c>
      <c r="F74" s="15">
        <v>95000</v>
      </c>
      <c r="G74" s="77">
        <v>475000</v>
      </c>
      <c r="H74" s="186"/>
      <c r="I74" s="182"/>
      <c r="M74" s="5"/>
    </row>
    <row r="75" spans="1:13">
      <c r="A75" s="12"/>
      <c r="B75" s="13" t="s">
        <v>682</v>
      </c>
      <c r="C75" s="14" t="s">
        <v>671</v>
      </c>
      <c r="D75" s="14">
        <v>10</v>
      </c>
      <c r="E75" s="14" t="s">
        <v>30</v>
      </c>
      <c r="F75" s="15">
        <v>27500</v>
      </c>
      <c r="G75" s="77">
        <v>275000</v>
      </c>
      <c r="H75" s="186"/>
      <c r="I75" s="182"/>
      <c r="M75" s="5"/>
    </row>
    <row r="76" spans="1:13">
      <c r="A76" s="12"/>
      <c r="B76" s="13" t="s">
        <v>683</v>
      </c>
      <c r="C76" s="14" t="s">
        <v>671</v>
      </c>
      <c r="D76" s="14">
        <v>1</v>
      </c>
      <c r="E76" s="14" t="s">
        <v>30</v>
      </c>
      <c r="F76" s="15">
        <v>85000</v>
      </c>
      <c r="G76" s="77">
        <v>85000</v>
      </c>
      <c r="H76" s="186"/>
      <c r="I76" s="182"/>
      <c r="M76" s="5"/>
    </row>
    <row r="77" spans="1:13">
      <c r="A77" s="12"/>
      <c r="B77" s="13" t="s">
        <v>684</v>
      </c>
      <c r="C77" s="14" t="s">
        <v>671</v>
      </c>
      <c r="D77" s="14">
        <v>10</v>
      </c>
      <c r="E77" s="14" t="s">
        <v>30</v>
      </c>
      <c r="F77" s="15">
        <v>70000</v>
      </c>
      <c r="G77" s="77">
        <v>700000</v>
      </c>
      <c r="H77" s="186"/>
      <c r="I77" s="182"/>
      <c r="M77" s="5"/>
    </row>
    <row r="78" spans="1:13">
      <c r="A78" s="12"/>
      <c r="B78" s="13" t="s">
        <v>685</v>
      </c>
      <c r="C78" s="14" t="s">
        <v>671</v>
      </c>
      <c r="D78" s="14">
        <v>5</v>
      </c>
      <c r="E78" s="14" t="s">
        <v>30</v>
      </c>
      <c r="F78" s="15">
        <v>150000</v>
      </c>
      <c r="G78" s="77">
        <v>750000</v>
      </c>
      <c r="H78" s="186"/>
      <c r="I78" s="182"/>
      <c r="M78" s="5"/>
    </row>
    <row r="79" spans="1:13">
      <c r="A79" s="12"/>
      <c r="B79" s="13" t="s">
        <v>686</v>
      </c>
      <c r="C79" s="14" t="s">
        <v>671</v>
      </c>
      <c r="D79" s="14">
        <v>5</v>
      </c>
      <c r="E79" s="14" t="s">
        <v>30</v>
      </c>
      <c r="F79" s="15">
        <v>95000</v>
      </c>
      <c r="G79" s="77">
        <v>475000</v>
      </c>
      <c r="H79" s="186"/>
      <c r="I79" s="182"/>
      <c r="M79" s="5"/>
    </row>
    <row r="80" spans="1:13" ht="15.75" thickBot="1">
      <c r="A80" s="12"/>
      <c r="B80" s="13" t="s">
        <v>687</v>
      </c>
      <c r="C80" s="14" t="s">
        <v>671</v>
      </c>
      <c r="D80" s="14">
        <v>5</v>
      </c>
      <c r="E80" s="14" t="s">
        <v>30</v>
      </c>
      <c r="F80" s="15">
        <v>90000</v>
      </c>
      <c r="G80" s="77">
        <v>475000</v>
      </c>
      <c r="H80" s="186"/>
      <c r="I80" s="182"/>
      <c r="M80" s="5"/>
    </row>
    <row r="81" spans="1:13">
      <c r="A81" s="12"/>
      <c r="B81" s="13" t="s">
        <v>689</v>
      </c>
      <c r="C81" s="14" t="s">
        <v>140</v>
      </c>
      <c r="D81" s="14">
        <v>5</v>
      </c>
      <c r="E81" s="14" t="s">
        <v>30</v>
      </c>
      <c r="F81" s="15">
        <v>100000</v>
      </c>
      <c r="G81" s="77">
        <v>500000</v>
      </c>
      <c r="H81" s="187"/>
      <c r="I81" s="182"/>
      <c r="M81" s="5"/>
    </row>
    <row r="82" spans="1:13">
      <c r="A82" s="12"/>
      <c r="B82" s="13" t="s">
        <v>690</v>
      </c>
      <c r="C82" s="14" t="s">
        <v>140</v>
      </c>
      <c r="D82" s="14">
        <v>5</v>
      </c>
      <c r="E82" s="14" t="s">
        <v>30</v>
      </c>
      <c r="F82" s="15">
        <v>115000</v>
      </c>
      <c r="G82" s="77">
        <v>575000</v>
      </c>
      <c r="H82" s="186"/>
      <c r="I82" s="182"/>
      <c r="M82" s="5"/>
    </row>
    <row r="83" spans="1:13">
      <c r="A83" s="12"/>
      <c r="B83" s="13" t="s">
        <v>691</v>
      </c>
      <c r="C83" s="14" t="s">
        <v>140</v>
      </c>
      <c r="D83" s="14">
        <v>5</v>
      </c>
      <c r="E83" s="14" t="s">
        <v>30</v>
      </c>
      <c r="F83" s="15">
        <v>40000</v>
      </c>
      <c r="G83" s="77">
        <v>200000</v>
      </c>
      <c r="H83" s="186"/>
      <c r="I83" s="182"/>
      <c r="M83" s="5"/>
    </row>
    <row r="84" spans="1:13">
      <c r="A84" s="12"/>
      <c r="B84" s="13" t="s">
        <v>694</v>
      </c>
      <c r="C84" s="14" t="s">
        <v>140</v>
      </c>
      <c r="D84" s="14">
        <v>5</v>
      </c>
      <c r="E84" s="14" t="s">
        <v>30</v>
      </c>
      <c r="F84" s="15">
        <v>100000</v>
      </c>
      <c r="G84" s="77">
        <v>500000</v>
      </c>
      <c r="H84" s="186"/>
      <c r="I84" s="182"/>
      <c r="M84" s="5"/>
    </row>
    <row r="85" spans="1:13">
      <c r="A85" s="12"/>
      <c r="B85" s="13" t="s">
        <v>695</v>
      </c>
      <c r="C85" s="14" t="s">
        <v>140</v>
      </c>
      <c r="D85" s="14">
        <v>5</v>
      </c>
      <c r="E85" s="14" t="s">
        <v>30</v>
      </c>
      <c r="F85" s="15">
        <v>115000</v>
      </c>
      <c r="G85" s="77">
        <v>575000</v>
      </c>
      <c r="H85" s="186"/>
      <c r="I85" s="182"/>
      <c r="M85" s="5"/>
    </row>
    <row r="86" spans="1:13">
      <c r="A86" s="12"/>
      <c r="B86" s="13" t="s">
        <v>696</v>
      </c>
      <c r="C86" s="14" t="s">
        <v>140</v>
      </c>
      <c r="D86" s="14">
        <v>5</v>
      </c>
      <c r="E86" s="14" t="s">
        <v>30</v>
      </c>
      <c r="F86" s="15">
        <v>40000</v>
      </c>
      <c r="G86" s="77">
        <v>200000</v>
      </c>
      <c r="H86" s="186"/>
      <c r="I86" s="182"/>
      <c r="M86" s="5"/>
    </row>
    <row r="87" spans="1:13">
      <c r="A87" s="12"/>
      <c r="B87" s="13" t="s">
        <v>697</v>
      </c>
      <c r="C87" s="14" t="s">
        <v>140</v>
      </c>
      <c r="D87" s="14">
        <v>5</v>
      </c>
      <c r="E87" s="14" t="s">
        <v>30</v>
      </c>
      <c r="F87" s="15">
        <v>65000</v>
      </c>
      <c r="G87" s="77">
        <v>325000</v>
      </c>
      <c r="H87" s="186" t="s">
        <v>705</v>
      </c>
      <c r="I87" s="182" t="s">
        <v>566</v>
      </c>
      <c r="M87" s="5"/>
    </row>
    <row r="88" spans="1:13">
      <c r="A88" s="12"/>
      <c r="B88" s="13" t="s">
        <v>698</v>
      </c>
      <c r="C88" s="14" t="s">
        <v>140</v>
      </c>
      <c r="D88" s="14">
        <v>5</v>
      </c>
      <c r="E88" s="14" t="s">
        <v>30</v>
      </c>
      <c r="F88" s="15">
        <v>75000</v>
      </c>
      <c r="G88" s="77">
        <v>375000</v>
      </c>
      <c r="H88" s="186"/>
      <c r="I88" s="182"/>
      <c r="M88" s="5"/>
    </row>
    <row r="89" spans="1:13">
      <c r="A89" s="12"/>
      <c r="B89" s="13" t="s">
        <v>699</v>
      </c>
      <c r="C89" s="14" t="s">
        <v>140</v>
      </c>
      <c r="D89" s="14">
        <v>5</v>
      </c>
      <c r="E89" s="14" t="s">
        <v>30</v>
      </c>
      <c r="F89" s="15">
        <v>125000</v>
      </c>
      <c r="G89" s="77">
        <v>625000</v>
      </c>
      <c r="H89" s="186"/>
      <c r="I89" s="182"/>
      <c r="M89" s="5"/>
    </row>
    <row r="90" spans="1:13">
      <c r="A90" s="12"/>
      <c r="B90" s="13" t="s">
        <v>700</v>
      </c>
      <c r="C90" s="14" t="s">
        <v>140</v>
      </c>
      <c r="D90" s="14">
        <v>5</v>
      </c>
      <c r="E90" s="14" t="s">
        <v>30</v>
      </c>
      <c r="F90" s="15">
        <v>40000</v>
      </c>
      <c r="G90" s="77">
        <v>200000</v>
      </c>
      <c r="H90" s="186"/>
      <c r="I90" s="182"/>
      <c r="M90" s="5"/>
    </row>
    <row r="91" spans="1:13">
      <c r="A91" s="12"/>
      <c r="B91" s="13" t="s">
        <v>701</v>
      </c>
      <c r="C91" s="14" t="s">
        <v>140</v>
      </c>
      <c r="D91" s="14">
        <v>5</v>
      </c>
      <c r="E91" s="14" t="s">
        <v>30</v>
      </c>
      <c r="F91" s="15">
        <v>65000</v>
      </c>
      <c r="G91" s="77">
        <v>325000</v>
      </c>
      <c r="H91" s="186"/>
      <c r="I91" s="182"/>
      <c r="M91" s="5"/>
    </row>
    <row r="92" spans="1:13">
      <c r="A92" s="12"/>
      <c r="B92" s="13" t="s">
        <v>702</v>
      </c>
      <c r="C92" s="14" t="s">
        <v>140</v>
      </c>
      <c r="D92" s="14">
        <v>5</v>
      </c>
      <c r="E92" s="14" t="s">
        <v>30</v>
      </c>
      <c r="F92" s="15">
        <v>75000</v>
      </c>
      <c r="G92" s="77">
        <v>375000</v>
      </c>
      <c r="H92" s="186"/>
      <c r="I92" s="182"/>
      <c r="M92" s="5"/>
    </row>
    <row r="93" spans="1:13">
      <c r="A93" s="12"/>
      <c r="B93" s="13" t="s">
        <v>702</v>
      </c>
      <c r="C93" s="14" t="s">
        <v>140</v>
      </c>
      <c r="D93" s="14">
        <v>5</v>
      </c>
      <c r="E93" s="14" t="s">
        <v>30</v>
      </c>
      <c r="F93" s="15">
        <v>125000</v>
      </c>
      <c r="G93" s="77">
        <v>625000</v>
      </c>
      <c r="H93" s="186"/>
      <c r="I93" s="182"/>
      <c r="M93" s="5"/>
    </row>
    <row r="94" spans="1:13">
      <c r="A94" s="12"/>
      <c r="B94" s="13" t="s">
        <v>703</v>
      </c>
      <c r="C94" s="14" t="s">
        <v>140</v>
      </c>
      <c r="D94" s="14">
        <v>5</v>
      </c>
      <c r="E94" s="14" t="s">
        <v>30</v>
      </c>
      <c r="F94" s="15">
        <v>40000</v>
      </c>
      <c r="G94" s="77">
        <v>200000</v>
      </c>
      <c r="H94" s="186"/>
      <c r="I94" s="182"/>
      <c r="M94" s="5"/>
    </row>
    <row r="95" spans="1:13" ht="15.75" thickBot="1">
      <c r="A95" s="12"/>
      <c r="B95" s="13" t="s">
        <v>704</v>
      </c>
      <c r="C95" s="14" t="s">
        <v>140</v>
      </c>
      <c r="D95" s="14">
        <v>10</v>
      </c>
      <c r="E95" s="14" t="s">
        <v>30</v>
      </c>
      <c r="F95" s="15">
        <v>80000</v>
      </c>
      <c r="G95" s="77">
        <v>800000</v>
      </c>
      <c r="H95" s="186"/>
      <c r="I95" s="182"/>
      <c r="M95" s="5"/>
    </row>
    <row r="96" spans="1:13" ht="15.75" thickBot="1">
      <c r="A96" s="12"/>
      <c r="B96" s="13" t="s">
        <v>832</v>
      </c>
      <c r="C96" s="14" t="s">
        <v>15</v>
      </c>
      <c r="D96" s="14">
        <v>1</v>
      </c>
      <c r="E96" s="14" t="s">
        <v>30</v>
      </c>
      <c r="F96" s="15">
        <v>1250000</v>
      </c>
      <c r="G96" s="77">
        <v>1250000</v>
      </c>
      <c r="H96" s="306" t="s">
        <v>833</v>
      </c>
      <c r="I96" s="182" t="s">
        <v>587</v>
      </c>
      <c r="M96" s="5"/>
    </row>
    <row r="97" spans="1:13">
      <c r="A97" s="12">
        <v>44733</v>
      </c>
      <c r="B97" s="13" t="s">
        <v>706</v>
      </c>
      <c r="C97" s="14" t="s">
        <v>638</v>
      </c>
      <c r="D97" s="14">
        <v>1</v>
      </c>
      <c r="E97" s="14" t="s">
        <v>30</v>
      </c>
      <c r="F97" s="15">
        <v>3250000</v>
      </c>
      <c r="G97" s="77">
        <v>3250000</v>
      </c>
      <c r="H97" s="186"/>
      <c r="I97" s="182"/>
      <c r="M97" s="5"/>
    </row>
    <row r="98" spans="1:13">
      <c r="A98" s="12"/>
      <c r="B98" s="13" t="s">
        <v>707</v>
      </c>
      <c r="C98" s="14" t="s">
        <v>638</v>
      </c>
      <c r="D98" s="14">
        <v>1</v>
      </c>
      <c r="E98" s="14" t="s">
        <v>30</v>
      </c>
      <c r="F98" s="15">
        <v>2750000</v>
      </c>
      <c r="G98" s="77">
        <v>2750000</v>
      </c>
      <c r="H98" s="186" t="s">
        <v>709</v>
      </c>
      <c r="I98" s="182" t="s">
        <v>710</v>
      </c>
      <c r="M98" s="5"/>
    </row>
    <row r="99" spans="1:13" ht="15.75" thickBot="1">
      <c r="A99" s="12"/>
      <c r="B99" s="13" t="s">
        <v>708</v>
      </c>
      <c r="C99" s="14" t="s">
        <v>638</v>
      </c>
      <c r="D99" s="14">
        <v>1</v>
      </c>
      <c r="E99" s="14" t="s">
        <v>30</v>
      </c>
      <c r="F99" s="15">
        <v>2300000</v>
      </c>
      <c r="G99" s="77">
        <v>2300000</v>
      </c>
      <c r="H99" s="186"/>
      <c r="I99" s="182"/>
      <c r="M99" s="5"/>
    </row>
    <row r="100" spans="1:13">
      <c r="A100" s="12">
        <v>44735</v>
      </c>
      <c r="B100" s="13" t="s">
        <v>713</v>
      </c>
      <c r="C100" s="14" t="s">
        <v>273</v>
      </c>
      <c r="D100" s="14">
        <v>2</v>
      </c>
      <c r="E100" s="14" t="s">
        <v>30</v>
      </c>
      <c r="F100" s="15">
        <v>750000</v>
      </c>
      <c r="G100" s="77">
        <v>1500000</v>
      </c>
      <c r="H100" s="187"/>
      <c r="I100" s="182"/>
      <c r="M100" s="5"/>
    </row>
    <row r="101" spans="1:13">
      <c r="A101" s="12"/>
      <c r="B101" s="13" t="s">
        <v>714</v>
      </c>
      <c r="C101" s="14" t="s">
        <v>273</v>
      </c>
      <c r="D101" s="14">
        <v>2</v>
      </c>
      <c r="E101" s="14" t="s">
        <v>30</v>
      </c>
      <c r="F101" s="15">
        <v>750000</v>
      </c>
      <c r="G101" s="77">
        <v>1500000</v>
      </c>
      <c r="H101" s="186"/>
      <c r="I101" s="182"/>
      <c r="M101" s="5"/>
    </row>
    <row r="102" spans="1:13">
      <c r="A102" s="12"/>
      <c r="B102" s="13" t="s">
        <v>715</v>
      </c>
      <c r="C102" s="14" t="s">
        <v>273</v>
      </c>
      <c r="D102" s="14">
        <v>2</v>
      </c>
      <c r="E102" s="14" t="s">
        <v>30</v>
      </c>
      <c r="F102" s="15">
        <v>750000</v>
      </c>
      <c r="G102" s="77">
        <v>1500000</v>
      </c>
      <c r="H102" s="186" t="s">
        <v>720</v>
      </c>
      <c r="I102" s="182" t="s">
        <v>1072</v>
      </c>
      <c r="M102" s="5"/>
    </row>
    <row r="103" spans="1:13">
      <c r="A103" s="12"/>
      <c r="B103" s="13" t="s">
        <v>716</v>
      </c>
      <c r="C103" s="14" t="s">
        <v>273</v>
      </c>
      <c r="D103" s="14">
        <v>1</v>
      </c>
      <c r="E103" s="14" t="s">
        <v>30</v>
      </c>
      <c r="F103" s="15">
        <v>630000</v>
      </c>
      <c r="G103" s="77">
        <v>630000</v>
      </c>
      <c r="H103" s="186"/>
      <c r="I103" s="182"/>
      <c r="M103" s="5"/>
    </row>
    <row r="104" spans="1:13">
      <c r="A104" s="12"/>
      <c r="B104" s="13" t="s">
        <v>717</v>
      </c>
      <c r="C104" s="14" t="s">
        <v>273</v>
      </c>
      <c r="D104" s="14">
        <v>1</v>
      </c>
      <c r="E104" s="14" t="s">
        <v>30</v>
      </c>
      <c r="F104" s="15">
        <v>630000</v>
      </c>
      <c r="G104" s="77">
        <v>630000</v>
      </c>
      <c r="H104" s="186"/>
      <c r="I104" s="182"/>
      <c r="M104" s="5"/>
    </row>
    <row r="105" spans="1:13">
      <c r="A105" s="12"/>
      <c r="B105" s="13" t="s">
        <v>718</v>
      </c>
      <c r="C105" s="14" t="s">
        <v>273</v>
      </c>
      <c r="D105" s="14">
        <v>1</v>
      </c>
      <c r="E105" s="14" t="s">
        <v>30</v>
      </c>
      <c r="F105" s="15">
        <v>625000</v>
      </c>
      <c r="G105" s="77">
        <v>625000</v>
      </c>
      <c r="H105" s="186"/>
      <c r="I105" s="182"/>
      <c r="M105" s="5"/>
    </row>
    <row r="106" spans="1:13" ht="15.75" thickBot="1">
      <c r="A106" s="12"/>
      <c r="B106" s="13" t="s">
        <v>719</v>
      </c>
      <c r="C106" s="14" t="s">
        <v>273</v>
      </c>
      <c r="D106" s="14">
        <v>1</v>
      </c>
      <c r="E106" s="14" t="s">
        <v>30</v>
      </c>
      <c r="F106" s="15">
        <v>630000</v>
      </c>
      <c r="G106" s="77">
        <v>630000</v>
      </c>
      <c r="H106" s="188"/>
      <c r="I106" s="182"/>
      <c r="M106" s="5"/>
    </row>
    <row r="107" spans="1:13">
      <c r="A107" s="12">
        <v>44738</v>
      </c>
      <c r="B107" s="13" t="s">
        <v>721</v>
      </c>
      <c r="C107" s="14" t="s">
        <v>17</v>
      </c>
      <c r="D107" s="14">
        <v>10</v>
      </c>
      <c r="E107" s="14" t="s">
        <v>30</v>
      </c>
      <c r="F107" s="15">
        <v>225000</v>
      </c>
      <c r="G107" s="77">
        <v>2250000</v>
      </c>
      <c r="H107" s="187"/>
      <c r="I107" s="182"/>
      <c r="M107" s="5"/>
    </row>
    <row r="108" spans="1:13">
      <c r="A108" s="12"/>
      <c r="B108" s="13" t="s">
        <v>722</v>
      </c>
      <c r="C108" s="14" t="s">
        <v>17</v>
      </c>
      <c r="D108" s="14">
        <v>10</v>
      </c>
      <c r="E108" s="14" t="s">
        <v>30</v>
      </c>
      <c r="F108" s="15">
        <v>225000</v>
      </c>
      <c r="G108" s="77">
        <v>2250000</v>
      </c>
      <c r="H108" s="186" t="s">
        <v>724</v>
      </c>
      <c r="I108" s="182" t="s">
        <v>587</v>
      </c>
      <c r="M108" s="5"/>
    </row>
    <row r="109" spans="1:13" ht="15.75" thickBot="1">
      <c r="A109" s="12"/>
      <c r="B109" s="13" t="s">
        <v>723</v>
      </c>
      <c r="C109" s="14" t="s">
        <v>17</v>
      </c>
      <c r="D109" s="14">
        <v>15</v>
      </c>
      <c r="E109" s="14" t="s">
        <v>30</v>
      </c>
      <c r="F109" s="15">
        <v>225000</v>
      </c>
      <c r="G109" s="77">
        <v>3375000</v>
      </c>
      <c r="H109" s="186"/>
      <c r="I109" s="182"/>
      <c r="M109" s="5"/>
    </row>
    <row r="110" spans="1:13">
      <c r="A110" s="13"/>
      <c r="B110" s="13" t="s">
        <v>725</v>
      </c>
      <c r="C110" s="14" t="s">
        <v>17</v>
      </c>
      <c r="D110" s="14">
        <v>10</v>
      </c>
      <c r="E110" s="14" t="s">
        <v>30</v>
      </c>
      <c r="F110" s="14" t="s">
        <v>726</v>
      </c>
      <c r="G110" s="77">
        <v>2250000</v>
      </c>
      <c r="H110" s="259"/>
      <c r="I110" s="182"/>
      <c r="M110" s="5"/>
    </row>
    <row r="111" spans="1:13">
      <c r="A111" s="13"/>
      <c r="B111" s="13" t="s">
        <v>727</v>
      </c>
      <c r="C111" s="14" t="s">
        <v>17</v>
      </c>
      <c r="D111" s="14">
        <v>5</v>
      </c>
      <c r="E111" s="14" t="s">
        <v>30</v>
      </c>
      <c r="F111" s="14" t="s">
        <v>726</v>
      </c>
      <c r="G111" s="77">
        <v>1125000</v>
      </c>
      <c r="H111" s="232" t="s">
        <v>724</v>
      </c>
      <c r="I111" s="182" t="s">
        <v>587</v>
      </c>
    </row>
    <row r="112" spans="1:13">
      <c r="A112" s="13"/>
      <c r="B112" s="13" t="s">
        <v>728</v>
      </c>
      <c r="C112" s="14" t="s">
        <v>17</v>
      </c>
      <c r="D112" s="14">
        <v>10</v>
      </c>
      <c r="E112" s="14" t="s">
        <v>30</v>
      </c>
      <c r="F112" s="14" t="s">
        <v>726</v>
      </c>
      <c r="G112" s="77">
        <v>2250000</v>
      </c>
      <c r="H112" s="232"/>
      <c r="I112" s="182"/>
    </row>
    <row r="113" spans="1:9" ht="15.75" thickBot="1">
      <c r="A113" s="13"/>
      <c r="B113" s="13" t="s">
        <v>729</v>
      </c>
      <c r="C113" s="14" t="s">
        <v>17</v>
      </c>
      <c r="D113" s="14">
        <v>10</v>
      </c>
      <c r="E113" s="14" t="s">
        <v>30</v>
      </c>
      <c r="F113" s="14" t="s">
        <v>726</v>
      </c>
      <c r="G113" s="77">
        <v>2250000</v>
      </c>
      <c r="H113" s="233"/>
      <c r="I113" s="182"/>
    </row>
    <row r="114" spans="1:9" ht="15.75" thickBot="1">
      <c r="A114" s="12">
        <v>44739</v>
      </c>
      <c r="B114" s="13" t="s">
        <v>730</v>
      </c>
      <c r="C114" s="14" t="s">
        <v>15</v>
      </c>
      <c r="D114" s="14">
        <v>1</v>
      </c>
      <c r="E114" s="14" t="s">
        <v>30</v>
      </c>
      <c r="F114" s="14" t="s">
        <v>731</v>
      </c>
      <c r="G114" s="225" t="s">
        <v>731</v>
      </c>
      <c r="H114" s="259" t="s">
        <v>731</v>
      </c>
      <c r="I114" s="182" t="s">
        <v>587</v>
      </c>
    </row>
    <row r="115" spans="1:9">
      <c r="A115" s="13"/>
      <c r="B115" s="13" t="s">
        <v>732</v>
      </c>
      <c r="C115" s="14" t="s">
        <v>17</v>
      </c>
      <c r="D115" s="14">
        <v>15</v>
      </c>
      <c r="E115" s="14" t="s">
        <v>30</v>
      </c>
      <c r="F115" s="14" t="s">
        <v>733</v>
      </c>
      <c r="G115" s="225" t="s">
        <v>734</v>
      </c>
      <c r="H115" s="259" t="s">
        <v>491</v>
      </c>
      <c r="I115" s="182" t="s">
        <v>587</v>
      </c>
    </row>
    <row r="116" spans="1:9">
      <c r="A116" s="13"/>
      <c r="B116" s="13" t="s">
        <v>1004</v>
      </c>
      <c r="C116" s="14" t="s">
        <v>17</v>
      </c>
      <c r="D116" s="14">
        <v>15</v>
      </c>
      <c r="E116" s="14" t="s">
        <v>30</v>
      </c>
      <c r="F116" s="14" t="s">
        <v>733</v>
      </c>
      <c r="G116" s="225" t="s">
        <v>734</v>
      </c>
      <c r="H116" s="232"/>
      <c r="I116" s="182"/>
    </row>
    <row r="117" spans="1:9" ht="15.75" thickBot="1">
      <c r="A117" s="13"/>
      <c r="B117" s="13" t="s">
        <v>735</v>
      </c>
      <c r="C117" s="14" t="s">
        <v>17</v>
      </c>
      <c r="D117" s="14">
        <v>15</v>
      </c>
      <c r="E117" s="14" t="s">
        <v>30</v>
      </c>
      <c r="F117" s="14" t="s">
        <v>733</v>
      </c>
      <c r="G117" s="225" t="s">
        <v>734</v>
      </c>
      <c r="H117" s="233"/>
      <c r="I117" s="182"/>
    </row>
    <row r="118" spans="1:9">
      <c r="A118" s="12"/>
      <c r="B118" s="13"/>
      <c r="C118" s="13"/>
      <c r="D118" s="13"/>
      <c r="E118" s="13"/>
      <c r="F118" s="13"/>
      <c r="G118" s="15"/>
      <c r="H118" s="231"/>
      <c r="I118" s="13"/>
    </row>
    <row r="119" spans="1:9">
      <c r="A119" s="13"/>
      <c r="B119" s="13"/>
      <c r="C119" s="13"/>
      <c r="D119" s="13"/>
      <c r="E119" s="13"/>
      <c r="F119" s="13"/>
      <c r="G119" s="15"/>
      <c r="H119" s="231"/>
      <c r="I119" s="13"/>
    </row>
    <row r="120" spans="1:9">
      <c r="A120" s="13"/>
      <c r="B120" s="13"/>
      <c r="C120" s="13"/>
      <c r="D120" s="13"/>
      <c r="E120" s="13"/>
      <c r="F120" s="13"/>
      <c r="G120" s="15"/>
      <c r="H120" s="231"/>
      <c r="I120" s="13"/>
    </row>
    <row r="121" spans="1:9">
      <c r="A121" s="13"/>
      <c r="B121" s="13"/>
      <c r="C121" s="13"/>
      <c r="D121" s="13"/>
      <c r="E121" s="13"/>
      <c r="F121" s="13"/>
      <c r="G121" s="15"/>
      <c r="H121" s="231"/>
      <c r="I121" s="13"/>
    </row>
    <row r="122" spans="1:9">
      <c r="A122" s="13"/>
      <c r="B122" s="13"/>
      <c r="C122" s="13"/>
      <c r="D122" s="13"/>
      <c r="E122" s="13"/>
      <c r="F122" s="13"/>
      <c r="G122" s="15"/>
      <c r="H122" s="231"/>
      <c r="I122" s="13"/>
    </row>
    <row r="123" spans="1:9">
      <c r="A123" s="13"/>
      <c r="B123" s="13"/>
      <c r="C123" s="13"/>
      <c r="D123" s="13"/>
      <c r="E123" s="13"/>
      <c r="F123" s="13"/>
      <c r="G123" s="15"/>
      <c r="H123" s="231"/>
      <c r="I123" s="13"/>
    </row>
    <row r="124" spans="1:9">
      <c r="A124" s="13"/>
      <c r="B124" s="13"/>
      <c r="C124" s="13"/>
      <c r="D124" s="13"/>
      <c r="E124" s="13"/>
      <c r="F124" s="13"/>
      <c r="G124" s="15"/>
      <c r="H124" s="231"/>
      <c r="I124" s="13"/>
    </row>
    <row r="125" spans="1:9">
      <c r="A125" s="13"/>
      <c r="B125" s="13"/>
      <c r="C125" s="13"/>
      <c r="D125" s="13"/>
      <c r="E125" s="13"/>
      <c r="F125" s="13"/>
      <c r="G125" s="15"/>
      <c r="H125" s="231"/>
      <c r="I125" s="13"/>
    </row>
    <row r="126" spans="1:9">
      <c r="A126" s="13"/>
      <c r="B126" s="13"/>
      <c r="C126" s="13"/>
      <c r="D126" s="13"/>
      <c r="E126" s="13"/>
      <c r="F126" s="13"/>
      <c r="G126" s="15"/>
      <c r="H126" s="231"/>
      <c r="I126" s="13"/>
    </row>
    <row r="127" spans="1:9">
      <c r="A127" s="13"/>
      <c r="B127" s="13"/>
      <c r="C127" s="13"/>
      <c r="D127" s="13"/>
      <c r="E127" s="13"/>
      <c r="F127" s="13"/>
      <c r="G127" s="15"/>
      <c r="H127" s="231"/>
      <c r="I127" s="13"/>
    </row>
    <row r="128" spans="1:9">
      <c r="A128" s="13"/>
      <c r="B128" s="13"/>
      <c r="C128" s="13"/>
      <c r="D128" s="13"/>
      <c r="E128" s="13"/>
      <c r="F128" s="13"/>
      <c r="G128" s="15"/>
      <c r="H128" s="231"/>
      <c r="I128" s="13"/>
    </row>
  </sheetData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O88"/>
  <sheetViews>
    <sheetView topLeftCell="A64" workbookViewId="0">
      <selection activeCell="B47" sqref="B47"/>
    </sheetView>
  </sheetViews>
  <sheetFormatPr defaultRowHeight="15"/>
  <cols>
    <col min="2" max="2" width="31.28515625" customWidth="1"/>
    <col min="3" max="3" width="15.7109375" customWidth="1"/>
    <col min="5" max="5" width="8" customWidth="1"/>
    <col min="6" max="6" width="15.7109375" customWidth="1"/>
    <col min="7" max="7" width="16.7109375" customWidth="1"/>
    <col min="8" max="8" width="16.85546875" customWidth="1"/>
    <col min="9" max="9" width="19.85546875" customWidth="1"/>
    <col min="12" max="12" width="13" customWidth="1"/>
    <col min="13" max="13" width="17.28515625" customWidth="1"/>
    <col min="14" max="14" width="17.85546875" customWidth="1"/>
    <col min="15" max="15" width="23.140625" customWidth="1"/>
  </cols>
  <sheetData>
    <row r="1" spans="1:15">
      <c r="A1" s="1" t="s">
        <v>0</v>
      </c>
      <c r="C1" s="2"/>
      <c r="D1" s="2"/>
      <c r="E1" s="2"/>
      <c r="F1" s="3"/>
      <c r="G1" s="3"/>
      <c r="H1" s="3"/>
      <c r="K1" s="4" t="s">
        <v>158</v>
      </c>
      <c r="L1" s="5"/>
      <c r="M1" s="5"/>
      <c r="N1" s="3"/>
    </row>
    <row r="2" spans="1:15" ht="30.75" thickBot="1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9" t="s">
        <v>7</v>
      </c>
      <c r="H2" s="176" t="s">
        <v>8</v>
      </c>
      <c r="I2" s="7" t="s">
        <v>9</v>
      </c>
      <c r="K2" s="10" t="s">
        <v>10</v>
      </c>
      <c r="L2" s="11" t="s">
        <v>11</v>
      </c>
      <c r="M2" s="6" t="s">
        <v>12</v>
      </c>
      <c r="N2" s="9" t="s">
        <v>13</v>
      </c>
      <c r="O2" s="7" t="s">
        <v>9</v>
      </c>
    </row>
    <row r="3" spans="1:15">
      <c r="A3" s="12">
        <v>44743</v>
      </c>
      <c r="B3" s="13" t="s">
        <v>661</v>
      </c>
      <c r="C3" s="14" t="s">
        <v>15</v>
      </c>
      <c r="D3" s="14">
        <v>15</v>
      </c>
      <c r="E3" s="14" t="s">
        <v>30</v>
      </c>
      <c r="F3" s="15">
        <v>85000</v>
      </c>
      <c r="G3" s="77">
        <v>1275000</v>
      </c>
      <c r="H3" s="177"/>
      <c r="I3" s="175" t="s">
        <v>595</v>
      </c>
      <c r="J3" s="17"/>
      <c r="K3" s="203">
        <v>1</v>
      </c>
      <c r="L3" s="204">
        <v>44708</v>
      </c>
      <c r="M3" s="205" t="s">
        <v>16</v>
      </c>
      <c r="N3" s="206">
        <v>15540000</v>
      </c>
      <c r="O3" s="296" t="s">
        <v>791</v>
      </c>
    </row>
    <row r="4" spans="1:15">
      <c r="A4" s="13"/>
      <c r="B4" s="13" t="s">
        <v>737</v>
      </c>
      <c r="C4" s="14" t="s">
        <v>15</v>
      </c>
      <c r="D4" s="14">
        <v>10</v>
      </c>
      <c r="E4" s="14" t="s">
        <v>30</v>
      </c>
      <c r="F4" s="15">
        <v>95000</v>
      </c>
      <c r="G4" s="77">
        <v>950000</v>
      </c>
      <c r="H4" s="178" t="s">
        <v>738</v>
      </c>
      <c r="I4" s="175"/>
      <c r="J4" s="19"/>
      <c r="K4" s="202">
        <v>3</v>
      </c>
      <c r="L4" s="104">
        <v>44722</v>
      </c>
      <c r="M4" s="105" t="s">
        <v>15</v>
      </c>
      <c r="N4" s="318">
        <v>7000000</v>
      </c>
      <c r="O4" s="103" t="s">
        <v>791</v>
      </c>
    </row>
    <row r="5" spans="1:15" ht="15.75" thickBot="1">
      <c r="A5" s="13"/>
      <c r="B5" s="13" t="s">
        <v>658</v>
      </c>
      <c r="C5" s="14" t="s">
        <v>15</v>
      </c>
      <c r="D5" s="14">
        <v>10</v>
      </c>
      <c r="E5" s="14" t="s">
        <v>30</v>
      </c>
      <c r="F5" s="15">
        <v>45000</v>
      </c>
      <c r="G5" s="77">
        <v>450000</v>
      </c>
      <c r="H5" s="178"/>
      <c r="I5" s="175"/>
      <c r="J5" s="23"/>
      <c r="K5" s="312">
        <v>4</v>
      </c>
      <c r="L5" s="283">
        <v>44725</v>
      </c>
      <c r="M5" s="284" t="s">
        <v>17</v>
      </c>
      <c r="N5" s="285">
        <v>2200000</v>
      </c>
      <c r="O5" s="315" t="s">
        <v>791</v>
      </c>
    </row>
    <row r="6" spans="1:15">
      <c r="A6" s="12">
        <v>44750</v>
      </c>
      <c r="B6" s="13" t="s">
        <v>739</v>
      </c>
      <c r="C6" s="14" t="s">
        <v>671</v>
      </c>
      <c r="D6" s="14">
        <v>10</v>
      </c>
      <c r="E6" s="14" t="s">
        <v>30</v>
      </c>
      <c r="F6" s="15">
        <v>70000</v>
      </c>
      <c r="G6" s="77">
        <v>700000</v>
      </c>
      <c r="H6" s="177" t="s">
        <v>742</v>
      </c>
      <c r="I6" s="175" t="s">
        <v>587</v>
      </c>
      <c r="J6" s="26"/>
      <c r="K6" s="203">
        <v>5</v>
      </c>
      <c r="L6" s="204">
        <v>44726</v>
      </c>
      <c r="M6" s="205" t="s">
        <v>16</v>
      </c>
      <c r="N6" s="206">
        <v>2220000</v>
      </c>
      <c r="O6" s="207" t="s">
        <v>791</v>
      </c>
    </row>
    <row r="7" spans="1:15">
      <c r="A7" s="13"/>
      <c r="B7" s="13" t="s">
        <v>740</v>
      </c>
      <c r="C7" s="14" t="s">
        <v>671</v>
      </c>
      <c r="D7" s="14">
        <v>10</v>
      </c>
      <c r="E7" s="14" t="s">
        <v>30</v>
      </c>
      <c r="F7" s="15">
        <v>60000</v>
      </c>
      <c r="G7" s="77">
        <v>600000</v>
      </c>
      <c r="H7" s="178"/>
      <c r="I7" s="175"/>
      <c r="J7" s="26"/>
      <c r="K7" s="319">
        <v>6</v>
      </c>
      <c r="L7" s="320">
        <v>44727</v>
      </c>
      <c r="M7" s="321" t="s">
        <v>1040</v>
      </c>
      <c r="N7" s="322">
        <v>3000000</v>
      </c>
      <c r="O7" s="324" t="s">
        <v>791</v>
      </c>
    </row>
    <row r="8" spans="1:15" ht="15.75" thickBot="1">
      <c r="A8" s="12"/>
      <c r="B8" s="13" t="s">
        <v>741</v>
      </c>
      <c r="C8" s="14" t="s">
        <v>671</v>
      </c>
      <c r="D8" s="14">
        <v>10</v>
      </c>
      <c r="E8" s="14" t="s">
        <v>30</v>
      </c>
      <c r="F8" s="15">
        <v>85000</v>
      </c>
      <c r="G8" s="77">
        <v>850000</v>
      </c>
      <c r="H8" s="193"/>
      <c r="I8" s="175"/>
      <c r="J8" s="26"/>
      <c r="K8" s="202">
        <v>7</v>
      </c>
      <c r="L8" s="104">
        <v>44729</v>
      </c>
      <c r="M8" s="105" t="s">
        <v>15</v>
      </c>
      <c r="N8" s="318">
        <v>14990000</v>
      </c>
      <c r="O8" s="107" t="s">
        <v>791</v>
      </c>
    </row>
    <row r="9" spans="1:15" ht="15.75" thickBot="1">
      <c r="A9" s="12">
        <v>44753</v>
      </c>
      <c r="B9" s="13" t="s">
        <v>743</v>
      </c>
      <c r="C9" s="14" t="s">
        <v>17</v>
      </c>
      <c r="D9" s="14">
        <v>20</v>
      </c>
      <c r="E9" s="14" t="s">
        <v>30</v>
      </c>
      <c r="F9" s="15">
        <v>220000</v>
      </c>
      <c r="G9" s="77">
        <v>4400000</v>
      </c>
      <c r="H9" s="177" t="s">
        <v>744</v>
      </c>
      <c r="I9" s="381" t="s">
        <v>595</v>
      </c>
      <c r="J9" s="26"/>
      <c r="K9" s="312">
        <v>8</v>
      </c>
      <c r="L9" s="283">
        <v>44728</v>
      </c>
      <c r="M9" s="284" t="s">
        <v>17</v>
      </c>
      <c r="N9" s="285">
        <v>4770000</v>
      </c>
      <c r="O9" s="314" t="s">
        <v>791</v>
      </c>
    </row>
    <row r="10" spans="1:15">
      <c r="A10" s="29"/>
      <c r="B10" s="29" t="s">
        <v>745</v>
      </c>
      <c r="C10" s="14" t="s">
        <v>15</v>
      </c>
      <c r="D10" s="31">
        <v>2</v>
      </c>
      <c r="E10" s="14" t="s">
        <v>30</v>
      </c>
      <c r="F10" s="15">
        <v>550000</v>
      </c>
      <c r="G10" s="77">
        <v>1100000</v>
      </c>
      <c r="H10" s="177" t="s">
        <v>747</v>
      </c>
      <c r="I10" s="175" t="s">
        <v>595</v>
      </c>
      <c r="J10" s="26"/>
      <c r="K10" s="202">
        <v>9</v>
      </c>
      <c r="L10" s="104">
        <v>44729</v>
      </c>
      <c r="M10" s="105" t="s">
        <v>15</v>
      </c>
      <c r="N10" s="106">
        <v>2175000</v>
      </c>
      <c r="O10" s="107" t="s">
        <v>791</v>
      </c>
    </row>
    <row r="11" spans="1:15" ht="15.75" thickBot="1">
      <c r="A11" s="29"/>
      <c r="B11" s="29" t="s">
        <v>746</v>
      </c>
      <c r="C11" s="14" t="s">
        <v>15</v>
      </c>
      <c r="D11" s="31">
        <v>2</v>
      </c>
      <c r="E11" s="14" t="s">
        <v>30</v>
      </c>
      <c r="F11" s="15">
        <v>550000</v>
      </c>
      <c r="G11" s="77">
        <v>1100000</v>
      </c>
      <c r="H11" s="178"/>
      <c r="I11" s="175"/>
      <c r="J11" s="26"/>
      <c r="K11" s="312">
        <v>10</v>
      </c>
      <c r="L11" s="316">
        <v>44737</v>
      </c>
      <c r="M11" s="317" t="s">
        <v>17</v>
      </c>
      <c r="N11" s="317" t="s">
        <v>724</v>
      </c>
      <c r="O11" s="315" t="s">
        <v>791</v>
      </c>
    </row>
    <row r="12" spans="1:15" ht="15.75" thickBot="1">
      <c r="A12" s="29"/>
      <c r="B12" s="29" t="s">
        <v>748</v>
      </c>
      <c r="C12" s="14" t="s">
        <v>15</v>
      </c>
      <c r="D12" s="31">
        <v>15</v>
      </c>
      <c r="E12" s="14" t="s">
        <v>30</v>
      </c>
      <c r="F12" s="28">
        <v>85000</v>
      </c>
      <c r="G12" s="179">
        <v>1275000</v>
      </c>
      <c r="H12" s="177">
        <v>1275000</v>
      </c>
      <c r="I12" s="175" t="s">
        <v>595</v>
      </c>
      <c r="J12" s="26"/>
      <c r="K12" s="312">
        <v>11</v>
      </c>
      <c r="L12" s="283">
        <v>44737</v>
      </c>
      <c r="M12" s="284" t="s">
        <v>17</v>
      </c>
      <c r="N12" s="285">
        <v>7825000</v>
      </c>
      <c r="O12" s="314" t="s">
        <v>791</v>
      </c>
    </row>
    <row r="13" spans="1:15">
      <c r="A13" s="32">
        <v>44758</v>
      </c>
      <c r="B13" s="29" t="s">
        <v>761</v>
      </c>
      <c r="C13" s="14" t="s">
        <v>17</v>
      </c>
      <c r="D13" s="31">
        <v>2</v>
      </c>
      <c r="E13" s="14" t="s">
        <v>30</v>
      </c>
      <c r="F13" s="28">
        <v>795000</v>
      </c>
      <c r="G13" s="179">
        <v>1590000</v>
      </c>
      <c r="H13" s="177"/>
      <c r="I13" s="175"/>
      <c r="J13" s="26"/>
      <c r="K13" s="202">
        <v>12</v>
      </c>
      <c r="L13" s="104">
        <v>44739</v>
      </c>
      <c r="M13" s="105" t="s">
        <v>15</v>
      </c>
      <c r="N13" s="106">
        <v>8500000</v>
      </c>
      <c r="O13" s="107" t="s">
        <v>791</v>
      </c>
    </row>
    <row r="14" spans="1:15">
      <c r="A14" s="29"/>
      <c r="B14" s="29" t="s">
        <v>762</v>
      </c>
      <c r="C14" s="14" t="s">
        <v>17</v>
      </c>
      <c r="D14" s="31">
        <v>2</v>
      </c>
      <c r="E14" s="14" t="s">
        <v>30</v>
      </c>
      <c r="F14" s="28">
        <v>795000</v>
      </c>
      <c r="G14" s="179">
        <v>1590000</v>
      </c>
      <c r="H14" s="178" t="s">
        <v>1030</v>
      </c>
      <c r="I14" s="381" t="s">
        <v>595</v>
      </c>
      <c r="J14" s="26"/>
      <c r="K14" s="312">
        <v>13</v>
      </c>
      <c r="L14" s="283">
        <v>44739</v>
      </c>
      <c r="M14" s="284" t="s">
        <v>17</v>
      </c>
      <c r="N14" s="285">
        <v>450000</v>
      </c>
      <c r="O14" s="314" t="s">
        <v>791</v>
      </c>
    </row>
    <row r="15" spans="1:15">
      <c r="A15" s="29"/>
      <c r="B15" s="29" t="s">
        <v>763</v>
      </c>
      <c r="C15" s="14" t="s">
        <v>17</v>
      </c>
      <c r="D15" s="31">
        <v>2</v>
      </c>
      <c r="E15" s="14" t="s">
        <v>30</v>
      </c>
      <c r="F15" s="28">
        <v>795000</v>
      </c>
      <c r="G15" s="179">
        <v>1590000</v>
      </c>
      <c r="H15" s="178"/>
      <c r="I15" s="175"/>
      <c r="J15" s="26"/>
      <c r="K15" s="251">
        <v>14</v>
      </c>
      <c r="L15" s="253">
        <v>44750</v>
      </c>
      <c r="M15" s="254" t="s">
        <v>671</v>
      </c>
      <c r="N15" s="194">
        <v>2150000</v>
      </c>
      <c r="O15" s="334" t="s">
        <v>791</v>
      </c>
    </row>
    <row r="16" spans="1:15">
      <c r="A16" s="29"/>
      <c r="B16" s="29" t="s">
        <v>763</v>
      </c>
      <c r="C16" s="14" t="s">
        <v>17</v>
      </c>
      <c r="D16" s="31">
        <v>2</v>
      </c>
      <c r="E16" s="14" t="s">
        <v>30</v>
      </c>
      <c r="F16" s="28">
        <v>795000</v>
      </c>
      <c r="G16" s="179">
        <v>795000</v>
      </c>
      <c r="H16" s="178"/>
      <c r="I16" s="175"/>
      <c r="J16" s="26"/>
      <c r="K16" s="269">
        <v>15</v>
      </c>
      <c r="L16" s="56"/>
      <c r="M16" s="57" t="s">
        <v>638</v>
      </c>
      <c r="N16" s="58">
        <v>25000000</v>
      </c>
      <c r="O16" s="344" t="s">
        <v>791</v>
      </c>
    </row>
    <row r="17" spans="1:15" ht="15.75" thickBot="1">
      <c r="A17" s="29"/>
      <c r="B17" s="29" t="s">
        <v>764</v>
      </c>
      <c r="C17" s="14" t="s">
        <v>17</v>
      </c>
      <c r="D17" s="31">
        <v>1</v>
      </c>
      <c r="E17" s="14" t="s">
        <v>30</v>
      </c>
      <c r="F17" s="28">
        <v>795000</v>
      </c>
      <c r="G17" s="179">
        <v>795000</v>
      </c>
      <c r="H17" s="193"/>
      <c r="I17" s="175"/>
      <c r="J17" s="26"/>
      <c r="K17" s="202">
        <v>16</v>
      </c>
      <c r="L17" s="101">
        <v>44762</v>
      </c>
      <c r="M17" s="102" t="s">
        <v>15</v>
      </c>
      <c r="N17" s="106">
        <v>1412000</v>
      </c>
      <c r="O17" s="107" t="s">
        <v>791</v>
      </c>
    </row>
    <row r="18" spans="1:15">
      <c r="A18" s="29"/>
      <c r="B18" s="29"/>
      <c r="C18" s="14"/>
      <c r="D18" s="31"/>
      <c r="E18" s="14"/>
      <c r="F18" s="28"/>
      <c r="G18" s="179"/>
      <c r="H18" s="178"/>
      <c r="I18" s="175"/>
      <c r="J18" s="26"/>
      <c r="K18" s="332">
        <v>17</v>
      </c>
      <c r="L18" s="340">
        <v>44728</v>
      </c>
      <c r="M18" s="341" t="s">
        <v>173</v>
      </c>
      <c r="N18" s="342">
        <v>4800000</v>
      </c>
      <c r="O18" s="343" t="s">
        <v>1044</v>
      </c>
    </row>
    <row r="19" spans="1:15">
      <c r="A19" s="29"/>
      <c r="B19" s="29"/>
      <c r="C19" s="14"/>
      <c r="D19" s="31"/>
      <c r="E19" s="14"/>
      <c r="F19" s="28"/>
      <c r="G19" s="179"/>
      <c r="H19" s="178"/>
      <c r="I19" s="175"/>
      <c r="J19" s="26"/>
      <c r="K19" s="410">
        <v>18</v>
      </c>
      <c r="L19" s="411">
        <v>44826</v>
      </c>
      <c r="M19" s="412" t="s">
        <v>1032</v>
      </c>
      <c r="N19" s="413">
        <v>2067000</v>
      </c>
      <c r="O19" s="414"/>
    </row>
    <row r="20" spans="1:15" ht="15.75" thickBot="1">
      <c r="A20" s="32">
        <v>44760</v>
      </c>
      <c r="B20" s="29" t="s">
        <v>750</v>
      </c>
      <c r="C20" s="27" t="s">
        <v>638</v>
      </c>
      <c r="D20" s="31">
        <v>1</v>
      </c>
      <c r="E20" s="31" t="s">
        <v>30</v>
      </c>
      <c r="F20" s="28">
        <v>1900000</v>
      </c>
      <c r="G20" s="179">
        <v>1900000</v>
      </c>
      <c r="H20" s="185" t="s">
        <v>485</v>
      </c>
      <c r="I20" s="180" t="s">
        <v>790</v>
      </c>
      <c r="J20" s="26"/>
      <c r="K20" s="386">
        <v>19</v>
      </c>
      <c r="L20" s="387">
        <v>44774</v>
      </c>
      <c r="M20" s="388" t="s">
        <v>307</v>
      </c>
      <c r="N20" s="389">
        <v>2000000</v>
      </c>
      <c r="O20" s="386" t="s">
        <v>791</v>
      </c>
    </row>
    <row r="21" spans="1:15">
      <c r="A21" s="29"/>
      <c r="B21" s="29" t="s">
        <v>751</v>
      </c>
      <c r="C21" s="27" t="s">
        <v>17</v>
      </c>
      <c r="D21" s="31">
        <v>1</v>
      </c>
      <c r="E21" s="31" t="s">
        <v>30</v>
      </c>
      <c r="F21" s="28">
        <v>795000</v>
      </c>
      <c r="G21" s="179">
        <v>795000</v>
      </c>
      <c r="H21" s="184"/>
      <c r="I21" s="181"/>
      <c r="J21" s="26"/>
      <c r="K21" s="26"/>
      <c r="L21" s="34"/>
      <c r="M21" s="34"/>
      <c r="N21" s="26"/>
      <c r="O21" s="26"/>
    </row>
    <row r="22" spans="1:15">
      <c r="A22" s="29"/>
      <c r="B22" s="29"/>
      <c r="C22" s="27"/>
      <c r="D22" s="31"/>
      <c r="E22" s="31"/>
      <c r="F22" s="28"/>
      <c r="G22" s="179"/>
      <c r="H22" s="185"/>
      <c r="I22" s="181"/>
      <c r="J22" s="26"/>
      <c r="K22" s="26"/>
      <c r="L22" s="34"/>
      <c r="M22" s="34"/>
      <c r="N22" s="35" t="s">
        <v>1118</v>
      </c>
      <c r="O22" s="26"/>
    </row>
    <row r="23" spans="1:15">
      <c r="A23" s="29"/>
      <c r="B23" s="29" t="s">
        <v>752</v>
      </c>
      <c r="C23" s="27" t="s">
        <v>17</v>
      </c>
      <c r="D23" s="31">
        <v>2</v>
      </c>
      <c r="E23" s="31" t="s">
        <v>30</v>
      </c>
      <c r="F23" s="28">
        <v>795000</v>
      </c>
      <c r="G23" s="179">
        <v>1590000</v>
      </c>
      <c r="H23" s="185" t="s">
        <v>756</v>
      </c>
      <c r="I23" s="382" t="s">
        <v>595</v>
      </c>
      <c r="J23" s="26"/>
      <c r="K23" s="26"/>
      <c r="L23" s="34"/>
      <c r="M23" s="34"/>
      <c r="N23" s="409">
        <v>109174000</v>
      </c>
      <c r="O23" s="26" t="s">
        <v>1077</v>
      </c>
    </row>
    <row r="24" spans="1:15">
      <c r="A24" s="29"/>
      <c r="B24" s="29" t="s">
        <v>753</v>
      </c>
      <c r="C24" s="27" t="s">
        <v>17</v>
      </c>
      <c r="D24" s="31">
        <v>2</v>
      </c>
      <c r="E24" s="31" t="s">
        <v>30</v>
      </c>
      <c r="F24" s="28">
        <v>795000</v>
      </c>
      <c r="G24" s="179">
        <v>1590000</v>
      </c>
      <c r="H24" s="185"/>
      <c r="I24" s="181"/>
      <c r="J24" s="26"/>
      <c r="K24" s="26"/>
      <c r="L24" s="34"/>
      <c r="M24" s="34"/>
      <c r="N24" s="286"/>
      <c r="O24" s="26"/>
    </row>
    <row r="25" spans="1:15">
      <c r="A25" s="29"/>
      <c r="B25" s="29" t="s">
        <v>752</v>
      </c>
      <c r="C25" s="27" t="s">
        <v>17</v>
      </c>
      <c r="D25" s="31">
        <v>1</v>
      </c>
      <c r="E25" s="31" t="s">
        <v>30</v>
      </c>
      <c r="F25" s="28">
        <v>795000</v>
      </c>
      <c r="G25" s="179">
        <v>795000</v>
      </c>
      <c r="H25" s="185"/>
      <c r="I25" s="181"/>
      <c r="J25" s="26"/>
      <c r="K25" s="26"/>
      <c r="L25" s="34"/>
      <c r="M25" s="34"/>
      <c r="N25" s="286"/>
      <c r="O25" s="26"/>
    </row>
    <row r="26" spans="1:15">
      <c r="A26" s="29"/>
      <c r="B26" s="29" t="s">
        <v>754</v>
      </c>
      <c r="C26" s="27" t="s">
        <v>17</v>
      </c>
      <c r="D26" s="31">
        <v>30</v>
      </c>
      <c r="E26" s="31" t="s">
        <v>30</v>
      </c>
      <c r="F26" s="28">
        <v>160000</v>
      </c>
      <c r="G26" s="179">
        <v>4800000</v>
      </c>
      <c r="H26" s="185"/>
      <c r="I26" s="181"/>
      <c r="J26" s="26"/>
      <c r="K26" s="26"/>
      <c r="L26" s="34"/>
      <c r="M26" s="34"/>
      <c r="N26" s="26"/>
      <c r="O26" s="26"/>
    </row>
    <row r="27" spans="1:15" ht="15.75" thickBot="1">
      <c r="A27" s="29"/>
      <c r="B27" s="29" t="s">
        <v>755</v>
      </c>
      <c r="C27" s="27" t="s">
        <v>17</v>
      </c>
      <c r="D27" s="31">
        <v>10</v>
      </c>
      <c r="E27" s="31" t="s">
        <v>30</v>
      </c>
      <c r="F27" s="28">
        <v>160000</v>
      </c>
      <c r="G27" s="179">
        <v>1600000</v>
      </c>
      <c r="H27" s="185"/>
      <c r="I27" s="181"/>
      <c r="J27" s="26"/>
      <c r="K27" s="26"/>
      <c r="L27" s="34"/>
      <c r="M27" s="34"/>
      <c r="N27" s="26"/>
      <c r="O27" s="26"/>
    </row>
    <row r="28" spans="1:15">
      <c r="A28" s="32">
        <v>44761</v>
      </c>
      <c r="B28" s="29" t="s">
        <v>757</v>
      </c>
      <c r="C28" s="27" t="s">
        <v>15</v>
      </c>
      <c r="D28" s="31">
        <v>11</v>
      </c>
      <c r="E28" s="31" t="s">
        <v>30</v>
      </c>
      <c r="F28" s="28">
        <v>120000</v>
      </c>
      <c r="G28" s="179">
        <v>1320000</v>
      </c>
      <c r="H28" s="184" t="s">
        <v>760</v>
      </c>
      <c r="I28" s="181" t="s">
        <v>595</v>
      </c>
      <c r="J28" s="26"/>
      <c r="K28" s="26"/>
      <c r="L28" s="34"/>
      <c r="M28" s="34"/>
      <c r="N28" s="26"/>
      <c r="O28" s="26"/>
    </row>
    <row r="29" spans="1:15">
      <c r="A29" s="29"/>
      <c r="B29" s="29" t="s">
        <v>758</v>
      </c>
      <c r="C29" s="27" t="s">
        <v>15</v>
      </c>
      <c r="D29" s="31">
        <v>6</v>
      </c>
      <c r="E29" s="31" t="s">
        <v>30</v>
      </c>
      <c r="F29" s="28">
        <v>120000</v>
      </c>
      <c r="G29" s="179">
        <v>720000</v>
      </c>
      <c r="H29" s="185"/>
      <c r="I29" s="181"/>
      <c r="J29" s="26"/>
      <c r="L29" s="34"/>
      <c r="M29" s="34"/>
      <c r="N29" s="26"/>
    </row>
    <row r="30" spans="1:15" ht="15.75" thickBot="1">
      <c r="A30" s="29"/>
      <c r="B30" s="29" t="s">
        <v>759</v>
      </c>
      <c r="C30" s="27" t="s">
        <v>15</v>
      </c>
      <c r="D30" s="31">
        <v>5</v>
      </c>
      <c r="E30" s="31" t="s">
        <v>30</v>
      </c>
      <c r="F30" s="28">
        <v>120000</v>
      </c>
      <c r="G30" s="179">
        <v>600000</v>
      </c>
      <c r="H30" s="185"/>
      <c r="I30" s="181"/>
      <c r="J30" s="26"/>
      <c r="M30" s="5"/>
    </row>
    <row r="31" spans="1:15">
      <c r="A31" s="32">
        <v>44761</v>
      </c>
      <c r="B31" s="29" t="s">
        <v>765</v>
      </c>
      <c r="C31" s="27" t="s">
        <v>17</v>
      </c>
      <c r="D31" s="31">
        <v>2</v>
      </c>
      <c r="E31" s="31" t="s">
        <v>30</v>
      </c>
      <c r="F31" s="28">
        <v>795000</v>
      </c>
      <c r="G31" s="179">
        <v>795000</v>
      </c>
      <c r="H31" s="184"/>
      <c r="I31" s="181"/>
      <c r="J31" s="26"/>
      <c r="M31" s="5"/>
    </row>
    <row r="32" spans="1:15">
      <c r="A32" s="29"/>
      <c r="B32" s="29" t="s">
        <v>761</v>
      </c>
      <c r="C32" s="27" t="s">
        <v>17</v>
      </c>
      <c r="D32" s="31">
        <v>1</v>
      </c>
      <c r="E32" s="31" t="s">
        <v>30</v>
      </c>
      <c r="F32" s="28">
        <v>795000</v>
      </c>
      <c r="G32" s="179">
        <v>795000</v>
      </c>
      <c r="H32" s="185"/>
      <c r="I32" s="181"/>
      <c r="J32" s="26"/>
      <c r="M32" s="5"/>
    </row>
    <row r="33" spans="1:13">
      <c r="A33" s="29"/>
      <c r="B33" s="29" t="s">
        <v>766</v>
      </c>
      <c r="C33" s="27" t="s">
        <v>17</v>
      </c>
      <c r="D33" s="31">
        <v>1</v>
      </c>
      <c r="E33" s="31" t="s">
        <v>30</v>
      </c>
      <c r="F33" s="28">
        <v>795000</v>
      </c>
      <c r="G33" s="179">
        <v>795000</v>
      </c>
      <c r="H33" s="185"/>
      <c r="I33" s="382" t="s">
        <v>595</v>
      </c>
      <c r="J33" s="26"/>
      <c r="M33" s="5"/>
    </row>
    <row r="34" spans="1:13">
      <c r="A34" s="29"/>
      <c r="B34" s="345" t="s">
        <v>767</v>
      </c>
      <c r="C34" s="105" t="s">
        <v>17</v>
      </c>
      <c r="D34" s="346">
        <v>10</v>
      </c>
      <c r="E34" s="346" t="s">
        <v>30</v>
      </c>
      <c r="F34" s="106">
        <v>125000</v>
      </c>
      <c r="G34" s="347">
        <v>1250000</v>
      </c>
      <c r="H34" s="348" t="s">
        <v>190</v>
      </c>
      <c r="I34" s="181"/>
      <c r="J34" s="26"/>
      <c r="M34" s="5"/>
    </row>
    <row r="35" spans="1:13">
      <c r="A35" s="29"/>
      <c r="B35" s="29" t="s">
        <v>768</v>
      </c>
      <c r="C35" s="27" t="s">
        <v>17</v>
      </c>
      <c r="D35" s="31">
        <v>1</v>
      </c>
      <c r="E35" s="31" t="s">
        <v>30</v>
      </c>
      <c r="F35" s="28">
        <v>795000</v>
      </c>
      <c r="G35" s="179">
        <v>795000</v>
      </c>
      <c r="H35" s="185" t="s">
        <v>1029</v>
      </c>
      <c r="I35" s="181"/>
      <c r="J35" s="26"/>
      <c r="M35" s="5"/>
    </row>
    <row r="36" spans="1:13">
      <c r="A36" s="29"/>
      <c r="B36" s="29" t="s">
        <v>769</v>
      </c>
      <c r="C36" s="27" t="s">
        <v>17</v>
      </c>
      <c r="D36" s="31">
        <v>10</v>
      </c>
      <c r="E36" s="31" t="s">
        <v>30</v>
      </c>
      <c r="F36" s="28">
        <v>170000</v>
      </c>
      <c r="G36" s="179">
        <v>1700000</v>
      </c>
      <c r="H36" s="185"/>
      <c r="I36" s="181"/>
      <c r="J36" s="26"/>
      <c r="M36" s="5"/>
    </row>
    <row r="37" spans="1:13">
      <c r="A37" s="29"/>
      <c r="B37" s="29" t="s">
        <v>770</v>
      </c>
      <c r="C37" s="27" t="s">
        <v>17</v>
      </c>
      <c r="D37" s="31">
        <v>10</v>
      </c>
      <c r="E37" s="31" t="s">
        <v>30</v>
      </c>
      <c r="F37" s="28">
        <v>170000</v>
      </c>
      <c r="G37" s="179">
        <v>1700000</v>
      </c>
      <c r="H37" s="185"/>
      <c r="I37" s="181"/>
      <c r="J37" s="26"/>
      <c r="M37" s="5"/>
    </row>
    <row r="38" spans="1:13">
      <c r="A38" s="29"/>
      <c r="B38" s="29" t="s">
        <v>771</v>
      </c>
      <c r="C38" s="27" t="s">
        <v>17</v>
      </c>
      <c r="D38" s="31">
        <v>10</v>
      </c>
      <c r="E38" s="31" t="s">
        <v>30</v>
      </c>
      <c r="F38" s="28">
        <v>170000</v>
      </c>
      <c r="G38" s="179">
        <v>1700000</v>
      </c>
      <c r="H38" s="185"/>
      <c r="I38" s="181"/>
      <c r="J38" s="26"/>
      <c r="M38" s="5"/>
    </row>
    <row r="39" spans="1:13" ht="15.75" thickBot="1">
      <c r="A39" s="29"/>
      <c r="B39" s="29" t="s">
        <v>772</v>
      </c>
      <c r="C39" s="27" t="s">
        <v>17</v>
      </c>
      <c r="D39" s="31">
        <v>10</v>
      </c>
      <c r="E39" s="31" t="s">
        <v>30</v>
      </c>
      <c r="F39" s="28">
        <v>170000</v>
      </c>
      <c r="G39" s="179">
        <v>1700000</v>
      </c>
      <c r="H39" s="185"/>
      <c r="I39" s="181"/>
      <c r="J39" s="26"/>
      <c r="M39" s="5"/>
    </row>
    <row r="40" spans="1:13">
      <c r="A40" s="12">
        <v>44763</v>
      </c>
      <c r="B40" s="13" t="s">
        <v>773</v>
      </c>
      <c r="C40" s="14" t="s">
        <v>17</v>
      </c>
      <c r="D40" s="14">
        <v>1</v>
      </c>
      <c r="E40" s="14" t="s">
        <v>30</v>
      </c>
      <c r="F40" s="15">
        <v>795000</v>
      </c>
      <c r="G40" s="77">
        <v>795000</v>
      </c>
      <c r="H40" s="187"/>
      <c r="I40" s="182"/>
      <c r="M40" s="5"/>
    </row>
    <row r="41" spans="1:13">
      <c r="A41" s="13"/>
      <c r="B41" s="13" t="s">
        <v>774</v>
      </c>
      <c r="C41" s="14" t="s">
        <v>17</v>
      </c>
      <c r="D41" s="14">
        <v>2</v>
      </c>
      <c r="E41" s="14" t="s">
        <v>30</v>
      </c>
      <c r="F41" s="15">
        <v>795000</v>
      </c>
      <c r="G41" s="77">
        <v>1590000</v>
      </c>
      <c r="H41" s="186"/>
      <c r="I41" s="383" t="s">
        <v>778</v>
      </c>
      <c r="M41" s="5"/>
    </row>
    <row r="42" spans="1:13">
      <c r="A42" s="13"/>
      <c r="B42" s="13" t="s">
        <v>775</v>
      </c>
      <c r="C42" s="14" t="s">
        <v>17</v>
      </c>
      <c r="D42" s="14">
        <v>2</v>
      </c>
      <c r="E42" s="14" t="s">
        <v>30</v>
      </c>
      <c r="F42" s="15">
        <v>795000</v>
      </c>
      <c r="G42" s="77">
        <v>1590000</v>
      </c>
      <c r="H42" s="186" t="s">
        <v>779</v>
      </c>
      <c r="I42" s="182"/>
      <c r="M42" s="5"/>
    </row>
    <row r="43" spans="1:13">
      <c r="A43" s="13"/>
      <c r="B43" s="13" t="s">
        <v>777</v>
      </c>
      <c r="C43" s="14" t="s">
        <v>17</v>
      </c>
      <c r="D43" s="14">
        <v>2</v>
      </c>
      <c r="E43" s="14" t="s">
        <v>30</v>
      </c>
      <c r="F43" s="15">
        <v>690000</v>
      </c>
      <c r="G43" s="77">
        <v>1380000</v>
      </c>
      <c r="H43" s="186"/>
      <c r="I43" s="182"/>
      <c r="M43" s="5"/>
    </row>
    <row r="44" spans="1:13" ht="15.75" thickBot="1">
      <c r="A44" s="13"/>
      <c r="B44" s="13" t="s">
        <v>776</v>
      </c>
      <c r="C44" s="14" t="s">
        <v>17</v>
      </c>
      <c r="D44" s="14">
        <v>1</v>
      </c>
      <c r="E44" s="14" t="s">
        <v>30</v>
      </c>
      <c r="F44" s="15">
        <v>795000</v>
      </c>
      <c r="G44" s="77">
        <v>795000</v>
      </c>
      <c r="H44" s="186"/>
      <c r="I44" s="182"/>
    </row>
    <row r="45" spans="1:13">
      <c r="A45" s="12">
        <v>44764</v>
      </c>
      <c r="B45" s="13" t="s">
        <v>780</v>
      </c>
      <c r="C45" s="14" t="s">
        <v>16</v>
      </c>
      <c r="D45" s="14">
        <v>1</v>
      </c>
      <c r="E45" s="14" t="s">
        <v>49</v>
      </c>
      <c r="F45" s="15">
        <v>9990000</v>
      </c>
      <c r="G45" s="77">
        <v>9990000</v>
      </c>
      <c r="H45" s="187" t="s">
        <v>782</v>
      </c>
      <c r="I45" s="182" t="s">
        <v>788</v>
      </c>
    </row>
    <row r="46" spans="1:13" ht="15.75" thickBot="1">
      <c r="A46" s="13"/>
      <c r="B46" s="13" t="s">
        <v>781</v>
      </c>
      <c r="C46" s="14" t="s">
        <v>16</v>
      </c>
      <c r="D46" s="14">
        <v>1</v>
      </c>
      <c r="E46" s="14" t="s">
        <v>49</v>
      </c>
      <c r="F46" s="15">
        <v>9990000</v>
      </c>
      <c r="G46" s="77">
        <v>9990000</v>
      </c>
      <c r="H46" s="186"/>
      <c r="I46" s="182"/>
    </row>
    <row r="47" spans="1:13" ht="15.75" thickBot="1">
      <c r="A47" s="12">
        <v>44765</v>
      </c>
      <c r="B47" s="13" t="s">
        <v>783</v>
      </c>
      <c r="C47" s="14" t="s">
        <v>15</v>
      </c>
      <c r="D47" s="14">
        <v>1</v>
      </c>
      <c r="E47" s="14" t="s">
        <v>30</v>
      </c>
      <c r="F47" s="15">
        <v>8500000</v>
      </c>
      <c r="G47" s="77">
        <v>8500000</v>
      </c>
      <c r="H47" s="187">
        <v>8500000</v>
      </c>
      <c r="I47" s="182" t="s">
        <v>595</v>
      </c>
    </row>
    <row r="48" spans="1:13">
      <c r="A48" s="13"/>
      <c r="B48" s="13" t="s">
        <v>784</v>
      </c>
      <c r="C48" s="14" t="s">
        <v>140</v>
      </c>
      <c r="D48" s="14">
        <v>5</v>
      </c>
      <c r="E48" s="14" t="s">
        <v>30</v>
      </c>
      <c r="F48" s="15">
        <v>300000</v>
      </c>
      <c r="G48" s="77">
        <v>1500000</v>
      </c>
      <c r="H48" s="187" t="s">
        <v>787</v>
      </c>
      <c r="I48" s="182" t="s">
        <v>595</v>
      </c>
    </row>
    <row r="49" spans="1:9">
      <c r="A49" s="13"/>
      <c r="B49" s="13" t="s">
        <v>785</v>
      </c>
      <c r="C49" s="14" t="s">
        <v>140</v>
      </c>
      <c r="D49" s="14">
        <v>5</v>
      </c>
      <c r="E49" s="14" t="s">
        <v>30</v>
      </c>
      <c r="F49" s="15">
        <v>100000</v>
      </c>
      <c r="G49" s="77">
        <v>500000</v>
      </c>
      <c r="H49" s="186"/>
      <c r="I49" s="182"/>
    </row>
    <row r="50" spans="1:9" ht="15.75" thickBot="1">
      <c r="A50" s="13"/>
      <c r="B50" s="13" t="s">
        <v>786</v>
      </c>
      <c r="C50" s="14" t="s">
        <v>140</v>
      </c>
      <c r="D50" s="14">
        <v>5</v>
      </c>
      <c r="E50" s="14" t="s">
        <v>30</v>
      </c>
      <c r="F50" s="15">
        <v>100000</v>
      </c>
      <c r="G50" s="77">
        <v>500000</v>
      </c>
      <c r="H50" s="186"/>
      <c r="I50" s="182"/>
    </row>
    <row r="51" spans="1:9" ht="15.75" thickBot="1">
      <c r="A51" s="12">
        <v>44767</v>
      </c>
      <c r="B51" s="13" t="s">
        <v>789</v>
      </c>
      <c r="C51" s="14" t="s">
        <v>15</v>
      </c>
      <c r="D51" s="14">
        <v>10</v>
      </c>
      <c r="E51" s="14" t="s">
        <v>30</v>
      </c>
      <c r="F51" s="15">
        <v>350000</v>
      </c>
      <c r="G51" s="77">
        <v>3500000</v>
      </c>
      <c r="H51" s="187" t="s">
        <v>429</v>
      </c>
      <c r="I51" s="182" t="s">
        <v>595</v>
      </c>
    </row>
    <row r="52" spans="1:9">
      <c r="A52" s="12">
        <v>44768</v>
      </c>
      <c r="B52" s="13" t="s">
        <v>794</v>
      </c>
      <c r="C52" s="14" t="s">
        <v>173</v>
      </c>
      <c r="D52" s="14">
        <v>5</v>
      </c>
      <c r="E52" s="14" t="s">
        <v>30</v>
      </c>
      <c r="F52" s="15">
        <v>150000</v>
      </c>
      <c r="G52" s="77">
        <v>750000</v>
      </c>
      <c r="H52" s="187"/>
      <c r="I52" s="182"/>
    </row>
    <row r="53" spans="1:9">
      <c r="A53" s="13"/>
      <c r="B53" s="13" t="s">
        <v>795</v>
      </c>
      <c r="C53" s="14" t="s">
        <v>173</v>
      </c>
      <c r="D53" s="14">
        <v>5</v>
      </c>
      <c r="E53" s="14" t="s">
        <v>30</v>
      </c>
      <c r="F53" s="15">
        <v>150000</v>
      </c>
      <c r="G53" s="77">
        <v>750000</v>
      </c>
      <c r="H53" s="186"/>
      <c r="I53" s="182"/>
    </row>
    <row r="54" spans="1:9">
      <c r="A54" s="13"/>
      <c r="B54" s="13" t="s">
        <v>796</v>
      </c>
      <c r="C54" s="14" t="s">
        <v>173</v>
      </c>
      <c r="D54" s="14">
        <v>3</v>
      </c>
      <c r="E54" s="14" t="s">
        <v>30</v>
      </c>
      <c r="F54" s="15">
        <v>135000</v>
      </c>
      <c r="G54" s="77">
        <v>405000</v>
      </c>
      <c r="H54" s="186"/>
      <c r="I54" s="182"/>
    </row>
    <row r="55" spans="1:9">
      <c r="A55" s="13"/>
      <c r="B55" s="13" t="s">
        <v>797</v>
      </c>
      <c r="C55" s="14" t="s">
        <v>173</v>
      </c>
      <c r="D55" s="14">
        <v>4</v>
      </c>
      <c r="E55" s="14" t="s">
        <v>30</v>
      </c>
      <c r="F55" s="15">
        <v>150000</v>
      </c>
      <c r="G55" s="77">
        <v>600000</v>
      </c>
      <c r="H55" s="186"/>
      <c r="I55" s="182"/>
    </row>
    <row r="56" spans="1:9">
      <c r="A56" s="13"/>
      <c r="B56" s="13" t="s">
        <v>798</v>
      </c>
      <c r="C56" s="14" t="s">
        <v>173</v>
      </c>
      <c r="D56" s="14">
        <v>5</v>
      </c>
      <c r="E56" s="14" t="s">
        <v>30</v>
      </c>
      <c r="F56" s="15">
        <v>175000</v>
      </c>
      <c r="G56" s="77">
        <v>875000</v>
      </c>
      <c r="H56" s="186" t="s">
        <v>813</v>
      </c>
      <c r="I56" s="182"/>
    </row>
    <row r="57" spans="1:9">
      <c r="A57" s="13"/>
      <c r="B57" s="13" t="s">
        <v>799</v>
      </c>
      <c r="C57" s="14" t="s">
        <v>173</v>
      </c>
      <c r="D57" s="14">
        <v>3</v>
      </c>
      <c r="E57" s="14" t="s">
        <v>30</v>
      </c>
      <c r="F57" s="15">
        <v>240000</v>
      </c>
      <c r="G57" s="77">
        <v>720000</v>
      </c>
      <c r="H57" s="186"/>
      <c r="I57" s="182"/>
    </row>
    <row r="58" spans="1:9">
      <c r="A58" s="13"/>
      <c r="B58" s="13" t="s">
        <v>800</v>
      </c>
      <c r="C58" s="14" t="s">
        <v>173</v>
      </c>
      <c r="D58" s="14">
        <v>2</v>
      </c>
      <c r="E58" s="14" t="s">
        <v>30</v>
      </c>
      <c r="F58" s="15">
        <v>245000</v>
      </c>
      <c r="G58" s="77">
        <v>490000</v>
      </c>
      <c r="H58" s="186"/>
      <c r="I58" s="182" t="s">
        <v>595</v>
      </c>
    </row>
    <row r="59" spans="1:9">
      <c r="A59" s="13"/>
      <c r="B59" s="13" t="s">
        <v>801</v>
      </c>
      <c r="C59" s="14" t="s">
        <v>173</v>
      </c>
      <c r="D59" s="14">
        <v>3</v>
      </c>
      <c r="E59" s="14" t="s">
        <v>30</v>
      </c>
      <c r="F59" s="15">
        <v>230000</v>
      </c>
      <c r="G59" s="77">
        <v>690000</v>
      </c>
      <c r="H59" s="186"/>
      <c r="I59" s="182"/>
    </row>
    <row r="60" spans="1:9">
      <c r="A60" s="13"/>
      <c r="B60" s="13" t="s">
        <v>802</v>
      </c>
      <c r="C60" s="14" t="s">
        <v>173</v>
      </c>
      <c r="D60" s="14">
        <v>2</v>
      </c>
      <c r="E60" s="14" t="s">
        <v>30</v>
      </c>
      <c r="F60" s="15">
        <v>240000</v>
      </c>
      <c r="G60" s="77">
        <v>480000</v>
      </c>
      <c r="H60" s="186"/>
      <c r="I60" s="182"/>
    </row>
    <row r="61" spans="1:9">
      <c r="A61" s="13"/>
      <c r="B61" s="13" t="s">
        <v>803</v>
      </c>
      <c r="C61" s="14" t="s">
        <v>173</v>
      </c>
      <c r="D61" s="14">
        <v>2</v>
      </c>
      <c r="E61" s="14" t="s">
        <v>30</v>
      </c>
      <c r="F61" s="15">
        <v>245000</v>
      </c>
      <c r="G61" s="77">
        <v>490000</v>
      </c>
      <c r="H61" s="186"/>
      <c r="I61" s="182"/>
    </row>
    <row r="62" spans="1:9">
      <c r="A62" s="13"/>
      <c r="B62" s="13" t="s">
        <v>804</v>
      </c>
      <c r="C62" s="14" t="s">
        <v>173</v>
      </c>
      <c r="D62" s="14">
        <v>2</v>
      </c>
      <c r="E62" s="14" t="s">
        <v>30</v>
      </c>
      <c r="F62" s="15">
        <v>190000</v>
      </c>
      <c r="G62" s="77">
        <v>380000</v>
      </c>
      <c r="H62" s="186"/>
      <c r="I62" s="182"/>
    </row>
    <row r="63" spans="1:9">
      <c r="A63" s="13"/>
      <c r="B63" s="13" t="s">
        <v>805</v>
      </c>
      <c r="C63" s="14" t="s">
        <v>173</v>
      </c>
      <c r="D63" s="14">
        <v>10</v>
      </c>
      <c r="E63" s="14" t="s">
        <v>30</v>
      </c>
      <c r="F63" s="15">
        <v>200000</v>
      </c>
      <c r="G63" s="77">
        <v>2000000</v>
      </c>
      <c r="H63" s="186"/>
      <c r="I63" s="182"/>
    </row>
    <row r="64" spans="1:9">
      <c r="A64" s="13"/>
      <c r="B64" s="13" t="s">
        <v>806</v>
      </c>
      <c r="C64" s="14" t="s">
        <v>173</v>
      </c>
      <c r="D64" s="14">
        <v>3</v>
      </c>
      <c r="E64" s="14" t="s">
        <v>30</v>
      </c>
      <c r="F64" s="15">
        <v>200000</v>
      </c>
      <c r="G64" s="77">
        <v>600000</v>
      </c>
      <c r="H64" s="186"/>
      <c r="I64" s="182"/>
    </row>
    <row r="65" spans="1:9">
      <c r="A65" s="13"/>
      <c r="B65" s="103" t="s">
        <v>807</v>
      </c>
      <c r="C65" s="102" t="s">
        <v>173</v>
      </c>
      <c r="D65" s="102">
        <v>3</v>
      </c>
      <c r="E65" s="102" t="s">
        <v>30</v>
      </c>
      <c r="F65" s="227">
        <v>120000</v>
      </c>
      <c r="G65" s="228">
        <v>360000</v>
      </c>
      <c r="H65" s="229" t="s">
        <v>190</v>
      </c>
      <c r="I65" s="182"/>
    </row>
    <row r="66" spans="1:9">
      <c r="A66" s="13"/>
      <c r="B66" s="103" t="s">
        <v>808</v>
      </c>
      <c r="C66" s="102" t="s">
        <v>173</v>
      </c>
      <c r="D66" s="102">
        <v>3</v>
      </c>
      <c r="E66" s="102" t="s">
        <v>30</v>
      </c>
      <c r="F66" s="227">
        <v>120000</v>
      </c>
      <c r="G66" s="228">
        <v>360000</v>
      </c>
      <c r="H66" s="229"/>
      <c r="I66" s="182"/>
    </row>
    <row r="67" spans="1:9" ht="15.75" thickBot="1">
      <c r="A67" s="13"/>
      <c r="B67" s="103" t="s">
        <v>809</v>
      </c>
      <c r="C67" s="102" t="s">
        <v>173</v>
      </c>
      <c r="D67" s="102">
        <v>3</v>
      </c>
      <c r="E67" s="102" t="s">
        <v>30</v>
      </c>
      <c r="F67" s="227">
        <v>120000</v>
      </c>
      <c r="G67" s="228">
        <v>360000</v>
      </c>
      <c r="H67" s="349"/>
      <c r="I67" s="182"/>
    </row>
    <row r="68" spans="1:9" ht="15.75" thickBot="1">
      <c r="A68" s="13"/>
      <c r="B68" s="13" t="s">
        <v>810</v>
      </c>
      <c r="C68" s="14" t="s">
        <v>811</v>
      </c>
      <c r="D68" s="14">
        <v>10</v>
      </c>
      <c r="E68" s="14" t="s">
        <v>30</v>
      </c>
      <c r="F68" s="15">
        <v>155000</v>
      </c>
      <c r="G68" s="77">
        <v>1550000</v>
      </c>
      <c r="H68" s="187" t="s">
        <v>812</v>
      </c>
      <c r="I68" s="182" t="s">
        <v>595</v>
      </c>
    </row>
    <row r="69" spans="1:9">
      <c r="A69" s="13"/>
      <c r="B69" s="13" t="s">
        <v>814</v>
      </c>
      <c r="C69" s="14" t="s">
        <v>17</v>
      </c>
      <c r="D69" s="14">
        <v>1</v>
      </c>
      <c r="E69" s="14" t="s">
        <v>30</v>
      </c>
      <c r="F69" s="15">
        <v>795000</v>
      </c>
      <c r="G69" s="77">
        <v>795000</v>
      </c>
      <c r="H69" s="187"/>
      <c r="I69" s="182"/>
    </row>
    <row r="70" spans="1:9">
      <c r="A70" s="13"/>
      <c r="B70" s="13" t="s">
        <v>815</v>
      </c>
      <c r="C70" s="14" t="s">
        <v>17</v>
      </c>
      <c r="D70" s="14">
        <v>1</v>
      </c>
      <c r="E70" s="14" t="s">
        <v>30</v>
      </c>
      <c r="F70" s="15">
        <v>795000</v>
      </c>
      <c r="G70" s="77">
        <v>795000</v>
      </c>
      <c r="H70" s="186"/>
      <c r="I70" s="383" t="s">
        <v>595</v>
      </c>
    </row>
    <row r="71" spans="1:9">
      <c r="A71" s="13"/>
      <c r="B71" s="13" t="s">
        <v>816</v>
      </c>
      <c r="C71" s="14"/>
      <c r="D71" s="14">
        <v>1</v>
      </c>
      <c r="E71" s="14" t="s">
        <v>30</v>
      </c>
      <c r="F71" s="15">
        <v>795000</v>
      </c>
      <c r="G71" s="77">
        <v>795000</v>
      </c>
      <c r="H71" s="186" t="s">
        <v>818</v>
      </c>
      <c r="I71" s="182"/>
    </row>
    <row r="72" spans="1:9" ht="15.75" thickBot="1">
      <c r="A72" s="13"/>
      <c r="B72" s="13" t="s">
        <v>817</v>
      </c>
      <c r="C72" s="14" t="s">
        <v>17</v>
      </c>
      <c r="D72" s="14">
        <v>3</v>
      </c>
      <c r="E72" s="14" t="s">
        <v>30</v>
      </c>
      <c r="F72" s="15">
        <v>170000</v>
      </c>
      <c r="G72" s="77">
        <v>510000</v>
      </c>
      <c r="H72" s="186"/>
      <c r="I72" s="182"/>
    </row>
    <row r="73" spans="1:9">
      <c r="A73" s="12">
        <v>44773</v>
      </c>
      <c r="B73" s="13" t="s">
        <v>820</v>
      </c>
      <c r="C73" s="14" t="s">
        <v>17</v>
      </c>
      <c r="D73" s="14">
        <v>2</v>
      </c>
      <c r="E73" s="14" t="s">
        <v>30</v>
      </c>
      <c r="F73" s="15">
        <v>795000</v>
      </c>
      <c r="G73" s="77">
        <v>1590000</v>
      </c>
      <c r="H73" s="187"/>
      <c r="I73" s="182"/>
    </row>
    <row r="74" spans="1:9">
      <c r="A74" s="13"/>
      <c r="B74" s="13" t="s">
        <v>821</v>
      </c>
      <c r="C74" s="14" t="s">
        <v>17</v>
      </c>
      <c r="D74" s="14">
        <v>1</v>
      </c>
      <c r="E74" s="14" t="s">
        <v>30</v>
      </c>
      <c r="F74" s="15">
        <v>795000</v>
      </c>
      <c r="G74" s="77">
        <v>795000</v>
      </c>
      <c r="H74" s="186"/>
      <c r="I74" s="182"/>
    </row>
    <row r="75" spans="1:9">
      <c r="A75" s="13"/>
      <c r="B75" s="13" t="s">
        <v>822</v>
      </c>
      <c r="C75" s="14" t="s">
        <v>17</v>
      </c>
      <c r="D75" s="14">
        <v>1</v>
      </c>
      <c r="E75" s="14" t="s">
        <v>30</v>
      </c>
      <c r="F75" s="15">
        <v>795000</v>
      </c>
      <c r="G75" s="77">
        <v>795000</v>
      </c>
      <c r="H75" s="186"/>
      <c r="I75" s="182"/>
    </row>
    <row r="76" spans="1:9">
      <c r="A76" s="13"/>
      <c r="B76" s="13" t="s">
        <v>823</v>
      </c>
      <c r="C76" s="14" t="s">
        <v>17</v>
      </c>
      <c r="D76" s="14">
        <v>2</v>
      </c>
      <c r="E76" s="14" t="s">
        <v>30</v>
      </c>
      <c r="F76" s="15">
        <v>795000</v>
      </c>
      <c r="G76" s="77">
        <v>1590000</v>
      </c>
      <c r="H76" s="186"/>
      <c r="I76" s="182"/>
    </row>
    <row r="77" spans="1:9">
      <c r="A77" s="13"/>
      <c r="B77" s="13" t="s">
        <v>824</v>
      </c>
      <c r="C77" s="14" t="s">
        <v>17</v>
      </c>
      <c r="D77" s="14">
        <v>3</v>
      </c>
      <c r="E77" s="14" t="s">
        <v>30</v>
      </c>
      <c r="F77" s="15">
        <v>795000</v>
      </c>
      <c r="G77" s="77">
        <v>2385000</v>
      </c>
      <c r="H77" s="186" t="s">
        <v>830</v>
      </c>
      <c r="I77" s="182" t="s">
        <v>831</v>
      </c>
    </row>
    <row r="78" spans="1:9">
      <c r="A78" s="13"/>
      <c r="B78" s="13" t="s">
        <v>825</v>
      </c>
      <c r="C78" s="14" t="s">
        <v>17</v>
      </c>
      <c r="D78" s="14">
        <v>2</v>
      </c>
      <c r="E78" s="14" t="s">
        <v>30</v>
      </c>
      <c r="F78" s="15">
        <v>795000</v>
      </c>
      <c r="G78" s="77">
        <v>1590000</v>
      </c>
      <c r="H78" s="186"/>
      <c r="I78" s="182"/>
    </row>
    <row r="79" spans="1:9">
      <c r="A79" s="13"/>
      <c r="B79" s="13" t="s">
        <v>826</v>
      </c>
      <c r="C79" s="14" t="s">
        <v>17</v>
      </c>
      <c r="D79" s="14">
        <v>2</v>
      </c>
      <c r="E79" s="14" t="s">
        <v>30</v>
      </c>
      <c r="F79" s="15">
        <v>795000</v>
      </c>
      <c r="G79" s="77">
        <v>1590000</v>
      </c>
      <c r="H79" s="186"/>
      <c r="I79" s="182"/>
    </row>
    <row r="80" spans="1:9">
      <c r="A80" s="13"/>
      <c r="B80" s="13" t="s">
        <v>777</v>
      </c>
      <c r="C80" s="14" t="s">
        <v>17</v>
      </c>
      <c r="D80" s="14">
        <v>2</v>
      </c>
      <c r="E80" s="14" t="s">
        <v>30</v>
      </c>
      <c r="F80" s="15">
        <v>690000</v>
      </c>
      <c r="G80" s="77">
        <v>1380000</v>
      </c>
      <c r="H80" s="186"/>
      <c r="I80" s="182"/>
    </row>
    <row r="81" spans="1:9">
      <c r="A81" s="13"/>
      <c r="B81" s="13" t="s">
        <v>827</v>
      </c>
      <c r="C81" s="14" t="s">
        <v>17</v>
      </c>
      <c r="D81" s="14">
        <v>2</v>
      </c>
      <c r="E81" s="14" t="s">
        <v>30</v>
      </c>
      <c r="F81" s="15">
        <v>795000</v>
      </c>
      <c r="G81" s="77">
        <v>1590000</v>
      </c>
      <c r="H81" s="186"/>
      <c r="I81" s="182"/>
    </row>
    <row r="82" spans="1:9">
      <c r="A82" s="13"/>
      <c r="B82" s="13" t="s">
        <v>822</v>
      </c>
      <c r="C82" s="14" t="s">
        <v>17</v>
      </c>
      <c r="D82" s="14">
        <v>1</v>
      </c>
      <c r="E82" s="14" t="s">
        <v>30</v>
      </c>
      <c r="F82" s="15">
        <v>795000</v>
      </c>
      <c r="G82" s="77">
        <v>795000</v>
      </c>
      <c r="H82" s="186"/>
      <c r="I82" s="182"/>
    </row>
    <row r="83" spans="1:9">
      <c r="A83" s="13"/>
      <c r="B83" s="13" t="s">
        <v>828</v>
      </c>
      <c r="C83" s="14" t="s">
        <v>17</v>
      </c>
      <c r="D83" s="14">
        <v>2</v>
      </c>
      <c r="E83" s="14" t="s">
        <v>30</v>
      </c>
      <c r="F83" s="15">
        <v>795000</v>
      </c>
      <c r="G83" s="77">
        <v>1590000</v>
      </c>
      <c r="H83" s="186"/>
      <c r="I83" s="182"/>
    </row>
    <row r="84" spans="1:9" ht="15.75" thickBot="1">
      <c r="A84" s="13"/>
      <c r="B84" s="13" t="s">
        <v>829</v>
      </c>
      <c r="C84" s="14" t="s">
        <v>17</v>
      </c>
      <c r="D84" s="14">
        <v>1</v>
      </c>
      <c r="E84" s="14" t="s">
        <v>30</v>
      </c>
      <c r="F84" s="15">
        <v>795000</v>
      </c>
      <c r="G84" s="77">
        <v>795000</v>
      </c>
      <c r="H84" s="188"/>
      <c r="I84" s="182"/>
    </row>
    <row r="85" spans="1:9">
      <c r="A85" s="13"/>
      <c r="B85" s="13"/>
      <c r="C85" s="13"/>
      <c r="D85" s="13"/>
      <c r="E85" s="13"/>
      <c r="F85" s="15"/>
      <c r="G85" s="15"/>
      <c r="H85" s="183"/>
      <c r="I85" s="13"/>
    </row>
    <row r="86" spans="1:9">
      <c r="A86" s="13"/>
      <c r="B86" s="13"/>
      <c r="C86" s="13"/>
      <c r="D86" s="13"/>
      <c r="E86" s="13"/>
      <c r="F86" s="15"/>
      <c r="G86" s="15"/>
      <c r="H86" s="183"/>
      <c r="I86" s="13"/>
    </row>
    <row r="87" spans="1:9">
      <c r="A87" s="13"/>
      <c r="B87" s="13"/>
      <c r="C87" s="13"/>
      <c r="D87" s="13"/>
      <c r="E87" s="13"/>
      <c r="F87" s="15"/>
      <c r="G87" s="15"/>
      <c r="H87" s="183"/>
      <c r="I87" s="13"/>
    </row>
    <row r="88" spans="1:9">
      <c r="A88" s="13"/>
      <c r="B88" s="13"/>
      <c r="C88" s="13"/>
      <c r="D88" s="13"/>
      <c r="E88" s="13"/>
      <c r="F88" s="13"/>
      <c r="G88" s="13"/>
      <c r="H88" s="13"/>
      <c r="I88" s="13"/>
    </row>
  </sheetData>
  <pageMargins left="0.7" right="0.7" top="0.75" bottom="0.75" header="0.3" footer="0.3"/>
  <pageSetup paperSize="9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O115"/>
  <sheetViews>
    <sheetView topLeftCell="A88" workbookViewId="0">
      <selection activeCell="B81" sqref="B81"/>
    </sheetView>
  </sheetViews>
  <sheetFormatPr defaultRowHeight="15"/>
  <cols>
    <col min="1" max="1" width="7.5703125" customWidth="1"/>
    <col min="2" max="2" width="31.140625" customWidth="1"/>
    <col min="3" max="3" width="14.85546875" customWidth="1"/>
    <col min="4" max="4" width="8.28515625" customWidth="1"/>
    <col min="5" max="5" width="8.140625" customWidth="1"/>
    <col min="6" max="6" width="16.140625" customWidth="1"/>
    <col min="7" max="7" width="15.42578125" customWidth="1"/>
    <col min="8" max="8" width="17.42578125" customWidth="1"/>
    <col min="9" max="9" width="17.7109375" customWidth="1"/>
    <col min="11" max="11" width="6.28515625" customWidth="1"/>
    <col min="12" max="12" width="11.5703125" customWidth="1"/>
    <col min="13" max="13" width="14.28515625" customWidth="1"/>
    <col min="14" max="14" width="16.42578125" customWidth="1"/>
    <col min="15" max="15" width="16.85546875" customWidth="1"/>
  </cols>
  <sheetData>
    <row r="1" spans="1:15">
      <c r="A1" s="1" t="s">
        <v>0</v>
      </c>
      <c r="C1" s="2"/>
      <c r="D1" s="2"/>
      <c r="E1" s="2"/>
      <c r="F1" s="3"/>
      <c r="G1" s="3"/>
      <c r="H1" s="3"/>
      <c r="K1" s="4" t="s">
        <v>159</v>
      </c>
      <c r="L1" s="5"/>
      <c r="M1" s="5"/>
      <c r="N1" s="3"/>
    </row>
    <row r="2" spans="1:15" ht="45.75" thickBot="1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9" t="s">
        <v>7</v>
      </c>
      <c r="H2" s="176" t="s">
        <v>8</v>
      </c>
      <c r="I2" s="7" t="s">
        <v>9</v>
      </c>
      <c r="K2" s="10" t="s">
        <v>10</v>
      </c>
      <c r="L2" s="11" t="s">
        <v>11</v>
      </c>
      <c r="M2" s="6" t="s">
        <v>12</v>
      </c>
      <c r="N2" s="9" t="s">
        <v>13</v>
      </c>
      <c r="O2" s="7" t="s">
        <v>9</v>
      </c>
    </row>
    <row r="3" spans="1:15" ht="15.75" thickBot="1">
      <c r="A3" s="12">
        <v>44774</v>
      </c>
      <c r="B3" s="13" t="s">
        <v>454</v>
      </c>
      <c r="C3" s="14" t="s">
        <v>117</v>
      </c>
      <c r="D3" s="14">
        <v>3</v>
      </c>
      <c r="E3" s="14" t="s">
        <v>30</v>
      </c>
      <c r="F3" s="15">
        <v>400000</v>
      </c>
      <c r="G3" s="77">
        <v>1200000</v>
      </c>
      <c r="H3" s="177" t="s">
        <v>835</v>
      </c>
      <c r="I3" s="175" t="s">
        <v>788</v>
      </c>
      <c r="J3" s="17"/>
      <c r="K3" s="335">
        <v>1</v>
      </c>
      <c r="L3" s="336">
        <v>44718</v>
      </c>
      <c r="M3" s="337" t="s">
        <v>345</v>
      </c>
      <c r="N3" s="338">
        <v>6000000</v>
      </c>
      <c r="O3" s="192" t="s">
        <v>792</v>
      </c>
    </row>
    <row r="4" spans="1:15">
      <c r="A4" s="13"/>
      <c r="B4" s="13" t="s">
        <v>836</v>
      </c>
      <c r="C4" s="14" t="s">
        <v>17</v>
      </c>
      <c r="D4" s="14">
        <v>2</v>
      </c>
      <c r="E4" s="14" t="s">
        <v>30</v>
      </c>
      <c r="F4" s="15">
        <v>795000</v>
      </c>
      <c r="G4" s="77">
        <v>1590000</v>
      </c>
      <c r="H4" s="177"/>
      <c r="I4" s="175"/>
      <c r="J4" s="19"/>
      <c r="K4" s="335">
        <v>2</v>
      </c>
      <c r="L4" s="189">
        <v>44722</v>
      </c>
      <c r="M4" s="190" t="s">
        <v>345</v>
      </c>
      <c r="N4" s="190" t="s">
        <v>635</v>
      </c>
      <c r="O4" s="190" t="s">
        <v>792</v>
      </c>
    </row>
    <row r="5" spans="1:15">
      <c r="A5" s="13"/>
      <c r="B5" s="13" t="s">
        <v>814</v>
      </c>
      <c r="C5" s="14" t="s">
        <v>17</v>
      </c>
      <c r="D5" s="14">
        <v>1</v>
      </c>
      <c r="E5" s="14" t="s">
        <v>30</v>
      </c>
      <c r="F5" s="15">
        <v>795000</v>
      </c>
      <c r="G5" s="77">
        <v>795000</v>
      </c>
      <c r="H5" s="178" t="s">
        <v>837</v>
      </c>
      <c r="I5" s="175" t="s">
        <v>788</v>
      </c>
      <c r="J5" s="23"/>
      <c r="K5" s="202">
        <v>3</v>
      </c>
      <c r="L5" s="104">
        <v>44743</v>
      </c>
      <c r="M5" s="105" t="s">
        <v>15</v>
      </c>
      <c r="N5" s="318">
        <v>2675000</v>
      </c>
      <c r="O5" s="103" t="s">
        <v>792</v>
      </c>
    </row>
    <row r="6" spans="1:15" ht="15.75" thickBot="1">
      <c r="A6" s="13"/>
      <c r="B6" s="13" t="s">
        <v>821</v>
      </c>
      <c r="C6" s="14" t="s">
        <v>17</v>
      </c>
      <c r="D6" s="14">
        <v>1</v>
      </c>
      <c r="E6" s="14" t="s">
        <v>30</v>
      </c>
      <c r="F6" s="15">
        <v>795000</v>
      </c>
      <c r="G6" s="77">
        <v>795000</v>
      </c>
      <c r="H6" s="178"/>
      <c r="I6" s="175"/>
      <c r="J6" s="26"/>
      <c r="K6" s="312">
        <v>4</v>
      </c>
      <c r="L6" s="283">
        <v>44753</v>
      </c>
      <c r="M6" s="284" t="s">
        <v>17</v>
      </c>
      <c r="N6" s="285">
        <v>4400000</v>
      </c>
      <c r="O6" s="315" t="s">
        <v>792</v>
      </c>
    </row>
    <row r="7" spans="1:15">
      <c r="A7" s="13"/>
      <c r="B7" s="13" t="s">
        <v>838</v>
      </c>
      <c r="C7" s="14" t="s">
        <v>173</v>
      </c>
      <c r="D7" s="14">
        <v>20</v>
      </c>
      <c r="E7" s="14" t="s">
        <v>30</v>
      </c>
      <c r="F7" s="15">
        <v>135000</v>
      </c>
      <c r="G7" s="77">
        <v>2700000</v>
      </c>
      <c r="H7" s="177"/>
      <c r="I7" s="175"/>
      <c r="J7" s="26"/>
      <c r="K7" s="202">
        <v>5</v>
      </c>
      <c r="L7" s="104">
        <v>44753</v>
      </c>
      <c r="M7" s="105" t="s">
        <v>15</v>
      </c>
      <c r="N7" s="106">
        <v>2200000</v>
      </c>
      <c r="O7" s="103" t="s">
        <v>792</v>
      </c>
    </row>
    <row r="8" spans="1:15">
      <c r="A8" s="12"/>
      <c r="B8" s="13" t="s">
        <v>839</v>
      </c>
      <c r="C8" s="14" t="s">
        <v>173</v>
      </c>
      <c r="D8" s="14">
        <v>15</v>
      </c>
      <c r="E8" s="14" t="s">
        <v>30</v>
      </c>
      <c r="F8" s="15">
        <v>150000</v>
      </c>
      <c r="G8" s="77">
        <v>2250000</v>
      </c>
      <c r="H8" s="178"/>
      <c r="I8" s="175" t="s">
        <v>788</v>
      </c>
      <c r="J8" s="26"/>
      <c r="K8" s="202">
        <v>6</v>
      </c>
      <c r="L8" s="104">
        <v>44753</v>
      </c>
      <c r="M8" s="105" t="s">
        <v>15</v>
      </c>
      <c r="N8" s="106">
        <v>1275000</v>
      </c>
      <c r="O8" s="103" t="s">
        <v>792</v>
      </c>
    </row>
    <row r="9" spans="1:15">
      <c r="A9" s="13"/>
      <c r="B9" s="13" t="s">
        <v>840</v>
      </c>
      <c r="C9" s="14" t="s">
        <v>173</v>
      </c>
      <c r="D9" s="14">
        <v>10</v>
      </c>
      <c r="E9" s="14" t="s">
        <v>30</v>
      </c>
      <c r="F9" s="15">
        <v>140000</v>
      </c>
      <c r="G9" s="77">
        <v>1400000</v>
      </c>
      <c r="H9" s="178" t="s">
        <v>845</v>
      </c>
      <c r="I9" s="175"/>
      <c r="J9" s="26"/>
      <c r="K9" s="312">
        <v>7</v>
      </c>
      <c r="L9" s="283">
        <v>44760</v>
      </c>
      <c r="M9" s="284" t="s">
        <v>17</v>
      </c>
      <c r="N9" s="339">
        <v>11170000</v>
      </c>
      <c r="O9" s="314" t="s">
        <v>792</v>
      </c>
    </row>
    <row r="10" spans="1:15">
      <c r="A10" s="29"/>
      <c r="B10" s="29" t="s">
        <v>841</v>
      </c>
      <c r="C10" s="14" t="s">
        <v>173</v>
      </c>
      <c r="D10" s="31">
        <v>5</v>
      </c>
      <c r="E10" s="14" t="s">
        <v>30</v>
      </c>
      <c r="F10" s="15">
        <v>150000</v>
      </c>
      <c r="G10" s="77">
        <v>750000</v>
      </c>
      <c r="H10" s="178"/>
      <c r="I10" s="175"/>
      <c r="J10" s="26"/>
      <c r="K10" s="202">
        <v>8</v>
      </c>
      <c r="L10" s="104">
        <v>44761</v>
      </c>
      <c r="M10" s="105" t="s">
        <v>15</v>
      </c>
      <c r="N10" s="106">
        <v>2640000</v>
      </c>
      <c r="O10" s="107" t="s">
        <v>792</v>
      </c>
    </row>
    <row r="11" spans="1:15">
      <c r="A11" s="29"/>
      <c r="B11" s="29" t="s">
        <v>795</v>
      </c>
      <c r="C11" s="14" t="s">
        <v>173</v>
      </c>
      <c r="D11" s="31">
        <v>10</v>
      </c>
      <c r="E11" s="14" t="s">
        <v>30</v>
      </c>
      <c r="F11" s="15">
        <v>150000</v>
      </c>
      <c r="G11" s="77">
        <v>1500000</v>
      </c>
      <c r="H11" s="178"/>
      <c r="I11" s="175"/>
      <c r="J11" s="26"/>
      <c r="K11" s="312">
        <v>9</v>
      </c>
      <c r="L11" s="283">
        <v>44758</v>
      </c>
      <c r="M11" s="284" t="s">
        <v>17</v>
      </c>
      <c r="N11" s="285">
        <v>6360000</v>
      </c>
      <c r="O11" s="314" t="s">
        <v>792</v>
      </c>
    </row>
    <row r="12" spans="1:15">
      <c r="A12" s="29"/>
      <c r="B12" s="29" t="s">
        <v>796</v>
      </c>
      <c r="C12" s="14" t="s">
        <v>173</v>
      </c>
      <c r="D12" s="31">
        <v>2</v>
      </c>
      <c r="E12" s="14" t="s">
        <v>30</v>
      </c>
      <c r="F12" s="28">
        <v>135000</v>
      </c>
      <c r="G12" s="179">
        <v>270000</v>
      </c>
      <c r="H12" s="178"/>
      <c r="I12" s="175"/>
      <c r="J12" s="26"/>
      <c r="K12" s="312">
        <v>10</v>
      </c>
      <c r="L12" s="283">
        <v>44761</v>
      </c>
      <c r="M12" s="284" t="s">
        <v>17</v>
      </c>
      <c r="N12" s="285">
        <v>775000</v>
      </c>
      <c r="O12" s="314" t="s">
        <v>792</v>
      </c>
    </row>
    <row r="13" spans="1:15">
      <c r="A13" s="32"/>
      <c r="B13" s="29" t="s">
        <v>797</v>
      </c>
      <c r="C13" s="27" t="s">
        <v>173</v>
      </c>
      <c r="D13" s="31">
        <v>1</v>
      </c>
      <c r="E13" s="31" t="s">
        <v>30</v>
      </c>
      <c r="F13" s="28">
        <v>150000</v>
      </c>
      <c r="G13" s="179">
        <v>150000</v>
      </c>
      <c r="H13" s="185"/>
      <c r="I13" s="180"/>
      <c r="J13" s="26"/>
      <c r="K13" s="312">
        <v>11</v>
      </c>
      <c r="L13" s="283">
        <v>44763</v>
      </c>
      <c r="M13" s="284" t="s">
        <v>17</v>
      </c>
      <c r="N13" s="285">
        <v>6150000</v>
      </c>
      <c r="O13" s="314" t="s">
        <v>792</v>
      </c>
    </row>
    <row r="14" spans="1:15">
      <c r="A14" s="29"/>
      <c r="B14" s="29" t="s">
        <v>842</v>
      </c>
      <c r="C14" s="27" t="s">
        <v>173</v>
      </c>
      <c r="D14" s="31">
        <v>10</v>
      </c>
      <c r="E14" s="31" t="s">
        <v>30</v>
      </c>
      <c r="F14" s="28">
        <v>135000</v>
      </c>
      <c r="G14" s="179">
        <v>1350000</v>
      </c>
      <c r="H14" s="185"/>
      <c r="I14" s="181"/>
      <c r="J14" s="26"/>
      <c r="K14" s="202">
        <v>12</v>
      </c>
      <c r="L14" s="104">
        <v>44765</v>
      </c>
      <c r="M14" s="105" t="s">
        <v>15</v>
      </c>
      <c r="N14" s="106">
        <v>8500000</v>
      </c>
      <c r="O14" s="107" t="s">
        <v>792</v>
      </c>
    </row>
    <row r="15" spans="1:15">
      <c r="A15" s="29"/>
      <c r="B15" s="29" t="s">
        <v>843</v>
      </c>
      <c r="C15" s="27" t="s">
        <v>173</v>
      </c>
      <c r="D15" s="31">
        <v>5</v>
      </c>
      <c r="E15" s="31" t="s">
        <v>30</v>
      </c>
      <c r="F15" s="28">
        <v>150000</v>
      </c>
      <c r="G15" s="179">
        <v>750000</v>
      </c>
      <c r="H15" s="185"/>
      <c r="I15" s="181"/>
      <c r="J15" s="26"/>
      <c r="K15" s="319">
        <v>13</v>
      </c>
      <c r="L15" s="320">
        <v>44765</v>
      </c>
      <c r="M15" s="321" t="s">
        <v>140</v>
      </c>
      <c r="N15" s="322">
        <v>2500000</v>
      </c>
      <c r="O15" s="323" t="s">
        <v>792</v>
      </c>
    </row>
    <row r="16" spans="1:15" ht="15.75" thickBot="1">
      <c r="A16" s="29"/>
      <c r="B16" s="29" t="s">
        <v>844</v>
      </c>
      <c r="C16" s="27" t="s">
        <v>173</v>
      </c>
      <c r="D16" s="31">
        <v>5</v>
      </c>
      <c r="E16" s="31" t="s">
        <v>30</v>
      </c>
      <c r="F16" s="28">
        <v>150000</v>
      </c>
      <c r="G16" s="179">
        <v>750000</v>
      </c>
      <c r="H16" s="185"/>
      <c r="I16" s="181"/>
      <c r="J16" s="26"/>
      <c r="K16" s="202">
        <v>14</v>
      </c>
      <c r="L16" s="104">
        <v>44767</v>
      </c>
      <c r="M16" s="105" t="s">
        <v>15</v>
      </c>
      <c r="N16" s="106">
        <v>3500000</v>
      </c>
      <c r="O16" s="298" t="s">
        <v>792</v>
      </c>
    </row>
    <row r="17" spans="1:15">
      <c r="A17" s="32">
        <v>44778</v>
      </c>
      <c r="B17" s="29" t="s">
        <v>850</v>
      </c>
      <c r="C17" s="27" t="s">
        <v>17</v>
      </c>
      <c r="D17" s="31">
        <v>4</v>
      </c>
      <c r="E17" s="31" t="s">
        <v>30</v>
      </c>
      <c r="F17" s="28">
        <v>690000</v>
      </c>
      <c r="G17" s="179">
        <v>2760000</v>
      </c>
      <c r="H17" s="184"/>
      <c r="I17" s="181"/>
      <c r="J17" s="26"/>
      <c r="K17" s="287">
        <v>15</v>
      </c>
      <c r="L17" s="165">
        <v>44767</v>
      </c>
      <c r="M17" s="166" t="s">
        <v>638</v>
      </c>
      <c r="N17" s="172">
        <v>9750000</v>
      </c>
      <c r="O17" s="173" t="s">
        <v>792</v>
      </c>
    </row>
    <row r="18" spans="1:15">
      <c r="A18" s="29"/>
      <c r="B18" s="29" t="s">
        <v>851</v>
      </c>
      <c r="C18" s="27" t="s">
        <v>17</v>
      </c>
      <c r="D18" s="31">
        <v>4</v>
      </c>
      <c r="E18" s="31" t="s">
        <v>30</v>
      </c>
      <c r="F18" s="28">
        <v>690000</v>
      </c>
      <c r="G18" s="179">
        <v>2760000</v>
      </c>
      <c r="H18" s="185" t="s">
        <v>854</v>
      </c>
      <c r="I18" s="181" t="s">
        <v>788</v>
      </c>
      <c r="J18" s="26"/>
      <c r="K18" s="251">
        <v>16</v>
      </c>
      <c r="L18" s="253">
        <v>44768</v>
      </c>
      <c r="M18" s="254" t="s">
        <v>1055</v>
      </c>
      <c r="N18" s="194">
        <v>9230000</v>
      </c>
      <c r="O18" s="334" t="s">
        <v>792</v>
      </c>
    </row>
    <row r="19" spans="1:15">
      <c r="A19" s="29"/>
      <c r="B19" s="29" t="s">
        <v>852</v>
      </c>
      <c r="C19" s="27" t="s">
        <v>17</v>
      </c>
      <c r="D19" s="31">
        <v>1</v>
      </c>
      <c r="E19" s="31" t="s">
        <v>30</v>
      </c>
      <c r="F19" s="28">
        <v>795000</v>
      </c>
      <c r="G19" s="179">
        <v>795000</v>
      </c>
      <c r="H19" s="185"/>
      <c r="I19" s="181"/>
      <c r="J19" s="26"/>
      <c r="K19" s="251">
        <v>17</v>
      </c>
      <c r="L19" s="253">
        <v>44768</v>
      </c>
      <c r="M19" s="254" t="s">
        <v>819</v>
      </c>
      <c r="N19" s="194">
        <v>1550000</v>
      </c>
      <c r="O19" s="334" t="s">
        <v>792</v>
      </c>
    </row>
    <row r="20" spans="1:15" ht="15.75" thickBot="1">
      <c r="A20" s="29"/>
      <c r="B20" s="29" t="s">
        <v>853</v>
      </c>
      <c r="C20" s="27" t="s">
        <v>17</v>
      </c>
      <c r="D20" s="31">
        <v>2</v>
      </c>
      <c r="E20" s="31" t="s">
        <v>30</v>
      </c>
      <c r="F20" s="28">
        <v>690000</v>
      </c>
      <c r="G20" s="179">
        <v>1380000</v>
      </c>
      <c r="H20" s="185"/>
      <c r="I20" s="181"/>
      <c r="J20" s="26"/>
      <c r="K20" s="312">
        <v>18</v>
      </c>
      <c r="L20" s="283">
        <v>44768</v>
      </c>
      <c r="M20" s="284" t="s">
        <v>17</v>
      </c>
      <c r="N20" s="285">
        <v>2895000</v>
      </c>
      <c r="O20" s="314" t="s">
        <v>792</v>
      </c>
    </row>
    <row r="21" spans="1:15">
      <c r="A21" s="29"/>
      <c r="B21" s="29" t="s">
        <v>855</v>
      </c>
      <c r="C21" s="27" t="s">
        <v>638</v>
      </c>
      <c r="D21" s="31">
        <v>3</v>
      </c>
      <c r="E21" s="31" t="s">
        <v>30</v>
      </c>
      <c r="F21" s="28">
        <v>1600000</v>
      </c>
      <c r="G21" s="179">
        <v>4800000</v>
      </c>
      <c r="H21" s="184" t="s">
        <v>857</v>
      </c>
      <c r="I21" s="181" t="s">
        <v>640</v>
      </c>
      <c r="J21" s="26"/>
      <c r="K21" s="251">
        <v>19</v>
      </c>
      <c r="L21" s="253">
        <v>44784</v>
      </c>
      <c r="M21" s="254" t="s">
        <v>423</v>
      </c>
      <c r="N21" s="194">
        <v>7000000</v>
      </c>
      <c r="O21" s="334" t="s">
        <v>792</v>
      </c>
    </row>
    <row r="22" spans="1:15" ht="15.75" thickBot="1">
      <c r="A22" s="29"/>
      <c r="B22" s="29" t="s">
        <v>856</v>
      </c>
      <c r="C22" s="27" t="s">
        <v>638</v>
      </c>
      <c r="D22" s="31">
        <v>2</v>
      </c>
      <c r="E22" s="31" t="s">
        <v>30</v>
      </c>
      <c r="F22" s="28">
        <v>1600000</v>
      </c>
      <c r="G22" s="179">
        <v>3200000</v>
      </c>
      <c r="H22" s="350"/>
      <c r="I22" s="181"/>
      <c r="J22" s="26"/>
      <c r="K22" s="368">
        <v>20</v>
      </c>
      <c r="L22" s="369">
        <v>44795</v>
      </c>
      <c r="M22" s="370" t="s">
        <v>307</v>
      </c>
      <c r="N22" s="371">
        <v>7730000</v>
      </c>
      <c r="O22" s="372" t="s">
        <v>792</v>
      </c>
    </row>
    <row r="23" spans="1:15" ht="15.75" thickBot="1">
      <c r="A23" s="29"/>
      <c r="B23" s="29"/>
      <c r="C23" s="27"/>
      <c r="D23" s="31"/>
      <c r="E23" s="31"/>
      <c r="F23" s="28"/>
      <c r="G23" s="179"/>
      <c r="H23" s="185"/>
      <c r="I23" s="181"/>
      <c r="J23" s="26"/>
      <c r="K23" s="251">
        <v>21</v>
      </c>
      <c r="L23" s="253"/>
      <c r="M23" s="254" t="s">
        <v>423</v>
      </c>
      <c r="N23" s="194">
        <v>1080000</v>
      </c>
      <c r="O23" s="334" t="s">
        <v>792</v>
      </c>
    </row>
    <row r="24" spans="1:15">
      <c r="A24" s="29"/>
      <c r="B24" s="29" t="s">
        <v>859</v>
      </c>
      <c r="C24" s="27" t="s">
        <v>173</v>
      </c>
      <c r="D24" s="31">
        <v>3</v>
      </c>
      <c r="E24" s="31" t="s">
        <v>30</v>
      </c>
      <c r="F24" s="28">
        <v>245000</v>
      </c>
      <c r="G24" s="179">
        <v>735000</v>
      </c>
      <c r="H24" s="351"/>
      <c r="I24" s="181"/>
      <c r="J24" s="26"/>
      <c r="K24" s="422">
        <v>22</v>
      </c>
      <c r="L24" s="132">
        <v>44859</v>
      </c>
      <c r="M24" s="133" t="s">
        <v>279</v>
      </c>
      <c r="N24" s="134">
        <v>5100000</v>
      </c>
      <c r="O24" s="195" t="s">
        <v>792</v>
      </c>
    </row>
    <row r="25" spans="1:15">
      <c r="A25" s="29"/>
      <c r="B25" s="29"/>
      <c r="C25" s="27"/>
      <c r="D25" s="31"/>
      <c r="E25" s="31"/>
      <c r="F25" s="28"/>
      <c r="G25" s="179"/>
      <c r="H25" s="437"/>
      <c r="I25" s="181"/>
      <c r="J25" s="26"/>
      <c r="K25" s="401">
        <v>23</v>
      </c>
      <c r="L25" s="128">
        <v>44877</v>
      </c>
      <c r="M25" s="129" t="s">
        <v>83</v>
      </c>
      <c r="N25" s="130">
        <v>2500000</v>
      </c>
      <c r="O25" s="402" t="s">
        <v>1255</v>
      </c>
    </row>
    <row r="26" spans="1:15">
      <c r="A26" s="29"/>
      <c r="B26" s="29"/>
      <c r="C26" s="27"/>
      <c r="D26" s="31"/>
      <c r="E26" s="31"/>
      <c r="F26" s="28"/>
      <c r="G26" s="179"/>
      <c r="H26" s="437"/>
      <c r="I26" s="181"/>
      <c r="J26" s="26"/>
      <c r="K26" s="354">
        <v>24</v>
      </c>
      <c r="L26" s="355">
        <v>44781</v>
      </c>
      <c r="M26" s="354" t="s">
        <v>83</v>
      </c>
      <c r="N26" s="356">
        <v>1800000</v>
      </c>
      <c r="O26" s="354" t="s">
        <v>1255</v>
      </c>
    </row>
    <row r="27" spans="1:15">
      <c r="A27" s="29"/>
      <c r="B27" s="29" t="s">
        <v>858</v>
      </c>
      <c r="C27" s="27" t="s">
        <v>173</v>
      </c>
      <c r="D27" s="31">
        <v>3</v>
      </c>
      <c r="E27" s="31" t="s">
        <v>30</v>
      </c>
      <c r="F27" s="28">
        <v>245000</v>
      </c>
      <c r="G27" s="179">
        <v>735000</v>
      </c>
      <c r="H27" s="352"/>
      <c r="I27" s="181" t="s">
        <v>788</v>
      </c>
      <c r="J27" s="26"/>
      <c r="K27" s="357"/>
      <c r="L27" s="358"/>
      <c r="M27" s="357"/>
      <c r="N27" s="359"/>
      <c r="O27" s="357"/>
    </row>
    <row r="28" spans="1:15">
      <c r="A28" s="29"/>
      <c r="B28" s="29" t="s">
        <v>860</v>
      </c>
      <c r="C28" s="27" t="s">
        <v>173</v>
      </c>
      <c r="D28" s="31">
        <v>3</v>
      </c>
      <c r="E28" s="31" t="s">
        <v>30</v>
      </c>
      <c r="F28" s="28">
        <v>245000</v>
      </c>
      <c r="G28" s="179">
        <v>735000</v>
      </c>
      <c r="H28" s="352" t="s">
        <v>863</v>
      </c>
      <c r="I28" s="181"/>
      <c r="J28" s="26"/>
      <c r="K28" s="26"/>
      <c r="L28" s="34"/>
      <c r="M28" s="34"/>
      <c r="N28" s="286"/>
      <c r="O28" s="26"/>
    </row>
    <row r="29" spans="1:15">
      <c r="A29" s="29"/>
      <c r="B29" s="29" t="s">
        <v>861</v>
      </c>
      <c r="C29" s="27" t="s">
        <v>173</v>
      </c>
      <c r="D29" s="31">
        <v>3</v>
      </c>
      <c r="E29" s="31" t="s">
        <v>30</v>
      </c>
      <c r="F29" s="28">
        <v>245000</v>
      </c>
      <c r="G29" s="179">
        <v>735000</v>
      </c>
      <c r="H29" s="352"/>
      <c r="I29" s="181"/>
      <c r="J29" s="26"/>
      <c r="K29" s="26"/>
      <c r="L29" s="34"/>
      <c r="M29" s="34"/>
      <c r="N29" s="35" t="s">
        <v>1215</v>
      </c>
      <c r="O29" s="26"/>
    </row>
    <row r="30" spans="1:15" ht="15.75" thickBot="1">
      <c r="A30" s="29"/>
      <c r="B30" s="29" t="s">
        <v>862</v>
      </c>
      <c r="C30" s="27" t="s">
        <v>173</v>
      </c>
      <c r="D30" s="31">
        <v>3</v>
      </c>
      <c r="E30" s="31" t="s">
        <v>30</v>
      </c>
      <c r="F30" s="28">
        <v>245000</v>
      </c>
      <c r="G30" s="179">
        <v>735000</v>
      </c>
      <c r="H30" s="353"/>
      <c r="I30" s="181"/>
      <c r="J30" s="26"/>
      <c r="K30" s="26"/>
      <c r="L30" s="34"/>
      <c r="M30" s="34"/>
      <c r="N30" s="26"/>
      <c r="O30" s="26"/>
    </row>
    <row r="31" spans="1:15">
      <c r="A31" s="32">
        <v>44781</v>
      </c>
      <c r="B31" s="29" t="s">
        <v>864</v>
      </c>
      <c r="C31" s="27" t="s">
        <v>83</v>
      </c>
      <c r="D31" s="31">
        <v>6</v>
      </c>
      <c r="E31" s="31" t="s">
        <v>30</v>
      </c>
      <c r="F31" s="28">
        <v>90000</v>
      </c>
      <c r="G31" s="179">
        <v>540000</v>
      </c>
      <c r="H31" s="184"/>
      <c r="I31" s="181"/>
      <c r="J31" s="26"/>
      <c r="K31" s="26"/>
      <c r="L31" s="34"/>
      <c r="M31" s="34"/>
      <c r="N31" s="26"/>
      <c r="O31" s="26"/>
    </row>
    <row r="32" spans="1:15">
      <c r="A32" s="29"/>
      <c r="B32" s="29" t="s">
        <v>865</v>
      </c>
      <c r="C32" s="27" t="s">
        <v>83</v>
      </c>
      <c r="D32" s="31">
        <v>5</v>
      </c>
      <c r="E32" s="31" t="s">
        <v>30</v>
      </c>
      <c r="F32" s="28">
        <v>90000</v>
      </c>
      <c r="G32" s="179">
        <v>450000</v>
      </c>
      <c r="H32" s="185" t="s">
        <v>497</v>
      </c>
      <c r="I32" s="181" t="s">
        <v>595</v>
      </c>
      <c r="J32" s="26"/>
      <c r="K32" s="26"/>
      <c r="L32" s="34"/>
      <c r="M32" s="34"/>
      <c r="N32" s="26"/>
      <c r="O32" s="26"/>
    </row>
    <row r="33" spans="1:15">
      <c r="A33" s="29"/>
      <c r="B33" s="29" t="s">
        <v>866</v>
      </c>
      <c r="C33" s="27" t="s">
        <v>83</v>
      </c>
      <c r="D33" s="31">
        <v>5</v>
      </c>
      <c r="E33" s="31" t="s">
        <v>30</v>
      </c>
      <c r="F33" s="28">
        <v>90000</v>
      </c>
      <c r="G33" s="179">
        <v>450000</v>
      </c>
      <c r="H33" s="185"/>
      <c r="I33" s="181"/>
      <c r="J33" s="26"/>
      <c r="K33" s="26"/>
      <c r="L33" s="34"/>
      <c r="M33" s="34"/>
      <c r="N33" s="26"/>
      <c r="O33" s="26"/>
    </row>
    <row r="34" spans="1:15" ht="15.75" thickBot="1">
      <c r="A34" s="29"/>
      <c r="B34" s="29" t="s">
        <v>867</v>
      </c>
      <c r="C34" s="27" t="s">
        <v>83</v>
      </c>
      <c r="D34" s="31">
        <v>4</v>
      </c>
      <c r="E34" s="31" t="s">
        <v>30</v>
      </c>
      <c r="F34" s="28">
        <v>90000</v>
      </c>
      <c r="G34" s="179">
        <v>360000</v>
      </c>
      <c r="H34" s="185"/>
      <c r="I34" s="181"/>
      <c r="J34" s="26"/>
      <c r="K34" s="26"/>
      <c r="L34" s="34"/>
      <c r="M34" s="34"/>
      <c r="N34" s="26"/>
      <c r="O34" s="26"/>
    </row>
    <row r="35" spans="1:15">
      <c r="A35" s="12">
        <v>44782</v>
      </c>
      <c r="B35" s="13" t="s">
        <v>870</v>
      </c>
      <c r="C35" s="14" t="s">
        <v>15</v>
      </c>
      <c r="D35" s="14">
        <v>7</v>
      </c>
      <c r="E35" s="14" t="s">
        <v>30</v>
      </c>
      <c r="F35" s="15">
        <v>420000</v>
      </c>
      <c r="G35" s="77">
        <v>2940000</v>
      </c>
      <c r="H35" s="187" t="s">
        <v>872</v>
      </c>
      <c r="I35" s="182" t="s">
        <v>788</v>
      </c>
      <c r="J35" s="26"/>
      <c r="K35" s="26"/>
      <c r="L35" s="34"/>
      <c r="M35" s="34"/>
      <c r="N35" s="26"/>
      <c r="O35" s="26"/>
    </row>
    <row r="36" spans="1:15" ht="15.75" thickBot="1">
      <c r="A36" s="13"/>
      <c r="B36" s="13" t="s">
        <v>871</v>
      </c>
      <c r="C36" s="14" t="s">
        <v>15</v>
      </c>
      <c r="D36" s="14">
        <v>6</v>
      </c>
      <c r="E36" s="14" t="s">
        <v>30</v>
      </c>
      <c r="F36" s="15">
        <v>420000</v>
      </c>
      <c r="G36" s="77">
        <v>2520000</v>
      </c>
      <c r="H36" s="188"/>
      <c r="I36" s="182"/>
      <c r="J36" s="26"/>
      <c r="L36" s="34"/>
      <c r="M36" s="34"/>
      <c r="N36" s="26"/>
    </row>
    <row r="37" spans="1:15" ht="15.75" thickBot="1">
      <c r="A37" s="12">
        <v>44784</v>
      </c>
      <c r="B37" s="13" t="s">
        <v>874</v>
      </c>
      <c r="C37" s="14" t="s">
        <v>16</v>
      </c>
      <c r="D37" s="14">
        <v>1</v>
      </c>
      <c r="E37" s="14" t="s">
        <v>49</v>
      </c>
      <c r="F37" s="54">
        <v>9990000</v>
      </c>
      <c r="G37" s="225">
        <v>9990000</v>
      </c>
      <c r="H37" s="187" t="s">
        <v>873</v>
      </c>
      <c r="I37" s="182" t="s">
        <v>788</v>
      </c>
      <c r="J37" s="26"/>
      <c r="M37" s="5"/>
    </row>
    <row r="38" spans="1:15">
      <c r="A38" s="12">
        <v>44784</v>
      </c>
      <c r="B38" s="13" t="s">
        <v>875</v>
      </c>
      <c r="C38" s="14" t="s">
        <v>173</v>
      </c>
      <c r="D38" s="14">
        <v>5</v>
      </c>
      <c r="E38" s="14" t="s">
        <v>30</v>
      </c>
      <c r="F38" s="54">
        <v>200000</v>
      </c>
      <c r="G38" s="225">
        <v>1000000</v>
      </c>
      <c r="H38" s="187"/>
      <c r="I38" s="182"/>
      <c r="J38" s="26"/>
      <c r="M38" s="5"/>
    </row>
    <row r="39" spans="1:15">
      <c r="A39" s="13"/>
      <c r="B39" s="13" t="s">
        <v>876</v>
      </c>
      <c r="C39" s="14" t="s">
        <v>173</v>
      </c>
      <c r="D39" s="14">
        <v>5</v>
      </c>
      <c r="E39" s="14" t="s">
        <v>30</v>
      </c>
      <c r="F39" s="54">
        <v>200000</v>
      </c>
      <c r="G39" s="225">
        <v>1000000</v>
      </c>
      <c r="H39" s="186"/>
      <c r="I39" s="182" t="s">
        <v>595</v>
      </c>
      <c r="M39" s="5"/>
    </row>
    <row r="40" spans="1:15">
      <c r="A40" s="13"/>
      <c r="B40" s="13" t="s">
        <v>877</v>
      </c>
      <c r="C40" s="14" t="s">
        <v>173</v>
      </c>
      <c r="D40" s="14">
        <v>5</v>
      </c>
      <c r="E40" s="14" t="s">
        <v>30</v>
      </c>
      <c r="F40" s="54">
        <v>200000</v>
      </c>
      <c r="G40" s="225">
        <v>1000000</v>
      </c>
      <c r="H40" s="186" t="s">
        <v>628</v>
      </c>
      <c r="I40" s="182"/>
      <c r="M40" s="5"/>
    </row>
    <row r="41" spans="1:15">
      <c r="A41" s="13"/>
      <c r="B41" s="13" t="s">
        <v>878</v>
      </c>
      <c r="C41" s="14" t="s">
        <v>173</v>
      </c>
      <c r="D41" s="14">
        <v>5</v>
      </c>
      <c r="E41" s="14" t="s">
        <v>30</v>
      </c>
      <c r="F41" s="54">
        <v>200000</v>
      </c>
      <c r="G41" s="225">
        <v>1000000</v>
      </c>
      <c r="H41" s="186"/>
      <c r="I41" s="182"/>
      <c r="M41" s="5"/>
    </row>
    <row r="42" spans="1:15">
      <c r="A42" s="13"/>
      <c r="B42" s="13" t="s">
        <v>804</v>
      </c>
      <c r="C42" s="14" t="s">
        <v>173</v>
      </c>
      <c r="D42" s="14">
        <v>8</v>
      </c>
      <c r="E42" s="14" t="s">
        <v>30</v>
      </c>
      <c r="F42" s="54">
        <v>200000</v>
      </c>
      <c r="G42" s="225">
        <v>1600000</v>
      </c>
      <c r="H42" s="186"/>
      <c r="I42" s="182"/>
      <c r="M42" s="5"/>
    </row>
    <row r="43" spans="1:15" ht="15.75" thickBot="1">
      <c r="A43" s="13"/>
      <c r="B43" s="13" t="s">
        <v>806</v>
      </c>
      <c r="C43" s="14" t="s">
        <v>173</v>
      </c>
      <c r="D43" s="14">
        <v>7</v>
      </c>
      <c r="E43" s="14" t="s">
        <v>30</v>
      </c>
      <c r="F43" s="54">
        <v>200000</v>
      </c>
      <c r="G43" s="225">
        <v>1400000</v>
      </c>
      <c r="H43" s="188"/>
      <c r="I43" s="182"/>
      <c r="M43" s="5"/>
    </row>
    <row r="44" spans="1:15" ht="15.75" thickBot="1">
      <c r="A44" s="12">
        <v>44786</v>
      </c>
      <c r="B44" s="13" t="s">
        <v>879</v>
      </c>
      <c r="C44" s="14" t="s">
        <v>16</v>
      </c>
      <c r="D44" s="14">
        <v>1</v>
      </c>
      <c r="E44" s="14" t="s">
        <v>49</v>
      </c>
      <c r="F44" s="54">
        <v>5550000</v>
      </c>
      <c r="G44" s="225">
        <v>5550000</v>
      </c>
      <c r="H44" s="187" t="s">
        <v>880</v>
      </c>
      <c r="I44" s="182" t="s">
        <v>788</v>
      </c>
      <c r="M44" s="5"/>
    </row>
    <row r="45" spans="1:15">
      <c r="A45" s="12">
        <v>44788</v>
      </c>
      <c r="B45" s="13" t="s">
        <v>881</v>
      </c>
      <c r="C45" s="14" t="s">
        <v>638</v>
      </c>
      <c r="D45" s="14">
        <v>2</v>
      </c>
      <c r="E45" s="14" t="s">
        <v>30</v>
      </c>
      <c r="F45" s="54">
        <v>1600000</v>
      </c>
      <c r="G45" s="225">
        <v>3200000</v>
      </c>
      <c r="H45" s="187"/>
      <c r="I45" s="182"/>
      <c r="M45" s="5"/>
    </row>
    <row r="46" spans="1:15">
      <c r="A46" s="13"/>
      <c r="B46" s="13" t="s">
        <v>882</v>
      </c>
      <c r="C46" s="14" t="s">
        <v>638</v>
      </c>
      <c r="D46" s="14">
        <v>2</v>
      </c>
      <c r="E46" s="14" t="s">
        <v>30</v>
      </c>
      <c r="F46" s="54">
        <v>900000</v>
      </c>
      <c r="G46" s="225">
        <v>1800000</v>
      </c>
      <c r="H46" s="186" t="s">
        <v>885</v>
      </c>
      <c r="I46" s="182" t="s">
        <v>640</v>
      </c>
      <c r="M46" s="5"/>
    </row>
    <row r="47" spans="1:15">
      <c r="A47" s="13"/>
      <c r="B47" s="13" t="s">
        <v>883</v>
      </c>
      <c r="C47" s="14" t="s">
        <v>638</v>
      </c>
      <c r="D47" s="14">
        <v>1</v>
      </c>
      <c r="E47" s="14" t="s">
        <v>30</v>
      </c>
      <c r="F47" s="54">
        <v>900000</v>
      </c>
      <c r="G47" s="225">
        <v>900000</v>
      </c>
      <c r="H47" s="186"/>
      <c r="I47" s="182"/>
      <c r="M47" s="5"/>
    </row>
    <row r="48" spans="1:15" ht="15.75" thickBot="1">
      <c r="A48" s="13"/>
      <c r="B48" s="13" t="s">
        <v>884</v>
      </c>
      <c r="C48" s="14" t="s">
        <v>638</v>
      </c>
      <c r="D48" s="14">
        <v>1</v>
      </c>
      <c r="E48" s="14" t="s">
        <v>30</v>
      </c>
      <c r="F48" s="54">
        <v>1150000</v>
      </c>
      <c r="G48" s="225">
        <v>1150000</v>
      </c>
      <c r="H48" s="186"/>
      <c r="I48" s="182"/>
      <c r="M48" s="5"/>
    </row>
    <row r="49" spans="1:13">
      <c r="A49" s="12">
        <v>44789</v>
      </c>
      <c r="B49" s="13" t="s">
        <v>886</v>
      </c>
      <c r="C49" s="14" t="s">
        <v>15</v>
      </c>
      <c r="D49" s="14">
        <v>7</v>
      </c>
      <c r="E49" s="14" t="s">
        <v>30</v>
      </c>
      <c r="F49" s="54">
        <v>420000</v>
      </c>
      <c r="G49" s="225">
        <v>2940000</v>
      </c>
      <c r="H49" s="187"/>
      <c r="I49" s="182"/>
      <c r="M49" s="5"/>
    </row>
    <row r="50" spans="1:13">
      <c r="A50" s="13"/>
      <c r="B50" s="13" t="s">
        <v>887</v>
      </c>
      <c r="C50" s="14" t="s">
        <v>15</v>
      </c>
      <c r="D50" s="14">
        <v>7</v>
      </c>
      <c r="E50" s="14" t="s">
        <v>30</v>
      </c>
      <c r="F50" s="54">
        <v>420000</v>
      </c>
      <c r="G50" s="225">
        <v>2940000</v>
      </c>
      <c r="H50" s="186"/>
      <c r="I50" s="182" t="s">
        <v>889</v>
      </c>
      <c r="M50" s="5"/>
    </row>
    <row r="51" spans="1:13">
      <c r="A51" s="13"/>
      <c r="B51" s="13" t="s">
        <v>890</v>
      </c>
      <c r="C51" s="14" t="s">
        <v>15</v>
      </c>
      <c r="D51" s="14">
        <v>1</v>
      </c>
      <c r="E51" s="14" t="s">
        <v>30</v>
      </c>
      <c r="F51" s="54">
        <v>900000</v>
      </c>
      <c r="G51" s="225">
        <v>900000</v>
      </c>
      <c r="H51" s="186" t="s">
        <v>888</v>
      </c>
      <c r="I51" s="182"/>
      <c r="M51" s="5"/>
    </row>
    <row r="52" spans="1:13">
      <c r="A52" s="13"/>
      <c r="B52" s="13" t="s">
        <v>891</v>
      </c>
      <c r="C52" s="14" t="s">
        <v>15</v>
      </c>
      <c r="D52" s="14">
        <v>1</v>
      </c>
      <c r="E52" s="14" t="s">
        <v>30</v>
      </c>
      <c r="F52" s="54">
        <v>950000</v>
      </c>
      <c r="G52" s="225">
        <v>950000</v>
      </c>
      <c r="H52" s="186"/>
      <c r="I52" s="182"/>
      <c r="M52" s="5"/>
    </row>
    <row r="53" spans="1:13">
      <c r="A53" s="13"/>
      <c r="B53" s="13" t="s">
        <v>892</v>
      </c>
      <c r="C53" s="14" t="s">
        <v>15</v>
      </c>
      <c r="D53" s="14">
        <v>2</v>
      </c>
      <c r="E53" s="14" t="s">
        <v>30</v>
      </c>
      <c r="F53" s="54">
        <v>850000</v>
      </c>
      <c r="G53" s="225">
        <v>1700000</v>
      </c>
      <c r="H53" s="186"/>
      <c r="I53" s="182"/>
      <c r="M53" s="5"/>
    </row>
    <row r="54" spans="1:13" ht="15.75" thickBot="1">
      <c r="A54" s="13"/>
      <c r="B54" s="13" t="s">
        <v>893</v>
      </c>
      <c r="C54" s="14" t="s">
        <v>15</v>
      </c>
      <c r="D54" s="14">
        <v>2</v>
      </c>
      <c r="E54" s="14" t="s">
        <v>30</v>
      </c>
      <c r="F54" s="54">
        <v>950000</v>
      </c>
      <c r="G54" s="225">
        <v>1900000</v>
      </c>
      <c r="H54" s="186"/>
      <c r="I54" s="182"/>
      <c r="M54" s="5"/>
    </row>
    <row r="55" spans="1:13">
      <c r="A55" s="13"/>
      <c r="B55" s="13" t="s">
        <v>894</v>
      </c>
      <c r="C55" s="14" t="s">
        <v>15</v>
      </c>
      <c r="D55" s="14">
        <v>10</v>
      </c>
      <c r="E55" s="14" t="s">
        <v>30</v>
      </c>
      <c r="F55" s="54">
        <v>95000</v>
      </c>
      <c r="G55" s="225">
        <v>950000</v>
      </c>
      <c r="H55" s="187"/>
      <c r="I55" s="182"/>
      <c r="M55" s="5"/>
    </row>
    <row r="56" spans="1:13">
      <c r="A56" s="13"/>
      <c r="B56" s="13" t="s">
        <v>759</v>
      </c>
      <c r="C56" s="14" t="s">
        <v>15</v>
      </c>
      <c r="D56" s="14">
        <v>11</v>
      </c>
      <c r="E56" s="14" t="s">
        <v>30</v>
      </c>
      <c r="F56" s="54">
        <v>12000</v>
      </c>
      <c r="G56" s="225">
        <v>1320000</v>
      </c>
      <c r="H56" s="186" t="s">
        <v>896</v>
      </c>
      <c r="I56" s="182" t="s">
        <v>889</v>
      </c>
      <c r="M56" s="5"/>
    </row>
    <row r="57" spans="1:13">
      <c r="A57" s="13"/>
      <c r="B57" s="13" t="s">
        <v>758</v>
      </c>
      <c r="C57" s="14" t="s">
        <v>15</v>
      </c>
      <c r="D57" s="14">
        <v>11</v>
      </c>
      <c r="E57" s="14" t="s">
        <v>30</v>
      </c>
      <c r="F57" s="54">
        <v>120000</v>
      </c>
      <c r="G57" s="225">
        <v>1320000</v>
      </c>
      <c r="H57" s="186"/>
      <c r="I57" s="182"/>
      <c r="M57" s="5"/>
    </row>
    <row r="58" spans="1:13" ht="15.75" thickBot="1">
      <c r="A58" s="13"/>
      <c r="B58" s="13" t="s">
        <v>895</v>
      </c>
      <c r="C58" s="14" t="s">
        <v>15</v>
      </c>
      <c r="D58" s="14">
        <v>2</v>
      </c>
      <c r="E58" s="14" t="s">
        <v>30</v>
      </c>
      <c r="F58" s="54">
        <v>2350000</v>
      </c>
      <c r="G58" s="225">
        <v>4700000</v>
      </c>
      <c r="H58" s="188"/>
      <c r="I58" s="182"/>
      <c r="M58" s="5"/>
    </row>
    <row r="59" spans="1:13" ht="15.75" thickBot="1">
      <c r="A59" s="12">
        <v>44791</v>
      </c>
      <c r="B59" s="13" t="s">
        <v>897</v>
      </c>
      <c r="C59" s="14" t="s">
        <v>17</v>
      </c>
      <c r="D59" s="14">
        <v>4</v>
      </c>
      <c r="E59" s="14" t="s">
        <v>30</v>
      </c>
      <c r="F59" s="366" t="s">
        <v>898</v>
      </c>
      <c r="G59" s="225">
        <v>3180000</v>
      </c>
      <c r="H59" s="259" t="s">
        <v>837</v>
      </c>
      <c r="I59" s="182" t="s">
        <v>889</v>
      </c>
      <c r="M59" s="5"/>
    </row>
    <row r="60" spans="1:13">
      <c r="A60" s="13"/>
      <c r="B60" s="13" t="s">
        <v>523</v>
      </c>
      <c r="C60" s="14" t="s">
        <v>345</v>
      </c>
      <c r="D60" s="14">
        <v>10</v>
      </c>
      <c r="E60" s="14" t="s">
        <v>30</v>
      </c>
      <c r="F60" s="14" t="s">
        <v>899</v>
      </c>
      <c r="G60" s="230" t="s">
        <v>921</v>
      </c>
      <c r="H60" s="259"/>
      <c r="I60" s="182"/>
      <c r="M60" s="5"/>
    </row>
    <row r="61" spans="1:13">
      <c r="A61" s="13"/>
      <c r="B61" s="13" t="s">
        <v>900</v>
      </c>
      <c r="C61" s="14" t="s">
        <v>345</v>
      </c>
      <c r="D61" s="14">
        <v>2</v>
      </c>
      <c r="E61" s="14" t="s">
        <v>30</v>
      </c>
      <c r="F61" s="14" t="s">
        <v>491</v>
      </c>
      <c r="G61" s="230" t="s">
        <v>901</v>
      </c>
      <c r="H61" s="232"/>
      <c r="I61" s="182"/>
      <c r="M61" s="5"/>
    </row>
    <row r="62" spans="1:13">
      <c r="A62" s="13"/>
      <c r="B62" s="13" t="s">
        <v>904</v>
      </c>
      <c r="C62" s="14" t="s">
        <v>345</v>
      </c>
      <c r="D62" s="14">
        <v>2</v>
      </c>
      <c r="E62" s="14" t="s">
        <v>30</v>
      </c>
      <c r="F62" s="14" t="s">
        <v>903</v>
      </c>
      <c r="G62" s="230" t="s">
        <v>902</v>
      </c>
      <c r="H62" s="232"/>
      <c r="I62" s="182"/>
      <c r="M62" s="5"/>
    </row>
    <row r="63" spans="1:13">
      <c r="A63" s="13"/>
      <c r="B63" s="13" t="s">
        <v>905</v>
      </c>
      <c r="C63" s="14" t="s">
        <v>345</v>
      </c>
      <c r="D63" s="14">
        <v>2</v>
      </c>
      <c r="E63" s="14" t="s">
        <v>30</v>
      </c>
      <c r="F63" s="14" t="s">
        <v>903</v>
      </c>
      <c r="G63" s="230" t="s">
        <v>902</v>
      </c>
      <c r="H63" s="232"/>
      <c r="I63" s="182" t="s">
        <v>922</v>
      </c>
    </row>
    <row r="64" spans="1:13">
      <c r="A64" s="13"/>
      <c r="B64" s="13" t="s">
        <v>908</v>
      </c>
      <c r="C64" s="14" t="s">
        <v>345</v>
      </c>
      <c r="D64" s="14">
        <v>21</v>
      </c>
      <c r="E64" s="14" t="s">
        <v>33</v>
      </c>
      <c r="F64" s="14" t="s">
        <v>907</v>
      </c>
      <c r="G64" s="230" t="s">
        <v>906</v>
      </c>
      <c r="H64" s="232" t="s">
        <v>923</v>
      </c>
      <c r="I64" s="182"/>
    </row>
    <row r="65" spans="1:9">
      <c r="A65" s="13"/>
      <c r="B65" s="13" t="s">
        <v>909</v>
      </c>
      <c r="C65" s="14" t="s">
        <v>345</v>
      </c>
      <c r="D65" s="14">
        <v>20</v>
      </c>
      <c r="E65" s="14" t="s">
        <v>33</v>
      </c>
      <c r="F65" s="14" t="s">
        <v>907</v>
      </c>
      <c r="G65" s="230" t="s">
        <v>910</v>
      </c>
      <c r="H65" s="232"/>
      <c r="I65" s="182"/>
    </row>
    <row r="66" spans="1:9">
      <c r="A66" s="13"/>
      <c r="B66" s="13" t="s">
        <v>911</v>
      </c>
      <c r="C66" s="14" t="s">
        <v>345</v>
      </c>
      <c r="D66" s="14">
        <v>2</v>
      </c>
      <c r="E66" s="14" t="s">
        <v>30</v>
      </c>
      <c r="F66" s="14" t="s">
        <v>914</v>
      </c>
      <c r="G66" s="230" t="s">
        <v>924</v>
      </c>
      <c r="H66" s="232"/>
      <c r="I66" s="182"/>
    </row>
    <row r="67" spans="1:9">
      <c r="A67" s="13"/>
      <c r="B67" s="13" t="s">
        <v>912</v>
      </c>
      <c r="C67" s="14" t="s">
        <v>345</v>
      </c>
      <c r="D67" s="14">
        <v>2</v>
      </c>
      <c r="E67" s="14" t="s">
        <v>30</v>
      </c>
      <c r="F67" s="14" t="s">
        <v>913</v>
      </c>
      <c r="G67" s="230" t="s">
        <v>914</v>
      </c>
      <c r="H67" s="232"/>
      <c r="I67" s="182"/>
    </row>
    <row r="68" spans="1:9">
      <c r="A68" s="13"/>
      <c r="B68" s="13" t="s">
        <v>917</v>
      </c>
      <c r="C68" s="14" t="s">
        <v>345</v>
      </c>
      <c r="D68" s="14">
        <v>2</v>
      </c>
      <c r="E68" s="14" t="s">
        <v>30</v>
      </c>
      <c r="F68" s="14" t="s">
        <v>916</v>
      </c>
      <c r="G68" s="230" t="s">
        <v>915</v>
      </c>
      <c r="H68" s="232"/>
      <c r="I68" s="182"/>
    </row>
    <row r="69" spans="1:9">
      <c r="A69" s="13"/>
      <c r="B69" s="13" t="s">
        <v>918</v>
      </c>
      <c r="C69" s="14" t="s">
        <v>345</v>
      </c>
      <c r="D69" s="14">
        <v>2</v>
      </c>
      <c r="E69" s="14" t="s">
        <v>30</v>
      </c>
      <c r="F69" s="14" t="s">
        <v>916</v>
      </c>
      <c r="G69" s="230" t="s">
        <v>915</v>
      </c>
      <c r="H69" s="232"/>
      <c r="I69" s="182"/>
    </row>
    <row r="70" spans="1:9" ht="15.75" thickBot="1">
      <c r="A70" s="13"/>
      <c r="B70" s="13" t="s">
        <v>919</v>
      </c>
      <c r="C70" s="14" t="s">
        <v>345</v>
      </c>
      <c r="D70" s="14">
        <v>10</v>
      </c>
      <c r="E70" s="14" t="s">
        <v>33</v>
      </c>
      <c r="F70" s="14" t="s">
        <v>907</v>
      </c>
      <c r="G70" s="230" t="s">
        <v>920</v>
      </c>
      <c r="H70" s="232"/>
      <c r="I70" s="182"/>
    </row>
    <row r="71" spans="1:9">
      <c r="A71" s="12">
        <v>44792</v>
      </c>
      <c r="B71" s="13" t="s">
        <v>929</v>
      </c>
      <c r="C71" s="14" t="s">
        <v>15</v>
      </c>
      <c r="D71" s="14">
        <v>2</v>
      </c>
      <c r="E71" s="14" t="s">
        <v>30</v>
      </c>
      <c r="F71" s="14" t="s">
        <v>930</v>
      </c>
      <c r="G71" s="230" t="s">
        <v>931</v>
      </c>
      <c r="H71" s="259"/>
      <c r="I71" s="182"/>
    </row>
    <row r="72" spans="1:9">
      <c r="A72" s="13"/>
      <c r="B72" s="13" t="s">
        <v>932</v>
      </c>
      <c r="C72" s="14" t="s">
        <v>15</v>
      </c>
      <c r="D72" s="14">
        <v>2</v>
      </c>
      <c r="E72" s="14" t="s">
        <v>30</v>
      </c>
      <c r="F72" s="14" t="s">
        <v>930</v>
      </c>
      <c r="G72" s="230" t="s">
        <v>931</v>
      </c>
      <c r="H72" s="232"/>
      <c r="I72" s="182"/>
    </row>
    <row r="73" spans="1:9">
      <c r="A73" s="13"/>
      <c r="B73" s="13" t="s">
        <v>933</v>
      </c>
      <c r="C73" s="14" t="s">
        <v>15</v>
      </c>
      <c r="D73" s="14">
        <v>10</v>
      </c>
      <c r="E73" s="14" t="s">
        <v>30</v>
      </c>
      <c r="F73" s="14" t="s">
        <v>934</v>
      </c>
      <c r="G73" s="230" t="s">
        <v>935</v>
      </c>
      <c r="H73" s="232"/>
      <c r="I73" s="182"/>
    </row>
    <row r="74" spans="1:9">
      <c r="A74" s="13"/>
      <c r="B74" s="13" t="s">
        <v>937</v>
      </c>
      <c r="C74" s="14" t="s">
        <v>15</v>
      </c>
      <c r="D74" s="14">
        <v>15</v>
      </c>
      <c r="E74" s="14" t="s">
        <v>30</v>
      </c>
      <c r="F74" s="14" t="s">
        <v>936</v>
      </c>
      <c r="G74" s="367">
        <v>1275000</v>
      </c>
      <c r="H74" s="232"/>
      <c r="I74" s="182"/>
    </row>
    <row r="75" spans="1:9">
      <c r="A75" s="13"/>
      <c r="B75" s="13" t="s">
        <v>938</v>
      </c>
      <c r="C75" s="14" t="s">
        <v>15</v>
      </c>
      <c r="D75" s="14">
        <v>10</v>
      </c>
      <c r="E75" s="14" t="s">
        <v>30</v>
      </c>
      <c r="F75" s="14" t="s">
        <v>936</v>
      </c>
      <c r="G75" s="230" t="s">
        <v>902</v>
      </c>
      <c r="H75" s="232"/>
      <c r="I75" s="182"/>
    </row>
    <row r="76" spans="1:9">
      <c r="A76" s="13"/>
      <c r="B76" s="13" t="s">
        <v>940</v>
      </c>
      <c r="C76" s="14" t="s">
        <v>15</v>
      </c>
      <c r="D76" s="14">
        <v>10</v>
      </c>
      <c r="E76" s="14" t="s">
        <v>30</v>
      </c>
      <c r="F76" s="14" t="s">
        <v>936</v>
      </c>
      <c r="G76" s="230" t="s">
        <v>902</v>
      </c>
      <c r="H76" s="232"/>
      <c r="I76" s="182"/>
    </row>
    <row r="77" spans="1:9">
      <c r="A77" s="13"/>
      <c r="B77" s="13" t="s">
        <v>179</v>
      </c>
      <c r="C77" s="14" t="s">
        <v>15</v>
      </c>
      <c r="D77" s="14">
        <v>8</v>
      </c>
      <c r="E77" s="14" t="s">
        <v>30</v>
      </c>
      <c r="F77" s="14" t="s">
        <v>936</v>
      </c>
      <c r="G77" s="230" t="s">
        <v>939</v>
      </c>
      <c r="H77" s="232"/>
      <c r="I77" s="182"/>
    </row>
    <row r="78" spans="1:9">
      <c r="A78" s="13"/>
      <c r="B78" s="13" t="s">
        <v>943</v>
      </c>
      <c r="C78" s="14" t="s">
        <v>15</v>
      </c>
      <c r="D78" s="14">
        <v>5</v>
      </c>
      <c r="E78" s="14" t="s">
        <v>30</v>
      </c>
      <c r="F78" s="14" t="s">
        <v>942</v>
      </c>
      <c r="G78" s="367" t="s">
        <v>941</v>
      </c>
      <c r="H78" s="232" t="s">
        <v>986</v>
      </c>
      <c r="I78" s="182" t="s">
        <v>984</v>
      </c>
    </row>
    <row r="79" spans="1:9">
      <c r="A79" s="13"/>
      <c r="B79" s="13" t="s">
        <v>944</v>
      </c>
      <c r="C79" s="14" t="s">
        <v>15</v>
      </c>
      <c r="D79" s="14">
        <v>5</v>
      </c>
      <c r="E79" s="14" t="s">
        <v>30</v>
      </c>
      <c r="F79" s="14" t="s">
        <v>945</v>
      </c>
      <c r="G79" s="230" t="s">
        <v>946</v>
      </c>
      <c r="H79" s="232"/>
      <c r="I79" s="182"/>
    </row>
    <row r="80" spans="1:9">
      <c r="A80" s="13"/>
      <c r="B80" s="13" t="s">
        <v>947</v>
      </c>
      <c r="C80" s="14" t="s">
        <v>15</v>
      </c>
      <c r="D80" s="14">
        <v>10</v>
      </c>
      <c r="E80" s="14" t="s">
        <v>30</v>
      </c>
      <c r="F80" s="14" t="s">
        <v>936</v>
      </c>
      <c r="G80" s="230" t="s">
        <v>902</v>
      </c>
      <c r="H80" s="232"/>
      <c r="I80" s="182"/>
    </row>
    <row r="81" spans="1:9">
      <c r="A81" s="13"/>
      <c r="B81" s="13" t="s">
        <v>948</v>
      </c>
      <c r="C81" s="14" t="s">
        <v>15</v>
      </c>
      <c r="D81" s="14">
        <v>5</v>
      </c>
      <c r="E81" s="14" t="s">
        <v>30</v>
      </c>
      <c r="F81" s="14" t="s">
        <v>949</v>
      </c>
      <c r="G81" s="230" t="s">
        <v>950</v>
      </c>
      <c r="H81" s="232"/>
      <c r="I81" s="182"/>
    </row>
    <row r="82" spans="1:9">
      <c r="A82" s="13"/>
      <c r="B82" s="13" t="s">
        <v>953</v>
      </c>
      <c r="C82" s="14" t="s">
        <v>15</v>
      </c>
      <c r="D82" s="14">
        <v>5</v>
      </c>
      <c r="E82" s="14" t="s">
        <v>30</v>
      </c>
      <c r="F82" s="14" t="s">
        <v>952</v>
      </c>
      <c r="G82" s="230" t="s">
        <v>951</v>
      </c>
      <c r="H82" s="232"/>
      <c r="I82" s="182"/>
    </row>
    <row r="83" spans="1:9">
      <c r="A83" s="13"/>
      <c r="B83" s="13" t="s">
        <v>954</v>
      </c>
      <c r="C83" s="14" t="s">
        <v>15</v>
      </c>
      <c r="D83" s="14">
        <v>10</v>
      </c>
      <c r="E83" s="14" t="s">
        <v>30</v>
      </c>
      <c r="F83" s="14" t="s">
        <v>945</v>
      </c>
      <c r="G83" s="230" t="s">
        <v>955</v>
      </c>
      <c r="H83" s="232"/>
      <c r="I83" s="182"/>
    </row>
    <row r="84" spans="1:9">
      <c r="A84" s="13"/>
      <c r="B84" s="13" t="s">
        <v>956</v>
      </c>
      <c r="C84" s="14" t="s">
        <v>15</v>
      </c>
      <c r="D84" s="14">
        <v>10</v>
      </c>
      <c r="E84" s="14" t="s">
        <v>30</v>
      </c>
      <c r="F84" s="14" t="s">
        <v>945</v>
      </c>
      <c r="G84" s="230" t="s">
        <v>955</v>
      </c>
      <c r="H84" s="232"/>
      <c r="I84" s="182"/>
    </row>
    <row r="85" spans="1:9">
      <c r="A85" s="13"/>
      <c r="B85" s="13" t="s">
        <v>957</v>
      </c>
      <c r="C85" s="14" t="s">
        <v>15</v>
      </c>
      <c r="D85" s="14">
        <v>10</v>
      </c>
      <c r="E85" s="14" t="s">
        <v>30</v>
      </c>
      <c r="F85" s="14" t="s">
        <v>958</v>
      </c>
      <c r="G85" s="230" t="s">
        <v>959</v>
      </c>
      <c r="H85" s="232"/>
      <c r="I85" s="182"/>
    </row>
    <row r="86" spans="1:9">
      <c r="A86" s="13"/>
      <c r="B86" s="13" t="s">
        <v>961</v>
      </c>
      <c r="C86" s="14" t="s">
        <v>15</v>
      </c>
      <c r="D86" s="14">
        <v>5</v>
      </c>
      <c r="E86" s="14" t="s">
        <v>30</v>
      </c>
      <c r="F86" s="14" t="s">
        <v>491</v>
      </c>
      <c r="G86" s="230" t="s">
        <v>960</v>
      </c>
      <c r="H86" s="232"/>
      <c r="I86" s="182"/>
    </row>
    <row r="87" spans="1:9">
      <c r="A87" s="13"/>
      <c r="B87" s="13" t="s">
        <v>962</v>
      </c>
      <c r="C87" s="14" t="s">
        <v>15</v>
      </c>
      <c r="D87" s="14">
        <v>5</v>
      </c>
      <c r="E87" s="14" t="s">
        <v>30</v>
      </c>
      <c r="F87" s="14" t="s">
        <v>491</v>
      </c>
      <c r="G87" s="230" t="s">
        <v>960</v>
      </c>
      <c r="H87" s="232"/>
      <c r="I87" s="182"/>
    </row>
    <row r="88" spans="1:9">
      <c r="A88" s="13"/>
      <c r="B88" s="13" t="s">
        <v>963</v>
      </c>
      <c r="C88" s="14" t="s">
        <v>15</v>
      </c>
      <c r="D88" s="14">
        <v>5</v>
      </c>
      <c r="E88" s="14" t="s">
        <v>30</v>
      </c>
      <c r="F88" s="14" t="s">
        <v>491</v>
      </c>
      <c r="G88" s="230" t="s">
        <v>960</v>
      </c>
      <c r="H88" s="232"/>
      <c r="I88" s="182"/>
    </row>
    <row r="89" spans="1:9">
      <c r="A89" s="13"/>
      <c r="B89" s="13" t="s">
        <v>964</v>
      </c>
      <c r="C89" s="14" t="s">
        <v>15</v>
      </c>
      <c r="D89" s="14">
        <v>10</v>
      </c>
      <c r="E89" s="14" t="s">
        <v>30</v>
      </c>
      <c r="F89" s="14" t="s">
        <v>965</v>
      </c>
      <c r="G89" s="230" t="s">
        <v>913</v>
      </c>
      <c r="H89" s="232"/>
      <c r="I89" s="182"/>
    </row>
    <row r="90" spans="1:9">
      <c r="A90" s="13"/>
      <c r="B90" s="13" t="s">
        <v>967</v>
      </c>
      <c r="C90" s="14" t="s">
        <v>15</v>
      </c>
      <c r="D90" s="14">
        <v>5</v>
      </c>
      <c r="E90" s="14" t="s">
        <v>30</v>
      </c>
      <c r="F90" s="14" t="s">
        <v>965</v>
      </c>
      <c r="G90" s="230" t="s">
        <v>966</v>
      </c>
      <c r="H90" s="232"/>
      <c r="I90" s="182"/>
    </row>
    <row r="91" spans="1:9">
      <c r="A91" s="13"/>
      <c r="B91" s="13" t="s">
        <v>968</v>
      </c>
      <c r="C91" s="14" t="s">
        <v>15</v>
      </c>
      <c r="D91" s="14">
        <v>2</v>
      </c>
      <c r="E91" s="14" t="s">
        <v>30</v>
      </c>
      <c r="F91" s="14" t="s">
        <v>969</v>
      </c>
      <c r="G91" s="230" t="s">
        <v>970</v>
      </c>
      <c r="H91" s="232"/>
      <c r="I91" s="182"/>
    </row>
    <row r="92" spans="1:9">
      <c r="A92" s="13"/>
      <c r="B92" s="13" t="s">
        <v>973</v>
      </c>
      <c r="C92" s="14" t="s">
        <v>15</v>
      </c>
      <c r="D92" s="14">
        <v>2</v>
      </c>
      <c r="E92" s="14" t="s">
        <v>30</v>
      </c>
      <c r="F92" s="14" t="s">
        <v>972</v>
      </c>
      <c r="G92" s="230" t="s">
        <v>971</v>
      </c>
      <c r="H92" s="232"/>
      <c r="I92" s="182"/>
    </row>
    <row r="93" spans="1:9">
      <c r="A93" s="13"/>
      <c r="B93" s="13" t="s">
        <v>974</v>
      </c>
      <c r="C93" s="14" t="s">
        <v>15</v>
      </c>
      <c r="D93" s="14">
        <v>2</v>
      </c>
      <c r="E93" s="14" t="s">
        <v>30</v>
      </c>
      <c r="F93" s="14" t="s">
        <v>975</v>
      </c>
      <c r="G93" s="230" t="s">
        <v>976</v>
      </c>
      <c r="H93" s="232"/>
      <c r="I93" s="182"/>
    </row>
    <row r="94" spans="1:9">
      <c r="A94" s="13"/>
      <c r="B94" s="13" t="s">
        <v>978</v>
      </c>
      <c r="C94" s="14" t="s">
        <v>15</v>
      </c>
      <c r="D94" s="14">
        <v>2</v>
      </c>
      <c r="E94" s="14" t="s">
        <v>30</v>
      </c>
      <c r="F94" s="14" t="s">
        <v>965</v>
      </c>
      <c r="G94" s="230" t="s">
        <v>977</v>
      </c>
      <c r="H94" s="232"/>
      <c r="I94" s="182"/>
    </row>
    <row r="95" spans="1:9">
      <c r="A95" s="13"/>
      <c r="B95" s="13" t="s">
        <v>997</v>
      </c>
      <c r="C95" s="14" t="s">
        <v>15</v>
      </c>
      <c r="D95" s="14">
        <v>20</v>
      </c>
      <c r="E95" s="14" t="s">
        <v>33</v>
      </c>
      <c r="F95" s="14" t="s">
        <v>979</v>
      </c>
      <c r="G95" s="230" t="s">
        <v>980</v>
      </c>
      <c r="H95" s="232"/>
      <c r="I95" s="182"/>
    </row>
    <row r="96" spans="1:9">
      <c r="A96" s="12"/>
      <c r="B96" s="13" t="s">
        <v>981</v>
      </c>
      <c r="C96" s="14" t="s">
        <v>15</v>
      </c>
      <c r="D96" s="14">
        <v>22</v>
      </c>
      <c r="E96" s="14" t="s">
        <v>33</v>
      </c>
      <c r="F96" s="15">
        <v>100000</v>
      </c>
      <c r="G96" s="77">
        <v>2200000</v>
      </c>
      <c r="H96" s="178"/>
      <c r="I96" s="175"/>
    </row>
    <row r="97" spans="1:9">
      <c r="A97" s="12"/>
      <c r="B97" s="13" t="s">
        <v>982</v>
      </c>
      <c r="C97" s="14" t="s">
        <v>15</v>
      </c>
      <c r="D97" s="14">
        <v>10</v>
      </c>
      <c r="E97" s="14" t="s">
        <v>33</v>
      </c>
      <c r="F97" s="15">
        <v>100000</v>
      </c>
      <c r="G97" s="77">
        <v>1000000</v>
      </c>
      <c r="H97" s="178"/>
      <c r="I97" s="175"/>
    </row>
    <row r="98" spans="1:9" ht="15.75" thickBot="1">
      <c r="A98" s="12"/>
      <c r="B98" s="103" t="s">
        <v>983</v>
      </c>
      <c r="C98" s="102" t="s">
        <v>15</v>
      </c>
      <c r="D98" s="102">
        <v>4</v>
      </c>
      <c r="E98" s="102" t="s">
        <v>30</v>
      </c>
      <c r="F98" s="227">
        <v>1450000</v>
      </c>
      <c r="G98" s="228">
        <v>5800000</v>
      </c>
      <c r="H98" s="373" t="s">
        <v>985</v>
      </c>
      <c r="I98" s="175"/>
    </row>
    <row r="99" spans="1:9">
      <c r="A99" s="12">
        <v>44795</v>
      </c>
      <c r="B99" s="13" t="s">
        <v>987</v>
      </c>
      <c r="C99" s="14" t="s">
        <v>307</v>
      </c>
      <c r="D99" s="14">
        <v>2</v>
      </c>
      <c r="E99" s="14" t="s">
        <v>30</v>
      </c>
      <c r="F99" s="15">
        <v>1600000</v>
      </c>
      <c r="G99" s="77">
        <v>3200000</v>
      </c>
      <c r="H99" s="177"/>
      <c r="I99" s="175"/>
    </row>
    <row r="100" spans="1:9">
      <c r="A100" s="12"/>
      <c r="B100" s="13" t="s">
        <v>988</v>
      </c>
      <c r="C100" s="14" t="s">
        <v>307</v>
      </c>
      <c r="D100" s="14">
        <v>2</v>
      </c>
      <c r="E100" s="14" t="s">
        <v>30</v>
      </c>
      <c r="F100" s="15">
        <v>1600000</v>
      </c>
      <c r="G100" s="77">
        <v>3200000</v>
      </c>
      <c r="H100" s="178" t="s">
        <v>991</v>
      </c>
      <c r="I100" s="175" t="s">
        <v>595</v>
      </c>
    </row>
    <row r="101" spans="1:9">
      <c r="A101" s="12"/>
      <c r="B101" s="13" t="s">
        <v>989</v>
      </c>
      <c r="C101" s="14" t="s">
        <v>307</v>
      </c>
      <c r="D101" s="14">
        <v>2</v>
      </c>
      <c r="E101" s="14" t="s">
        <v>30</v>
      </c>
      <c r="F101" s="15">
        <v>290000</v>
      </c>
      <c r="G101" s="77">
        <v>580000</v>
      </c>
      <c r="H101" s="178"/>
      <c r="I101" s="175"/>
    </row>
    <row r="102" spans="1:9" ht="15.75" thickBot="1">
      <c r="A102" s="12"/>
      <c r="B102" s="13" t="s">
        <v>990</v>
      </c>
      <c r="C102" s="14" t="s">
        <v>307</v>
      </c>
      <c r="D102" s="14">
        <v>10</v>
      </c>
      <c r="E102" s="14" t="s">
        <v>30</v>
      </c>
      <c r="F102" s="15">
        <v>75000</v>
      </c>
      <c r="G102" s="77">
        <v>750000</v>
      </c>
      <c r="H102" s="193"/>
      <c r="I102" s="175"/>
    </row>
    <row r="103" spans="1:9" ht="15.75" thickBot="1">
      <c r="A103" s="12"/>
      <c r="B103" s="13" t="s">
        <v>994</v>
      </c>
      <c r="C103" s="14" t="s">
        <v>15</v>
      </c>
      <c r="D103" s="14">
        <v>1</v>
      </c>
      <c r="E103" s="14" t="s">
        <v>49</v>
      </c>
      <c r="F103" s="15">
        <v>1400000</v>
      </c>
      <c r="G103" s="77">
        <v>1400000</v>
      </c>
      <c r="H103" s="178" t="s">
        <v>995</v>
      </c>
      <c r="I103" s="175" t="s">
        <v>889</v>
      </c>
    </row>
    <row r="104" spans="1:9">
      <c r="A104" s="12">
        <v>44796</v>
      </c>
      <c r="B104" s="13" t="s">
        <v>634</v>
      </c>
      <c r="C104" s="14" t="s">
        <v>345</v>
      </c>
      <c r="D104" s="14">
        <v>2</v>
      </c>
      <c r="E104" s="14" t="s">
        <v>30</v>
      </c>
      <c r="F104" s="15">
        <v>750000</v>
      </c>
      <c r="G104" s="77">
        <v>1500000</v>
      </c>
      <c r="H104" s="177"/>
      <c r="I104" s="175" t="s">
        <v>998</v>
      </c>
    </row>
    <row r="105" spans="1:9" ht="15.75" thickBot="1">
      <c r="A105" s="12"/>
      <c r="B105" s="13" t="s">
        <v>632</v>
      </c>
      <c r="C105" s="14" t="s">
        <v>345</v>
      </c>
      <c r="D105" s="14">
        <v>2</v>
      </c>
      <c r="E105" s="14" t="s">
        <v>30</v>
      </c>
      <c r="F105" s="15">
        <v>750000</v>
      </c>
      <c r="G105" s="77">
        <v>1500000</v>
      </c>
      <c r="H105" s="178" t="s">
        <v>693</v>
      </c>
      <c r="I105" s="175"/>
    </row>
    <row r="106" spans="1:9">
      <c r="A106" s="12">
        <v>44802</v>
      </c>
      <c r="B106" s="13" t="s">
        <v>999</v>
      </c>
      <c r="C106" s="14" t="s">
        <v>925</v>
      </c>
      <c r="D106" s="14">
        <v>5</v>
      </c>
      <c r="E106" s="14" t="s">
        <v>30</v>
      </c>
      <c r="F106" s="15">
        <v>190000</v>
      </c>
      <c r="G106" s="77">
        <v>950000</v>
      </c>
      <c r="H106" s="177" t="s">
        <v>485</v>
      </c>
      <c r="I106" s="175" t="s">
        <v>998</v>
      </c>
    </row>
    <row r="107" spans="1:9" ht="15.75" thickBot="1">
      <c r="A107" s="12"/>
      <c r="B107" s="13" t="s">
        <v>999</v>
      </c>
      <c r="C107" s="14" t="s">
        <v>925</v>
      </c>
      <c r="D107" s="14">
        <v>5</v>
      </c>
      <c r="E107" s="14" t="s">
        <v>30</v>
      </c>
      <c r="F107" s="15">
        <v>190000</v>
      </c>
      <c r="G107" s="77">
        <v>950000</v>
      </c>
      <c r="H107" s="193"/>
      <c r="I107" s="175"/>
    </row>
    <row r="108" spans="1:9" ht="15.75" thickBot="1">
      <c r="A108" s="12"/>
      <c r="B108" s="13"/>
      <c r="C108" s="14"/>
      <c r="D108" s="14"/>
      <c r="E108" s="14" t="s">
        <v>30</v>
      </c>
      <c r="F108" s="15"/>
      <c r="G108" s="77" t="s">
        <v>996</v>
      </c>
      <c r="H108" s="178"/>
      <c r="I108" s="175"/>
    </row>
    <row r="109" spans="1:9" ht="15.75" thickBot="1">
      <c r="A109" s="12"/>
      <c r="B109" s="13"/>
      <c r="C109" s="14"/>
      <c r="D109" s="14"/>
      <c r="E109" s="14" t="s">
        <v>30</v>
      </c>
      <c r="F109" s="15"/>
      <c r="G109" s="77"/>
      <c r="H109" s="177"/>
      <c r="I109" s="175"/>
    </row>
    <row r="110" spans="1:9" ht="15.75" thickBot="1">
      <c r="A110" s="12"/>
      <c r="B110" s="13"/>
      <c r="C110" s="14"/>
      <c r="D110" s="14"/>
      <c r="E110" s="14" t="s">
        <v>30</v>
      </c>
      <c r="F110" s="15"/>
      <c r="G110" s="77"/>
      <c r="H110" s="177"/>
      <c r="I110" s="175"/>
    </row>
    <row r="111" spans="1:9" ht="15.75" thickBot="1">
      <c r="A111" s="12"/>
      <c r="B111" s="13"/>
      <c r="C111" s="14"/>
      <c r="D111" s="14"/>
      <c r="E111" s="14" t="s">
        <v>30</v>
      </c>
      <c r="F111" s="15"/>
      <c r="G111" s="77"/>
      <c r="H111" s="177"/>
      <c r="I111" s="175"/>
    </row>
    <row r="112" spans="1:9" ht="15.75" thickBot="1">
      <c r="A112" s="12"/>
      <c r="B112" s="13"/>
      <c r="C112" s="14"/>
      <c r="D112" s="14"/>
      <c r="E112" s="14" t="s">
        <v>30</v>
      </c>
      <c r="F112" s="15"/>
      <c r="G112" s="77"/>
      <c r="H112" s="177"/>
      <c r="I112" s="175"/>
    </row>
    <row r="113" spans="1:9" ht="15.75" thickBot="1">
      <c r="A113" s="12"/>
      <c r="B113" s="13"/>
      <c r="C113" s="14"/>
      <c r="D113" s="14"/>
      <c r="E113" s="14" t="s">
        <v>30</v>
      </c>
      <c r="F113" s="15"/>
      <c r="G113" s="77"/>
      <c r="H113" s="177"/>
      <c r="I113" s="175"/>
    </row>
    <row r="114" spans="1:9" ht="15.75" thickBot="1">
      <c r="A114" s="12"/>
      <c r="B114" s="13"/>
      <c r="C114" s="14"/>
      <c r="D114" s="14"/>
      <c r="E114" s="14" t="s">
        <v>30</v>
      </c>
      <c r="F114" s="15"/>
      <c r="G114" s="77"/>
      <c r="H114" s="177"/>
      <c r="I114" s="175"/>
    </row>
    <row r="115" spans="1:9">
      <c r="A115" s="12"/>
      <c r="B115" s="13"/>
      <c r="C115" s="14"/>
      <c r="D115" s="14"/>
      <c r="E115" s="14" t="s">
        <v>30</v>
      </c>
      <c r="F115" s="15"/>
      <c r="G115" s="77"/>
      <c r="H115" s="177"/>
      <c r="I115" s="175"/>
    </row>
  </sheetData>
  <pageMargins left="0.7" right="0.7" top="0.75" bottom="0.75" header="0.3" footer="0.3"/>
  <pageSetup paperSize="9"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O46"/>
  <sheetViews>
    <sheetView topLeftCell="A16" zoomScale="110" zoomScaleNormal="110" workbookViewId="0">
      <selection activeCell="B22" sqref="B22"/>
    </sheetView>
  </sheetViews>
  <sheetFormatPr defaultRowHeight="15"/>
  <cols>
    <col min="2" max="2" width="31.85546875" customWidth="1"/>
    <col min="3" max="3" width="12.5703125" customWidth="1"/>
    <col min="6" max="6" width="17" customWidth="1"/>
    <col min="7" max="7" width="14.7109375" customWidth="1"/>
    <col min="8" max="8" width="16" customWidth="1"/>
    <col min="9" max="9" width="14.85546875" customWidth="1"/>
    <col min="11" max="11" width="7.140625" customWidth="1"/>
    <col min="13" max="13" width="13.5703125" customWidth="1"/>
    <col min="14" max="14" width="16.28515625" customWidth="1"/>
    <col min="15" max="15" width="19.7109375" customWidth="1"/>
    <col min="17" max="17" width="13" customWidth="1"/>
  </cols>
  <sheetData>
    <row r="1" spans="1:15">
      <c r="A1" s="1" t="s">
        <v>0</v>
      </c>
      <c r="C1" s="2"/>
      <c r="D1" s="2"/>
      <c r="E1" s="2"/>
      <c r="F1" s="3"/>
      <c r="G1" s="3"/>
      <c r="H1" s="3"/>
      <c r="K1" s="4" t="s">
        <v>163</v>
      </c>
      <c r="L1" s="5"/>
      <c r="M1" s="5"/>
      <c r="N1" s="3"/>
    </row>
    <row r="2" spans="1:15" ht="45.75" thickBot="1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9" t="s">
        <v>7</v>
      </c>
      <c r="H2" s="176" t="s">
        <v>8</v>
      </c>
      <c r="I2" s="7" t="s">
        <v>9</v>
      </c>
      <c r="K2" s="10" t="s">
        <v>10</v>
      </c>
      <c r="L2" s="11" t="s">
        <v>11</v>
      </c>
      <c r="M2" s="6" t="s">
        <v>12</v>
      </c>
      <c r="N2" s="9" t="s">
        <v>13</v>
      </c>
      <c r="O2" s="7" t="s">
        <v>9</v>
      </c>
    </row>
    <row r="3" spans="1:15">
      <c r="A3" s="12">
        <v>44809</v>
      </c>
      <c r="B3" s="13" t="s">
        <v>1005</v>
      </c>
      <c r="C3" s="14" t="s">
        <v>17</v>
      </c>
      <c r="D3" s="14">
        <v>1</v>
      </c>
      <c r="E3" s="14" t="s">
        <v>30</v>
      </c>
      <c r="F3" s="15">
        <v>795000</v>
      </c>
      <c r="G3" s="77">
        <v>795000</v>
      </c>
      <c r="H3" s="177"/>
      <c r="I3" s="175" t="s">
        <v>889</v>
      </c>
      <c r="J3" s="17"/>
      <c r="K3" s="289">
        <v>1</v>
      </c>
      <c r="L3" s="290">
        <v>44764</v>
      </c>
      <c r="M3" s="291" t="s">
        <v>16</v>
      </c>
      <c r="N3" s="292">
        <v>19980000</v>
      </c>
      <c r="O3" s="295" t="s">
        <v>869</v>
      </c>
    </row>
    <row r="4" spans="1:15" ht="15.75" thickBot="1">
      <c r="A4" s="13"/>
      <c r="B4" s="13" t="s">
        <v>1006</v>
      </c>
      <c r="C4" s="14" t="s">
        <v>17</v>
      </c>
      <c r="D4" s="14">
        <v>2</v>
      </c>
      <c r="E4" s="14" t="s">
        <v>30</v>
      </c>
      <c r="F4" s="15">
        <v>795000</v>
      </c>
      <c r="G4" s="77">
        <v>1590000</v>
      </c>
      <c r="H4" s="178" t="s">
        <v>1007</v>
      </c>
      <c r="I4" s="175"/>
      <c r="J4" s="19"/>
      <c r="K4" s="360">
        <v>2</v>
      </c>
      <c r="L4" s="361">
        <v>44773</v>
      </c>
      <c r="M4" s="362" t="s">
        <v>17</v>
      </c>
      <c r="N4" s="362" t="s">
        <v>830</v>
      </c>
      <c r="O4" s="109" t="s">
        <v>869</v>
      </c>
    </row>
    <row r="5" spans="1:15">
      <c r="A5" s="12">
        <v>44811</v>
      </c>
      <c r="B5" s="13" t="s">
        <v>1008</v>
      </c>
      <c r="C5" s="14" t="s">
        <v>638</v>
      </c>
      <c r="D5" s="14">
        <v>3</v>
      </c>
      <c r="E5" s="14" t="s">
        <v>30</v>
      </c>
      <c r="F5" s="15">
        <v>1600000</v>
      </c>
      <c r="G5" s="77">
        <v>4800000</v>
      </c>
      <c r="H5" s="177"/>
      <c r="I5" s="175"/>
      <c r="J5" s="23"/>
      <c r="K5" s="251">
        <v>3</v>
      </c>
      <c r="L5" s="253">
        <v>44774</v>
      </c>
      <c r="M5" s="254" t="s">
        <v>173</v>
      </c>
      <c r="N5" s="363">
        <v>11870000</v>
      </c>
      <c r="O5" s="114" t="s">
        <v>869</v>
      </c>
    </row>
    <row r="6" spans="1:15">
      <c r="A6" s="13"/>
      <c r="B6" s="13" t="s">
        <v>1009</v>
      </c>
      <c r="C6" s="14" t="s">
        <v>638</v>
      </c>
      <c r="D6" s="14">
        <v>1</v>
      </c>
      <c r="E6" s="14" t="s">
        <v>30</v>
      </c>
      <c r="F6" s="15">
        <v>1600000</v>
      </c>
      <c r="G6" s="77">
        <v>1600000</v>
      </c>
      <c r="H6" s="178"/>
      <c r="I6" s="175" t="s">
        <v>640</v>
      </c>
      <c r="J6" s="26"/>
      <c r="K6" s="360">
        <v>4</v>
      </c>
      <c r="L6" s="118">
        <v>44774</v>
      </c>
      <c r="M6" s="119" t="s">
        <v>17</v>
      </c>
      <c r="N6" s="120">
        <v>13180000</v>
      </c>
      <c r="O6" s="362" t="s">
        <v>869</v>
      </c>
    </row>
    <row r="7" spans="1:15">
      <c r="A7" s="12"/>
      <c r="B7" s="13" t="s">
        <v>750</v>
      </c>
      <c r="C7" s="14" t="s">
        <v>638</v>
      </c>
      <c r="D7" s="14">
        <v>1</v>
      </c>
      <c r="E7" s="14" t="s">
        <v>30</v>
      </c>
      <c r="F7" s="15">
        <v>1900000</v>
      </c>
      <c r="G7" s="77">
        <v>1900000</v>
      </c>
      <c r="H7" s="178" t="s">
        <v>1012</v>
      </c>
      <c r="I7" s="175"/>
      <c r="J7" s="26"/>
      <c r="K7" s="360">
        <v>6</v>
      </c>
      <c r="L7" s="118">
        <v>44778</v>
      </c>
      <c r="M7" s="119" t="s">
        <v>17</v>
      </c>
      <c r="N7" s="120">
        <v>7695000</v>
      </c>
      <c r="O7" s="362" t="s">
        <v>869</v>
      </c>
    </row>
    <row r="8" spans="1:15">
      <c r="A8" s="13"/>
      <c r="B8" s="13" t="s">
        <v>1010</v>
      </c>
      <c r="C8" s="14" t="s">
        <v>638</v>
      </c>
      <c r="D8" s="14">
        <v>2</v>
      </c>
      <c r="E8" s="14" t="s">
        <v>30</v>
      </c>
      <c r="F8" s="15">
        <v>900000</v>
      </c>
      <c r="G8" s="77">
        <v>1800000</v>
      </c>
      <c r="H8" s="178"/>
      <c r="I8" s="175"/>
      <c r="J8" s="26"/>
      <c r="K8" s="251">
        <v>7</v>
      </c>
      <c r="L8" s="253">
        <v>44778</v>
      </c>
      <c r="M8" s="254" t="s">
        <v>173</v>
      </c>
      <c r="N8" s="363">
        <v>3675000</v>
      </c>
      <c r="O8" s="334" t="s">
        <v>869</v>
      </c>
    </row>
    <row r="9" spans="1:15">
      <c r="A9" s="29"/>
      <c r="B9" s="29" t="s">
        <v>1011</v>
      </c>
      <c r="C9" s="14" t="s">
        <v>638</v>
      </c>
      <c r="D9" s="31">
        <v>3</v>
      </c>
      <c r="E9" s="14" t="s">
        <v>30</v>
      </c>
      <c r="F9" s="15">
        <v>1150000</v>
      </c>
      <c r="G9" s="77">
        <v>3450000</v>
      </c>
      <c r="H9" s="178"/>
      <c r="I9" s="175"/>
      <c r="J9" s="26"/>
      <c r="K9" s="332">
        <v>8</v>
      </c>
      <c r="L9" s="340">
        <v>44721</v>
      </c>
      <c r="M9" s="341" t="s">
        <v>345</v>
      </c>
      <c r="N9" s="342">
        <v>10870000</v>
      </c>
      <c r="O9" s="343" t="s">
        <v>869</v>
      </c>
    </row>
    <row r="10" spans="1:15" ht="15.75" thickBot="1">
      <c r="A10" s="29"/>
      <c r="B10" s="29"/>
      <c r="C10" s="14"/>
      <c r="D10" s="31"/>
      <c r="E10" s="14"/>
      <c r="F10" s="15"/>
      <c r="G10" s="77"/>
      <c r="H10" s="178"/>
      <c r="I10" s="175"/>
      <c r="J10" s="26"/>
      <c r="K10" s="332">
        <v>9</v>
      </c>
      <c r="L10" s="340">
        <v>44791</v>
      </c>
      <c r="M10" s="341" t="s">
        <v>345</v>
      </c>
      <c r="N10" s="342">
        <v>5923000</v>
      </c>
      <c r="O10" s="343" t="s">
        <v>869</v>
      </c>
    </row>
    <row r="11" spans="1:15">
      <c r="A11" s="32">
        <v>44812</v>
      </c>
      <c r="B11" s="29" t="s">
        <v>1013</v>
      </c>
      <c r="C11" s="14" t="s">
        <v>15</v>
      </c>
      <c r="D11" s="31">
        <v>1</v>
      </c>
      <c r="E11" s="14" t="s">
        <v>49</v>
      </c>
      <c r="F11" s="15">
        <v>1400000</v>
      </c>
      <c r="G11" s="77">
        <v>1400000</v>
      </c>
      <c r="H11" s="177"/>
      <c r="I11" s="175"/>
      <c r="J11" s="26"/>
      <c r="K11" s="202">
        <v>10</v>
      </c>
      <c r="L11" s="104">
        <v>44782</v>
      </c>
      <c r="M11" s="105" t="s">
        <v>15</v>
      </c>
      <c r="N11" s="106">
        <v>5460000</v>
      </c>
      <c r="O11" s="107" t="s">
        <v>1056</v>
      </c>
    </row>
    <row r="12" spans="1:15">
      <c r="A12" s="29"/>
      <c r="B12" s="29" t="s">
        <v>1014</v>
      </c>
      <c r="C12" s="14" t="s">
        <v>15</v>
      </c>
      <c r="D12" s="31">
        <v>1</v>
      </c>
      <c r="E12" s="14" t="s">
        <v>49</v>
      </c>
      <c r="F12" s="30">
        <v>1400000</v>
      </c>
      <c r="G12" s="179">
        <v>1400000</v>
      </c>
      <c r="H12" s="178"/>
      <c r="I12" s="175"/>
      <c r="J12" s="26"/>
      <c r="K12" s="364">
        <v>11</v>
      </c>
      <c r="L12" s="125">
        <v>44784</v>
      </c>
      <c r="M12" s="126" t="s">
        <v>16</v>
      </c>
      <c r="N12" s="126" t="s">
        <v>873</v>
      </c>
      <c r="O12" s="126" t="s">
        <v>869</v>
      </c>
    </row>
    <row r="13" spans="1:15">
      <c r="A13" s="32"/>
      <c r="B13" s="29" t="s">
        <v>1015</v>
      </c>
      <c r="C13" s="27" t="s">
        <v>15</v>
      </c>
      <c r="D13" s="31">
        <v>5</v>
      </c>
      <c r="E13" s="31" t="s">
        <v>30</v>
      </c>
      <c r="F13" s="28">
        <v>95000</v>
      </c>
      <c r="G13" s="179">
        <v>475000</v>
      </c>
      <c r="H13" s="185"/>
      <c r="I13" s="180"/>
      <c r="J13" s="26"/>
      <c r="K13" s="364">
        <v>12</v>
      </c>
      <c r="L13" s="115">
        <v>44788</v>
      </c>
      <c r="M13" s="116" t="s">
        <v>16</v>
      </c>
      <c r="N13" s="117">
        <v>5550000</v>
      </c>
      <c r="O13" s="365" t="s">
        <v>869</v>
      </c>
    </row>
    <row r="14" spans="1:15">
      <c r="A14" s="32"/>
      <c r="B14" s="29"/>
      <c r="C14" s="27"/>
      <c r="D14" s="31"/>
      <c r="E14" s="31"/>
      <c r="F14" s="28"/>
      <c r="G14" s="179"/>
      <c r="H14" s="185"/>
      <c r="I14" s="180"/>
      <c r="J14" s="26"/>
      <c r="K14" s="422">
        <v>13</v>
      </c>
      <c r="L14" s="132">
        <v>44802</v>
      </c>
      <c r="M14" s="133" t="s">
        <v>279</v>
      </c>
      <c r="N14" s="134">
        <v>1900000</v>
      </c>
      <c r="O14" s="195" t="s">
        <v>869</v>
      </c>
    </row>
    <row r="15" spans="1:15">
      <c r="A15" s="29"/>
      <c r="B15" s="29" t="s">
        <v>1016</v>
      </c>
      <c r="C15" s="27" t="s">
        <v>15</v>
      </c>
      <c r="D15" s="31">
        <v>15</v>
      </c>
      <c r="E15" s="31" t="s">
        <v>30</v>
      </c>
      <c r="F15" s="28">
        <v>95000</v>
      </c>
      <c r="G15" s="179">
        <v>950000</v>
      </c>
      <c r="H15" s="185" t="s">
        <v>1024</v>
      </c>
      <c r="I15" s="181" t="s">
        <v>889</v>
      </c>
      <c r="J15" s="26"/>
      <c r="K15" s="332">
        <v>14</v>
      </c>
      <c r="L15" s="152">
        <v>44796</v>
      </c>
      <c r="M15" s="153" t="s">
        <v>345</v>
      </c>
      <c r="N15" s="153" t="s">
        <v>693</v>
      </c>
      <c r="O15" s="343" t="s">
        <v>869</v>
      </c>
    </row>
    <row r="16" spans="1:15">
      <c r="A16" s="29"/>
      <c r="B16" s="29" t="s">
        <v>1017</v>
      </c>
      <c r="C16" s="27" t="s">
        <v>15</v>
      </c>
      <c r="D16" s="31">
        <v>20</v>
      </c>
      <c r="E16" s="31" t="s">
        <v>30</v>
      </c>
      <c r="F16" s="28">
        <v>35000</v>
      </c>
      <c r="G16" s="179">
        <v>700000</v>
      </c>
      <c r="H16" s="185"/>
      <c r="I16" s="181"/>
      <c r="J16" s="26"/>
      <c r="K16" s="251">
        <v>15</v>
      </c>
      <c r="L16" s="253">
        <v>44831</v>
      </c>
      <c r="M16" s="254" t="s">
        <v>1055</v>
      </c>
      <c r="N16" s="194">
        <v>1900000</v>
      </c>
      <c r="O16" s="334" t="s">
        <v>869</v>
      </c>
    </row>
    <row r="17" spans="1:15">
      <c r="A17" s="29"/>
      <c r="B17" s="29" t="s">
        <v>1018</v>
      </c>
      <c r="C17" s="27" t="s">
        <v>15</v>
      </c>
      <c r="D17" s="31">
        <v>10</v>
      </c>
      <c r="E17" s="31" t="s">
        <v>30</v>
      </c>
      <c r="F17" s="28">
        <v>95000</v>
      </c>
      <c r="G17" s="179">
        <v>950000</v>
      </c>
      <c r="H17" s="185"/>
      <c r="I17" s="181"/>
      <c r="J17" s="26"/>
      <c r="K17" s="299">
        <v>16</v>
      </c>
      <c r="L17" s="300">
        <v>44886</v>
      </c>
      <c r="M17" s="301" t="s">
        <v>1241</v>
      </c>
      <c r="N17" s="424">
        <v>800000</v>
      </c>
      <c r="O17" s="303"/>
    </row>
    <row r="18" spans="1:15">
      <c r="A18" s="29"/>
      <c r="B18" s="29" t="s">
        <v>1019</v>
      </c>
      <c r="C18" s="27" t="s">
        <v>15</v>
      </c>
      <c r="D18" s="31">
        <v>5</v>
      </c>
      <c r="E18" s="31" t="s">
        <v>30</v>
      </c>
      <c r="F18" s="28">
        <v>95000</v>
      </c>
      <c r="G18" s="179">
        <v>475000</v>
      </c>
      <c r="H18" s="185"/>
      <c r="I18" s="181"/>
      <c r="J18" s="26"/>
      <c r="K18" s="425">
        <v>17</v>
      </c>
      <c r="L18" s="426">
        <v>44891</v>
      </c>
      <c r="M18" s="427" t="s">
        <v>1032</v>
      </c>
      <c r="N18" s="428">
        <v>2067000</v>
      </c>
      <c r="O18" s="429" t="s">
        <v>1242</v>
      </c>
    </row>
    <row r="19" spans="1:15">
      <c r="A19" s="29"/>
      <c r="B19" s="29" t="s">
        <v>1020</v>
      </c>
      <c r="C19" s="27" t="s">
        <v>15</v>
      </c>
      <c r="D19" s="31">
        <v>10</v>
      </c>
      <c r="E19" s="31" t="s">
        <v>30</v>
      </c>
      <c r="F19" s="28">
        <v>100000</v>
      </c>
      <c r="G19" s="179">
        <v>1000000</v>
      </c>
      <c r="H19" s="185"/>
      <c r="I19" s="181"/>
      <c r="J19" s="26"/>
      <c r="K19" s="20">
        <v>17</v>
      </c>
      <c r="L19" s="33"/>
      <c r="M19" s="14"/>
      <c r="N19" s="28"/>
      <c r="O19" s="38"/>
    </row>
    <row r="20" spans="1:15">
      <c r="A20" s="29"/>
      <c r="B20" s="29" t="s">
        <v>1021</v>
      </c>
      <c r="C20" s="27" t="s">
        <v>15</v>
      </c>
      <c r="D20" s="31">
        <v>10</v>
      </c>
      <c r="E20" s="31" t="s">
        <v>30</v>
      </c>
      <c r="F20" s="28">
        <v>100000</v>
      </c>
      <c r="G20" s="179">
        <v>1000000</v>
      </c>
      <c r="H20" s="185"/>
      <c r="I20" s="181"/>
      <c r="J20" s="26"/>
      <c r="K20" s="20">
        <v>18</v>
      </c>
      <c r="L20" s="25"/>
      <c r="M20" s="27"/>
      <c r="N20" s="28"/>
      <c r="O20" s="38"/>
    </row>
    <row r="21" spans="1:15">
      <c r="A21" s="29"/>
      <c r="B21" s="29" t="s">
        <v>1022</v>
      </c>
      <c r="C21" s="27" t="s">
        <v>15</v>
      </c>
      <c r="D21" s="31">
        <v>10</v>
      </c>
      <c r="E21" s="31" t="s">
        <v>30</v>
      </c>
      <c r="F21" s="28">
        <v>85000</v>
      </c>
      <c r="G21" s="179">
        <v>850000</v>
      </c>
      <c r="H21" s="185"/>
      <c r="I21" s="181"/>
      <c r="J21" s="26"/>
      <c r="K21" s="24">
        <v>19</v>
      </c>
      <c r="L21" s="25"/>
      <c r="M21" s="27"/>
      <c r="N21" s="28"/>
      <c r="O21" s="38"/>
    </row>
    <row r="22" spans="1:15" ht="15.75" thickBot="1">
      <c r="A22" s="29"/>
      <c r="B22" s="29" t="s">
        <v>1023</v>
      </c>
      <c r="C22" s="27" t="s">
        <v>15</v>
      </c>
      <c r="D22" s="31">
        <v>10</v>
      </c>
      <c r="E22" s="31" t="s">
        <v>30</v>
      </c>
      <c r="F22" s="28">
        <v>95000</v>
      </c>
      <c r="G22" s="179">
        <v>950000</v>
      </c>
      <c r="H22" s="185"/>
      <c r="I22" s="181"/>
      <c r="J22" s="26"/>
      <c r="K22" s="20">
        <v>20</v>
      </c>
      <c r="L22" s="25"/>
      <c r="M22" s="27"/>
      <c r="N22" s="28"/>
      <c r="O22" s="38"/>
    </row>
    <row r="23" spans="1:15">
      <c r="A23" s="32">
        <v>44824</v>
      </c>
      <c r="B23" s="29" t="s">
        <v>1025</v>
      </c>
      <c r="C23" s="27" t="s">
        <v>638</v>
      </c>
      <c r="D23" s="31">
        <v>1</v>
      </c>
      <c r="E23" s="31" t="s">
        <v>30</v>
      </c>
      <c r="F23" s="28">
        <v>1600000</v>
      </c>
      <c r="G23" s="179">
        <v>1600000</v>
      </c>
      <c r="H23" s="184"/>
      <c r="I23" s="181"/>
      <c r="J23" s="26"/>
      <c r="K23" s="29"/>
      <c r="L23" s="25"/>
      <c r="M23" s="27"/>
      <c r="N23" s="28"/>
      <c r="O23" s="29"/>
    </row>
    <row r="24" spans="1:15">
      <c r="A24" s="29"/>
      <c r="B24" s="29" t="s">
        <v>1026</v>
      </c>
      <c r="C24" s="27" t="s">
        <v>638</v>
      </c>
      <c r="D24" s="31">
        <v>1</v>
      </c>
      <c r="E24" s="31" t="s">
        <v>30</v>
      </c>
      <c r="F24" s="28">
        <v>900000</v>
      </c>
      <c r="G24" s="179">
        <v>900000</v>
      </c>
      <c r="H24" s="185" t="s">
        <v>1028</v>
      </c>
      <c r="I24" s="181" t="s">
        <v>640</v>
      </c>
      <c r="J24" s="26"/>
      <c r="K24" s="26"/>
      <c r="L24" s="34"/>
      <c r="M24" s="34"/>
      <c r="N24" s="26"/>
      <c r="O24" s="26"/>
    </row>
    <row r="25" spans="1:15">
      <c r="A25" s="29"/>
      <c r="B25" s="29" t="s">
        <v>882</v>
      </c>
      <c r="C25" s="27" t="s">
        <v>638</v>
      </c>
      <c r="D25" s="31">
        <v>1</v>
      </c>
      <c r="E25" s="31" t="s">
        <v>30</v>
      </c>
      <c r="F25" s="28">
        <v>900000</v>
      </c>
      <c r="G25" s="179">
        <v>900000</v>
      </c>
      <c r="H25" s="185"/>
      <c r="I25" s="181"/>
      <c r="J25" s="26"/>
      <c r="K25" s="26"/>
      <c r="L25" s="34"/>
      <c r="M25" s="34"/>
      <c r="N25" s="35" t="s">
        <v>1167</v>
      </c>
      <c r="O25" s="26"/>
    </row>
    <row r="26" spans="1:15">
      <c r="A26" s="29"/>
      <c r="B26" s="29" t="s">
        <v>1027</v>
      </c>
      <c r="C26" s="27" t="s">
        <v>638</v>
      </c>
      <c r="D26" s="31">
        <v>1</v>
      </c>
      <c r="E26" s="31" t="s">
        <v>30</v>
      </c>
      <c r="F26" s="28">
        <v>900000</v>
      </c>
      <c r="G26" s="179">
        <v>900000</v>
      </c>
      <c r="H26" s="185"/>
      <c r="I26" s="181"/>
      <c r="J26" s="26"/>
      <c r="K26" s="26"/>
      <c r="L26" s="34"/>
      <c r="M26" s="34"/>
      <c r="N26" s="26"/>
      <c r="O26" s="26"/>
    </row>
    <row r="27" spans="1:15" ht="15.75" thickBot="1">
      <c r="A27" s="29"/>
      <c r="B27" s="29" t="s">
        <v>884</v>
      </c>
      <c r="C27" s="27" t="s">
        <v>638</v>
      </c>
      <c r="D27" s="31">
        <v>1</v>
      </c>
      <c r="E27" s="31" t="s">
        <v>30</v>
      </c>
      <c r="F27" s="28">
        <v>1150000</v>
      </c>
      <c r="G27" s="179">
        <v>1150000</v>
      </c>
      <c r="H27" s="350"/>
      <c r="I27" s="181"/>
      <c r="J27" s="26"/>
      <c r="K27" s="26"/>
      <c r="L27" s="34"/>
      <c r="M27" s="34"/>
      <c r="N27" s="26"/>
      <c r="O27" s="26"/>
    </row>
    <row r="28" spans="1:15" ht="15.75" thickBot="1">
      <c r="A28" s="32">
        <v>44826</v>
      </c>
      <c r="B28" s="29" t="s">
        <v>1033</v>
      </c>
      <c r="C28" s="27" t="s">
        <v>1032</v>
      </c>
      <c r="D28" s="31">
        <v>3</v>
      </c>
      <c r="E28" s="31" t="s">
        <v>30</v>
      </c>
      <c r="F28" s="28">
        <v>689000</v>
      </c>
      <c r="G28" s="179">
        <v>2067000</v>
      </c>
      <c r="H28" s="184" t="s">
        <v>1034</v>
      </c>
      <c r="I28" s="181" t="s">
        <v>587</v>
      </c>
      <c r="J28" s="26"/>
      <c r="K28" s="26"/>
      <c r="L28" s="34"/>
      <c r="M28" s="34"/>
      <c r="N28" s="26"/>
      <c r="O28" s="26"/>
    </row>
    <row r="29" spans="1:15">
      <c r="A29" s="29"/>
      <c r="B29" s="29" t="s">
        <v>1035</v>
      </c>
      <c r="C29" s="27" t="s">
        <v>17</v>
      </c>
      <c r="D29" s="31">
        <v>1</v>
      </c>
      <c r="E29" s="31" t="s">
        <v>30</v>
      </c>
      <c r="F29" s="28">
        <v>795000</v>
      </c>
      <c r="G29" s="179">
        <v>795000</v>
      </c>
      <c r="H29" s="184"/>
      <c r="I29" s="181" t="s">
        <v>889</v>
      </c>
      <c r="J29" s="26"/>
      <c r="K29" s="26"/>
      <c r="L29" s="34"/>
      <c r="M29" s="34"/>
      <c r="N29" s="26"/>
      <c r="O29" s="26"/>
    </row>
    <row r="30" spans="1:15" ht="15.75" thickBot="1">
      <c r="A30" s="29"/>
      <c r="B30" s="29" t="s">
        <v>878</v>
      </c>
      <c r="C30" s="27" t="s">
        <v>17</v>
      </c>
      <c r="D30" s="31">
        <v>10</v>
      </c>
      <c r="E30" s="31" t="s">
        <v>30</v>
      </c>
      <c r="F30" s="28">
        <v>170000</v>
      </c>
      <c r="G30" s="179">
        <v>2250000</v>
      </c>
      <c r="H30" s="350" t="s">
        <v>1119</v>
      </c>
      <c r="I30" s="384"/>
      <c r="J30" s="26"/>
      <c r="K30" s="26"/>
      <c r="L30" s="34"/>
      <c r="M30" s="34"/>
      <c r="N30" s="26"/>
      <c r="O30" s="26"/>
    </row>
    <row r="31" spans="1:15" ht="15.75" thickBot="1">
      <c r="A31" s="32">
        <v>44831</v>
      </c>
      <c r="B31" s="29" t="s">
        <v>1037</v>
      </c>
      <c r="C31" s="27" t="s">
        <v>423</v>
      </c>
      <c r="D31" s="31">
        <v>1</v>
      </c>
      <c r="E31" s="31" t="s">
        <v>49</v>
      </c>
      <c r="F31" s="28">
        <v>1900000</v>
      </c>
      <c r="G31" s="28">
        <v>1900000</v>
      </c>
      <c r="H31" s="391" t="s">
        <v>485</v>
      </c>
      <c r="I31" s="385" t="s">
        <v>998</v>
      </c>
      <c r="J31" s="26"/>
      <c r="K31" s="26"/>
      <c r="L31" s="34"/>
      <c r="M31" s="34"/>
      <c r="N31" s="26"/>
      <c r="O31" s="26"/>
    </row>
    <row r="32" spans="1:15">
      <c r="A32" s="32">
        <v>44834</v>
      </c>
      <c r="B32" s="29" t="s">
        <v>1038</v>
      </c>
      <c r="C32" s="27" t="s">
        <v>16</v>
      </c>
      <c r="D32" s="31">
        <v>2</v>
      </c>
      <c r="E32" s="31" t="s">
        <v>49</v>
      </c>
      <c r="F32" s="28">
        <v>1110000</v>
      </c>
      <c r="G32" s="179">
        <v>2220000</v>
      </c>
      <c r="H32" s="184" t="s">
        <v>601</v>
      </c>
      <c r="I32" s="390" t="s">
        <v>889</v>
      </c>
      <c r="J32" s="26"/>
      <c r="L32" s="34"/>
      <c r="M32" s="34"/>
      <c r="N32" s="26"/>
    </row>
    <row r="33" spans="1:13" ht="15.75" thickBot="1">
      <c r="A33" s="13"/>
      <c r="B33" s="13" t="s">
        <v>1039</v>
      </c>
      <c r="C33" s="14" t="s">
        <v>16</v>
      </c>
      <c r="D33" s="14">
        <v>2</v>
      </c>
      <c r="E33" s="14" t="s">
        <v>49</v>
      </c>
      <c r="F33" s="15">
        <v>1110000</v>
      </c>
      <c r="G33" s="77">
        <v>2220000</v>
      </c>
      <c r="H33" s="188"/>
      <c r="I33" s="182"/>
      <c r="M33" s="5"/>
    </row>
    <row r="34" spans="1:13">
      <c r="A34" s="13"/>
      <c r="B34" s="13"/>
      <c r="C34" s="13"/>
      <c r="D34" s="13"/>
      <c r="E34" s="13"/>
      <c r="F34" s="15"/>
      <c r="G34" s="15"/>
      <c r="H34" s="183"/>
      <c r="I34" s="13"/>
      <c r="M34" s="5"/>
    </row>
    <row r="35" spans="1:13">
      <c r="A35" s="13"/>
      <c r="B35" s="13"/>
      <c r="C35" s="13"/>
      <c r="D35" s="13"/>
      <c r="E35" s="13"/>
      <c r="F35" s="15"/>
      <c r="G35" s="15"/>
      <c r="H35" s="15"/>
      <c r="I35" s="13"/>
      <c r="M35" s="5"/>
    </row>
    <row r="36" spans="1:13">
      <c r="A36" s="13"/>
      <c r="B36" s="13"/>
      <c r="C36" s="13"/>
      <c r="D36" s="13"/>
      <c r="E36" s="13"/>
      <c r="F36" s="15"/>
      <c r="G36" s="15"/>
      <c r="H36" s="15"/>
      <c r="I36" s="13"/>
      <c r="M36" s="5"/>
    </row>
    <row r="37" spans="1:13">
      <c r="A37" s="13"/>
      <c r="B37" s="13"/>
      <c r="C37" s="13"/>
      <c r="D37" s="13"/>
      <c r="E37" s="13"/>
      <c r="F37" s="15"/>
      <c r="G37" s="15"/>
      <c r="H37" s="15"/>
      <c r="I37" s="13"/>
      <c r="M37" s="5"/>
    </row>
    <row r="38" spans="1:13">
      <c r="A38" s="13"/>
      <c r="B38" s="13"/>
      <c r="C38" s="13"/>
      <c r="D38" s="13"/>
      <c r="E38" s="13"/>
      <c r="F38" s="15"/>
      <c r="G38" s="15"/>
      <c r="H38" s="15"/>
      <c r="I38" s="13"/>
      <c r="M38" s="5"/>
    </row>
    <row r="39" spans="1:13">
      <c r="A39" s="13"/>
      <c r="B39" s="13"/>
      <c r="C39" s="13"/>
      <c r="D39" s="13"/>
      <c r="E39" s="13"/>
      <c r="F39" s="15"/>
      <c r="G39" s="15"/>
      <c r="H39" s="15"/>
      <c r="I39" s="13"/>
      <c r="M39" s="5"/>
    </row>
    <row r="40" spans="1:13">
      <c r="A40" s="13"/>
      <c r="B40" s="13"/>
      <c r="C40" s="13"/>
      <c r="D40" s="13"/>
      <c r="E40" s="13"/>
      <c r="F40" s="15"/>
      <c r="G40" s="15"/>
      <c r="H40" s="15"/>
      <c r="I40" s="13"/>
      <c r="M40" s="5"/>
    </row>
    <row r="41" spans="1:13">
      <c r="A41" s="13"/>
      <c r="B41" s="13"/>
      <c r="C41" s="13"/>
      <c r="D41" s="13"/>
      <c r="E41" s="13"/>
      <c r="F41" s="15"/>
      <c r="G41" s="15"/>
      <c r="H41" s="15"/>
      <c r="I41" s="13"/>
      <c r="M41" s="5"/>
    </row>
    <row r="42" spans="1:13">
      <c r="A42" s="13"/>
      <c r="B42" s="13"/>
      <c r="C42" s="13"/>
      <c r="D42" s="13"/>
      <c r="E42" s="13"/>
      <c r="F42" s="15"/>
      <c r="G42" s="15"/>
      <c r="H42" s="15"/>
      <c r="I42" s="13"/>
      <c r="M42" s="5"/>
    </row>
    <row r="43" spans="1:13">
      <c r="A43" s="13"/>
      <c r="B43" s="13"/>
      <c r="C43" s="13"/>
      <c r="D43" s="13"/>
      <c r="E43" s="13"/>
      <c r="F43" s="15"/>
      <c r="G43" s="15"/>
      <c r="H43" s="15"/>
      <c r="I43" s="13"/>
      <c r="M43" s="5"/>
    </row>
    <row r="44" spans="1:13">
      <c r="A44" s="13"/>
      <c r="B44" s="13"/>
      <c r="C44" s="13"/>
      <c r="D44" s="13"/>
      <c r="E44" s="13"/>
      <c r="F44" s="15"/>
      <c r="G44" s="15"/>
      <c r="H44" s="15"/>
      <c r="I44" s="13"/>
      <c r="M44" s="5"/>
    </row>
    <row r="45" spans="1:13">
      <c r="A45" s="13"/>
      <c r="B45" s="13"/>
      <c r="C45" s="13"/>
      <c r="D45" s="13"/>
      <c r="E45" s="13"/>
      <c r="F45" s="13"/>
      <c r="G45" s="13"/>
      <c r="H45" s="13"/>
      <c r="I45" s="13"/>
      <c r="M45" s="5"/>
    </row>
    <row r="46" spans="1:13">
      <c r="M46" s="5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O45"/>
  <sheetViews>
    <sheetView topLeftCell="D1" zoomScale="120" zoomScaleNormal="120" workbookViewId="0">
      <selection activeCell="C12" sqref="C12"/>
    </sheetView>
  </sheetViews>
  <sheetFormatPr defaultRowHeight="15"/>
  <cols>
    <col min="1" max="1" width="8.42578125" customWidth="1"/>
    <col min="2" max="2" width="38.140625" customWidth="1"/>
    <col min="3" max="3" width="17.42578125" customWidth="1"/>
    <col min="6" max="6" width="17.42578125" customWidth="1"/>
    <col min="7" max="7" width="15" customWidth="1"/>
    <col min="8" max="8" width="15.140625" customWidth="1"/>
    <col min="9" max="9" width="16.42578125" customWidth="1"/>
    <col min="11" max="11" width="6.140625" customWidth="1"/>
    <col min="13" max="13" width="12.140625" customWidth="1"/>
    <col min="14" max="15" width="17" customWidth="1"/>
  </cols>
  <sheetData>
    <row r="1" spans="1:15">
      <c r="A1" s="1" t="s">
        <v>0</v>
      </c>
      <c r="C1" s="2"/>
      <c r="D1" s="2"/>
      <c r="E1" s="2"/>
      <c r="F1" s="3"/>
      <c r="G1" s="3"/>
      <c r="H1" s="3"/>
      <c r="K1" s="4" t="s">
        <v>162</v>
      </c>
      <c r="L1" s="5"/>
      <c r="M1" s="5"/>
      <c r="N1" s="3"/>
    </row>
    <row r="2" spans="1:15" ht="45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9" t="s">
        <v>7</v>
      </c>
      <c r="H2" s="176" t="s">
        <v>8</v>
      </c>
      <c r="I2" s="7" t="s">
        <v>9</v>
      </c>
      <c r="K2" s="10" t="s">
        <v>10</v>
      </c>
      <c r="L2" s="11" t="s">
        <v>11</v>
      </c>
      <c r="M2" s="6" t="s">
        <v>12</v>
      </c>
      <c r="N2" s="9" t="s">
        <v>13</v>
      </c>
      <c r="O2" s="7" t="s">
        <v>9</v>
      </c>
    </row>
    <row r="3" spans="1:15" ht="15.75" thickBot="1">
      <c r="A3" s="398">
        <v>44837</v>
      </c>
      <c r="B3" s="399" t="s">
        <v>1043</v>
      </c>
      <c r="C3" s="7"/>
      <c r="D3" s="7">
        <v>1</v>
      </c>
      <c r="E3" s="7" t="s">
        <v>49</v>
      </c>
      <c r="F3" s="8"/>
      <c r="G3" s="395"/>
      <c r="H3" s="396"/>
      <c r="I3" s="397"/>
      <c r="K3" s="10"/>
      <c r="L3" s="11"/>
      <c r="M3" s="6"/>
      <c r="N3" s="9"/>
      <c r="O3" s="7"/>
    </row>
    <row r="4" spans="1:15" ht="15.75" thickBot="1">
      <c r="A4" s="12">
        <v>44838</v>
      </c>
      <c r="B4" s="13" t="s">
        <v>780</v>
      </c>
      <c r="C4" s="14" t="s">
        <v>16</v>
      </c>
      <c r="D4" s="14">
        <v>1</v>
      </c>
      <c r="E4" s="14" t="s">
        <v>49</v>
      </c>
      <c r="F4" s="15">
        <v>9990000</v>
      </c>
      <c r="G4" s="77">
        <v>9900000</v>
      </c>
      <c r="H4" s="177" t="s">
        <v>1041</v>
      </c>
      <c r="I4" s="175" t="s">
        <v>1042</v>
      </c>
      <c r="J4" s="17"/>
      <c r="K4" s="202">
        <v>1</v>
      </c>
      <c r="L4" s="104">
        <v>44721</v>
      </c>
      <c r="M4" s="105" t="s">
        <v>345</v>
      </c>
      <c r="N4" s="106">
        <v>10325000</v>
      </c>
      <c r="O4" s="107" t="s">
        <v>1246</v>
      </c>
    </row>
    <row r="5" spans="1:15">
      <c r="A5" s="12">
        <v>44844</v>
      </c>
      <c r="B5" s="13" t="s">
        <v>1045</v>
      </c>
      <c r="C5" s="14" t="s">
        <v>638</v>
      </c>
      <c r="D5" s="14">
        <v>1</v>
      </c>
      <c r="E5" s="14" t="s">
        <v>30</v>
      </c>
      <c r="F5" s="15">
        <v>900000</v>
      </c>
      <c r="G5" s="77">
        <v>900000</v>
      </c>
      <c r="H5" s="177"/>
      <c r="I5" s="175"/>
      <c r="J5" s="19"/>
      <c r="K5" s="251">
        <v>2</v>
      </c>
      <c r="L5" s="111">
        <v>44789</v>
      </c>
      <c r="M5" s="112" t="s">
        <v>15</v>
      </c>
      <c r="N5" s="112" t="s">
        <v>888</v>
      </c>
      <c r="O5" s="112" t="s">
        <v>1246</v>
      </c>
    </row>
    <row r="6" spans="1:15">
      <c r="A6" s="13"/>
      <c r="B6" s="13" t="s">
        <v>1046</v>
      </c>
      <c r="C6" s="14" t="s">
        <v>638</v>
      </c>
      <c r="D6" s="14">
        <v>1</v>
      </c>
      <c r="E6" s="14" t="s">
        <v>30</v>
      </c>
      <c r="F6" s="15">
        <v>1150000</v>
      </c>
      <c r="G6" s="77">
        <v>1150000</v>
      </c>
      <c r="H6" s="178" t="s">
        <v>1070</v>
      </c>
      <c r="I6" s="175"/>
      <c r="J6" s="23"/>
      <c r="K6" s="251">
        <v>3</v>
      </c>
      <c r="L6" s="253">
        <v>44789</v>
      </c>
      <c r="M6" s="254" t="s">
        <v>15</v>
      </c>
      <c r="N6" s="363">
        <v>8290000</v>
      </c>
      <c r="O6" s="114" t="s">
        <v>1246</v>
      </c>
    </row>
    <row r="7" spans="1:15" ht="15.75" thickBot="1">
      <c r="A7" s="13"/>
      <c r="B7" s="13" t="s">
        <v>1047</v>
      </c>
      <c r="C7" s="14" t="s">
        <v>638</v>
      </c>
      <c r="D7" s="14">
        <v>2</v>
      </c>
      <c r="E7" s="14" t="s">
        <v>30</v>
      </c>
      <c r="F7" s="15">
        <v>2300000</v>
      </c>
      <c r="G7" s="77">
        <v>4600000</v>
      </c>
      <c r="H7" s="193"/>
      <c r="I7" s="175" t="s">
        <v>1069</v>
      </c>
      <c r="J7" s="26"/>
      <c r="K7" s="312">
        <v>4</v>
      </c>
      <c r="L7" s="283">
        <v>44791</v>
      </c>
      <c r="M7" s="284" t="s">
        <v>17</v>
      </c>
      <c r="N7" s="285">
        <v>3180000</v>
      </c>
      <c r="O7" s="315" t="s">
        <v>1036</v>
      </c>
    </row>
    <row r="8" spans="1:15" ht="15.75" thickBot="1">
      <c r="A8" s="12">
        <v>44840</v>
      </c>
      <c r="B8" s="13" t="s">
        <v>1048</v>
      </c>
      <c r="C8" s="14" t="s">
        <v>307</v>
      </c>
      <c r="D8" s="14">
        <v>10</v>
      </c>
      <c r="E8" s="14" t="s">
        <v>30</v>
      </c>
      <c r="F8" s="15">
        <v>75000</v>
      </c>
      <c r="G8" s="77">
        <v>750000</v>
      </c>
      <c r="H8" s="394" t="s">
        <v>1049</v>
      </c>
      <c r="I8" s="175" t="s">
        <v>889</v>
      </c>
      <c r="J8" s="26"/>
      <c r="K8" s="251">
        <v>5</v>
      </c>
      <c r="L8" s="253">
        <v>44792</v>
      </c>
      <c r="M8" s="254" t="s">
        <v>15</v>
      </c>
      <c r="N8" s="194">
        <v>10000000</v>
      </c>
      <c r="O8" s="114" t="s">
        <v>1246</v>
      </c>
    </row>
    <row r="9" spans="1:15" ht="15.75" thickBot="1">
      <c r="A9" s="12">
        <v>44844</v>
      </c>
      <c r="B9" s="13" t="s">
        <v>1050</v>
      </c>
      <c r="C9" s="14" t="s">
        <v>173</v>
      </c>
      <c r="D9" s="14">
        <v>1</v>
      </c>
      <c r="E9" s="14" t="s">
        <v>30</v>
      </c>
      <c r="F9" s="15">
        <v>4800000</v>
      </c>
      <c r="G9" s="77">
        <v>4800000</v>
      </c>
      <c r="H9" s="394" t="s">
        <v>648</v>
      </c>
      <c r="I9" s="175" t="s">
        <v>889</v>
      </c>
      <c r="J9" s="26"/>
      <c r="K9" s="251">
        <v>6</v>
      </c>
      <c r="L9" s="253">
        <v>44795</v>
      </c>
      <c r="M9" s="254" t="s">
        <v>15</v>
      </c>
      <c r="N9" s="194">
        <v>1400000</v>
      </c>
      <c r="O9" s="114" t="s">
        <v>1246</v>
      </c>
    </row>
    <row r="10" spans="1:15" ht="15.75" thickBot="1">
      <c r="A10" s="12">
        <v>44849</v>
      </c>
      <c r="B10" s="13" t="s">
        <v>1051</v>
      </c>
      <c r="C10" s="14" t="s">
        <v>17</v>
      </c>
      <c r="D10" s="14">
        <v>10</v>
      </c>
      <c r="E10" s="14" t="s">
        <v>30</v>
      </c>
      <c r="F10" s="15">
        <v>215000</v>
      </c>
      <c r="G10" s="77">
        <v>2150000</v>
      </c>
      <c r="H10" s="394" t="s">
        <v>538</v>
      </c>
      <c r="I10" s="175" t="s">
        <v>1042</v>
      </c>
      <c r="J10" s="26"/>
      <c r="K10" s="312">
        <v>7</v>
      </c>
      <c r="L10" s="283">
        <v>44809</v>
      </c>
      <c r="M10" s="284" t="s">
        <v>17</v>
      </c>
      <c r="N10" s="339">
        <v>2385000</v>
      </c>
      <c r="O10" s="314" t="s">
        <v>1036</v>
      </c>
    </row>
    <row r="11" spans="1:15" ht="15.75" thickBot="1">
      <c r="A11" s="32">
        <v>44851</v>
      </c>
      <c r="B11" s="29" t="s">
        <v>1052</v>
      </c>
      <c r="C11" s="14" t="s">
        <v>355</v>
      </c>
      <c r="D11" s="31">
        <v>1</v>
      </c>
      <c r="E11" s="14" t="s">
        <v>30</v>
      </c>
      <c r="F11" s="15">
        <v>1550000</v>
      </c>
      <c r="G11" s="77">
        <v>1550000</v>
      </c>
      <c r="H11" s="394" t="s">
        <v>1053</v>
      </c>
      <c r="I11" s="175" t="s">
        <v>889</v>
      </c>
      <c r="J11" s="26"/>
      <c r="K11" s="251">
        <v>8</v>
      </c>
      <c r="L11" s="253">
        <v>44812</v>
      </c>
      <c r="M11" s="254" t="s">
        <v>15</v>
      </c>
      <c r="N11" s="194">
        <v>10150000</v>
      </c>
      <c r="O11" s="334" t="s">
        <v>1246</v>
      </c>
    </row>
    <row r="12" spans="1:15" ht="15.75" thickBot="1">
      <c r="A12" s="32">
        <v>44791</v>
      </c>
      <c r="B12" s="29" t="s">
        <v>1057</v>
      </c>
      <c r="C12" s="14" t="s">
        <v>355</v>
      </c>
      <c r="D12" s="31">
        <v>1</v>
      </c>
      <c r="E12" s="14" t="s">
        <v>30</v>
      </c>
      <c r="F12" s="15">
        <v>1050000</v>
      </c>
      <c r="G12" s="77">
        <v>1050000</v>
      </c>
      <c r="H12" s="177">
        <v>1050000</v>
      </c>
      <c r="I12" s="175" t="s">
        <v>889</v>
      </c>
      <c r="J12" s="26"/>
      <c r="K12" s="312">
        <v>9</v>
      </c>
      <c r="L12" s="283">
        <v>44826</v>
      </c>
      <c r="M12" s="284" t="s">
        <v>17</v>
      </c>
      <c r="N12" s="285">
        <v>3045000</v>
      </c>
      <c r="O12" s="314" t="s">
        <v>1247</v>
      </c>
    </row>
    <row r="13" spans="1:15">
      <c r="A13" s="32">
        <v>44853</v>
      </c>
      <c r="B13" s="29" t="s">
        <v>1058</v>
      </c>
      <c r="C13" s="14" t="s">
        <v>638</v>
      </c>
      <c r="D13" s="31">
        <v>2</v>
      </c>
      <c r="E13" s="14" t="s">
        <v>30</v>
      </c>
      <c r="F13" s="28">
        <v>1600000</v>
      </c>
      <c r="G13" s="179">
        <v>3200000</v>
      </c>
      <c r="H13" s="177"/>
      <c r="I13" s="175"/>
      <c r="J13" s="26"/>
      <c r="K13" s="392">
        <v>10</v>
      </c>
      <c r="L13" s="144">
        <v>44834</v>
      </c>
      <c r="M13" s="393" t="s">
        <v>16</v>
      </c>
      <c r="N13" s="393" t="s">
        <v>601</v>
      </c>
      <c r="O13" s="150" t="s">
        <v>1246</v>
      </c>
    </row>
    <row r="14" spans="1:15">
      <c r="A14" s="32"/>
      <c r="B14" s="29" t="s">
        <v>882</v>
      </c>
      <c r="C14" s="27" t="s">
        <v>638</v>
      </c>
      <c r="D14" s="31">
        <v>2</v>
      </c>
      <c r="E14" s="31" t="s">
        <v>30</v>
      </c>
      <c r="F14" s="28">
        <v>900000</v>
      </c>
      <c r="G14" s="179">
        <v>1800000</v>
      </c>
      <c r="H14" s="185" t="s">
        <v>1060</v>
      </c>
      <c r="I14" s="180" t="s">
        <v>889</v>
      </c>
      <c r="J14" s="26"/>
      <c r="K14" s="401">
        <v>11</v>
      </c>
      <c r="L14" s="128">
        <v>44840</v>
      </c>
      <c r="M14" s="129" t="s">
        <v>307</v>
      </c>
      <c r="N14" s="130">
        <v>750000</v>
      </c>
      <c r="O14" s="402" t="s">
        <v>1246</v>
      </c>
    </row>
    <row r="15" spans="1:15" ht="15.75" thickBot="1">
      <c r="A15" s="29"/>
      <c r="B15" s="29" t="s">
        <v>1059</v>
      </c>
      <c r="C15" s="27" t="s">
        <v>638</v>
      </c>
      <c r="D15" s="31">
        <v>1</v>
      </c>
      <c r="E15" s="31" t="s">
        <v>30</v>
      </c>
      <c r="F15" s="28">
        <v>900000</v>
      </c>
      <c r="G15" s="179">
        <v>900000</v>
      </c>
      <c r="H15" s="350"/>
      <c r="I15" s="181"/>
      <c r="J15" s="26"/>
      <c r="K15" s="289">
        <v>12</v>
      </c>
      <c r="L15" s="290">
        <v>44851</v>
      </c>
      <c r="M15" s="291" t="s">
        <v>83</v>
      </c>
      <c r="N15" s="292">
        <v>1550000</v>
      </c>
      <c r="O15" s="295" t="s">
        <v>1251</v>
      </c>
    </row>
    <row r="16" spans="1:15">
      <c r="A16" s="32">
        <v>44854</v>
      </c>
      <c r="B16" s="29" t="s">
        <v>805</v>
      </c>
      <c r="C16" s="27" t="s">
        <v>17</v>
      </c>
      <c r="D16" s="31">
        <v>10</v>
      </c>
      <c r="E16" s="31" t="s">
        <v>30</v>
      </c>
      <c r="F16" s="28">
        <v>215000</v>
      </c>
      <c r="G16" s="28">
        <v>2150000</v>
      </c>
      <c r="H16" s="279" t="s">
        <v>1120</v>
      </c>
      <c r="I16" s="29" t="s">
        <v>1042</v>
      </c>
      <c r="J16" s="26"/>
      <c r="K16" s="289">
        <v>13</v>
      </c>
      <c r="L16" s="290">
        <v>44852</v>
      </c>
      <c r="M16" s="291" t="s">
        <v>83</v>
      </c>
      <c r="N16" s="292">
        <v>1050000</v>
      </c>
      <c r="O16" s="295" t="s">
        <v>1250</v>
      </c>
    </row>
    <row r="17" spans="1:15" ht="15.75" thickBot="1">
      <c r="A17" s="29"/>
      <c r="B17" s="29" t="s">
        <v>1061</v>
      </c>
      <c r="C17" s="27" t="s">
        <v>17</v>
      </c>
      <c r="D17" s="31">
        <v>10</v>
      </c>
      <c r="E17" s="31" t="s">
        <v>30</v>
      </c>
      <c r="F17" s="28">
        <v>215000</v>
      </c>
      <c r="G17" s="28">
        <v>2150000</v>
      </c>
      <c r="H17" s="406"/>
      <c r="I17" s="29"/>
      <c r="J17" s="26"/>
      <c r="K17" s="234">
        <v>14</v>
      </c>
      <c r="L17" s="235">
        <v>44853</v>
      </c>
      <c r="M17" s="236" t="s">
        <v>638</v>
      </c>
      <c r="N17" s="237">
        <v>11150000</v>
      </c>
      <c r="O17" s="400" t="s">
        <v>1248</v>
      </c>
    </row>
    <row r="18" spans="1:15" ht="15.75" thickBot="1">
      <c r="A18" s="32">
        <v>44856</v>
      </c>
      <c r="B18" s="29" t="s">
        <v>1062</v>
      </c>
      <c r="C18" s="27" t="s">
        <v>355</v>
      </c>
      <c r="D18" s="31">
        <v>54</v>
      </c>
      <c r="E18" s="31" t="s">
        <v>30</v>
      </c>
      <c r="F18" s="28">
        <v>37500</v>
      </c>
      <c r="G18" s="179">
        <v>2025000</v>
      </c>
      <c r="H18" s="280" t="s">
        <v>1063</v>
      </c>
      <c r="I18" s="181" t="s">
        <v>889</v>
      </c>
      <c r="J18" s="26"/>
      <c r="K18" s="289">
        <v>15</v>
      </c>
      <c r="L18" s="403">
        <v>44856</v>
      </c>
      <c r="M18" s="404" t="s">
        <v>83</v>
      </c>
      <c r="N18" s="292">
        <v>2025000</v>
      </c>
      <c r="O18" s="295" t="s">
        <v>1249</v>
      </c>
    </row>
    <row r="19" spans="1:15">
      <c r="A19" s="32">
        <v>44859</v>
      </c>
      <c r="B19" s="29" t="s">
        <v>1064</v>
      </c>
      <c r="C19" s="27" t="s">
        <v>173</v>
      </c>
      <c r="D19" s="31">
        <v>1</v>
      </c>
      <c r="E19" s="31" t="s">
        <v>30</v>
      </c>
      <c r="F19" s="28">
        <v>2150000</v>
      </c>
      <c r="G19" s="179">
        <v>2150000</v>
      </c>
      <c r="H19" s="351" t="s">
        <v>1066</v>
      </c>
      <c r="I19" s="181"/>
      <c r="J19" s="26"/>
      <c r="K19" s="401">
        <v>16</v>
      </c>
      <c r="L19" s="128">
        <v>44856</v>
      </c>
      <c r="M19" s="129" t="s">
        <v>307</v>
      </c>
      <c r="N19" s="130">
        <v>2600000</v>
      </c>
      <c r="O19" s="402" t="s">
        <v>1246</v>
      </c>
    </row>
    <row r="20" spans="1:15" ht="15.75" thickBot="1">
      <c r="A20" s="29"/>
      <c r="B20" s="29" t="s">
        <v>1065</v>
      </c>
      <c r="C20" s="27" t="s">
        <v>173</v>
      </c>
      <c r="D20" s="31">
        <v>1</v>
      </c>
      <c r="E20" s="31" t="s">
        <v>30</v>
      </c>
      <c r="F20" s="28">
        <v>2500000</v>
      </c>
      <c r="G20" s="179">
        <v>2500000</v>
      </c>
      <c r="H20" s="407"/>
      <c r="I20" s="181" t="s">
        <v>889</v>
      </c>
      <c r="J20" s="26"/>
      <c r="K20" s="422">
        <v>17</v>
      </c>
      <c r="L20" s="132">
        <v>44844</v>
      </c>
      <c r="M20" s="133" t="s">
        <v>173</v>
      </c>
      <c r="N20" s="134">
        <v>4800000</v>
      </c>
      <c r="O20" s="195" t="s">
        <v>1243</v>
      </c>
    </row>
    <row r="21" spans="1:15" ht="15.75" thickBot="1">
      <c r="A21" s="29"/>
      <c r="B21" s="29" t="s">
        <v>1067</v>
      </c>
      <c r="C21" s="27" t="s">
        <v>307</v>
      </c>
      <c r="D21" s="31">
        <v>5</v>
      </c>
      <c r="E21" s="31" t="s">
        <v>49</v>
      </c>
      <c r="F21" s="28">
        <v>520000</v>
      </c>
      <c r="G21" s="28">
        <v>2600000</v>
      </c>
      <c r="H21" s="408" t="s">
        <v>1068</v>
      </c>
      <c r="I21" s="29" t="s">
        <v>889</v>
      </c>
      <c r="J21" s="26"/>
      <c r="K21" s="422">
        <v>18</v>
      </c>
      <c r="L21" s="132">
        <v>44862</v>
      </c>
      <c r="M21" s="133" t="s">
        <v>173</v>
      </c>
      <c r="N21" s="134">
        <v>4650000</v>
      </c>
      <c r="O21" s="195" t="s">
        <v>1243</v>
      </c>
    </row>
    <row r="22" spans="1:15">
      <c r="A22" s="32">
        <v>44859</v>
      </c>
      <c r="B22" s="29" t="s">
        <v>1073</v>
      </c>
      <c r="C22" s="27" t="s">
        <v>279</v>
      </c>
      <c r="D22" s="31">
        <v>6</v>
      </c>
      <c r="E22" s="31" t="s">
        <v>30</v>
      </c>
      <c r="F22" s="28">
        <v>850000</v>
      </c>
      <c r="G22" s="179">
        <v>5100000</v>
      </c>
      <c r="H22" s="184"/>
      <c r="I22" s="181"/>
      <c r="J22" s="26"/>
      <c r="K22" s="29"/>
      <c r="L22" s="25"/>
      <c r="M22" s="27"/>
      <c r="N22" s="28"/>
      <c r="O22" s="29"/>
    </row>
    <row r="23" spans="1:15">
      <c r="A23" s="29"/>
      <c r="B23" s="29" t="s">
        <v>1074</v>
      </c>
      <c r="C23" s="27" t="s">
        <v>279</v>
      </c>
      <c r="D23" s="31">
        <v>1</v>
      </c>
      <c r="E23" s="31" t="s">
        <v>30</v>
      </c>
      <c r="F23" s="28">
        <v>1150000</v>
      </c>
      <c r="G23" s="179">
        <v>1150000</v>
      </c>
      <c r="H23" s="185" t="s">
        <v>1181</v>
      </c>
      <c r="I23" s="181" t="s">
        <v>1240</v>
      </c>
      <c r="J23" s="26"/>
      <c r="K23" s="26"/>
      <c r="L23" s="34"/>
      <c r="M23" s="34"/>
      <c r="N23" s="26"/>
      <c r="O23" s="26"/>
    </row>
    <row r="24" spans="1:15" ht="15.75" thickBot="1">
      <c r="A24" s="29"/>
      <c r="B24" s="29" t="s">
        <v>1074</v>
      </c>
      <c r="C24" s="27" t="s">
        <v>279</v>
      </c>
      <c r="D24" s="31">
        <v>1</v>
      </c>
      <c r="E24" s="31" t="s">
        <v>30</v>
      </c>
      <c r="F24" s="28">
        <v>1100000</v>
      </c>
      <c r="G24" s="179">
        <v>1150000</v>
      </c>
      <c r="H24" s="350"/>
      <c r="I24" s="181"/>
      <c r="J24" s="26"/>
      <c r="K24" s="26"/>
      <c r="L24" s="34"/>
      <c r="M24" s="34"/>
      <c r="N24" s="35" t="s">
        <v>1238</v>
      </c>
      <c r="O24" s="26"/>
    </row>
    <row r="25" spans="1:15" ht="15.75" thickBot="1">
      <c r="A25" s="29"/>
      <c r="B25" s="29" t="s">
        <v>1075</v>
      </c>
      <c r="C25" s="27" t="s">
        <v>15</v>
      </c>
      <c r="D25" s="31">
        <v>100</v>
      </c>
      <c r="E25" s="31" t="s">
        <v>30</v>
      </c>
      <c r="F25" s="28">
        <v>14000</v>
      </c>
      <c r="G25" s="28">
        <v>1400000</v>
      </c>
      <c r="H25" s="408" t="s">
        <v>995</v>
      </c>
      <c r="I25" s="29" t="s">
        <v>1042</v>
      </c>
      <c r="J25" s="26"/>
      <c r="K25" s="26"/>
      <c r="L25" s="34"/>
      <c r="M25" s="34"/>
      <c r="N25" s="26"/>
      <c r="O25" s="26"/>
    </row>
    <row r="26" spans="1:15">
      <c r="A26" s="32">
        <v>44863</v>
      </c>
      <c r="B26" s="29" t="s">
        <v>1078</v>
      </c>
      <c r="C26" s="27" t="s">
        <v>307</v>
      </c>
      <c r="D26" s="31">
        <v>5</v>
      </c>
      <c r="E26" s="31" t="s">
        <v>30</v>
      </c>
      <c r="F26" s="28">
        <v>520000</v>
      </c>
      <c r="G26" s="179">
        <v>2600000</v>
      </c>
      <c r="H26" s="184"/>
      <c r="I26" s="181"/>
      <c r="J26" s="26"/>
      <c r="K26" s="26"/>
      <c r="L26" s="34"/>
      <c r="M26" s="34"/>
      <c r="N26" s="26"/>
      <c r="O26" s="26"/>
    </row>
    <row r="27" spans="1:15">
      <c r="A27" s="29"/>
      <c r="B27" s="29" t="s">
        <v>1083</v>
      </c>
      <c r="C27" s="27" t="s">
        <v>307</v>
      </c>
      <c r="D27" s="31">
        <v>5</v>
      </c>
      <c r="E27" s="31" t="s">
        <v>30</v>
      </c>
      <c r="F27" s="28">
        <v>520000</v>
      </c>
      <c r="G27" s="179">
        <v>2600000</v>
      </c>
      <c r="H27" s="185"/>
      <c r="I27" s="181"/>
      <c r="J27" s="26"/>
      <c r="K27" s="26"/>
      <c r="L27" s="34"/>
      <c r="M27" s="34"/>
      <c r="N27" s="26"/>
      <c r="O27" s="26"/>
    </row>
    <row r="28" spans="1:15">
      <c r="A28" s="29"/>
      <c r="B28" s="29" t="s">
        <v>1079</v>
      </c>
      <c r="C28" s="27" t="s">
        <v>307</v>
      </c>
      <c r="D28" s="31">
        <v>5</v>
      </c>
      <c r="E28" s="31" t="s">
        <v>30</v>
      </c>
      <c r="F28" s="28">
        <v>520000</v>
      </c>
      <c r="G28" s="179">
        <v>2600000</v>
      </c>
      <c r="H28" s="185"/>
      <c r="I28" s="181" t="s">
        <v>1042</v>
      </c>
      <c r="J28" s="26"/>
      <c r="K28" s="26"/>
      <c r="L28" s="34"/>
      <c r="M28" s="34"/>
      <c r="N28" s="26"/>
      <c r="O28" s="26"/>
    </row>
    <row r="29" spans="1:15">
      <c r="A29" s="29"/>
      <c r="B29" s="29" t="s">
        <v>1080</v>
      </c>
      <c r="C29" s="27" t="s">
        <v>307</v>
      </c>
      <c r="D29" s="31">
        <v>5</v>
      </c>
      <c r="E29" s="31" t="s">
        <v>30</v>
      </c>
      <c r="F29" s="28">
        <v>375000</v>
      </c>
      <c r="G29" s="179">
        <v>1875000</v>
      </c>
      <c r="H29" s="185" t="s">
        <v>1084</v>
      </c>
      <c r="I29" s="181"/>
      <c r="J29" s="26"/>
      <c r="K29" s="26"/>
      <c r="L29" s="34"/>
      <c r="M29" s="34"/>
      <c r="N29" s="26"/>
      <c r="O29" s="26"/>
    </row>
    <row r="30" spans="1:15">
      <c r="A30" s="29"/>
      <c r="B30" s="29" t="s">
        <v>1081</v>
      </c>
      <c r="C30" s="27" t="s">
        <v>307</v>
      </c>
      <c r="D30" s="31">
        <v>5</v>
      </c>
      <c r="E30" s="31" t="s">
        <v>30</v>
      </c>
      <c r="F30" s="28">
        <v>375000</v>
      </c>
      <c r="G30" s="179">
        <v>1875000</v>
      </c>
      <c r="H30" s="185"/>
      <c r="I30" s="181"/>
      <c r="J30" s="26"/>
      <c r="K30" s="26"/>
      <c r="L30" s="34"/>
      <c r="M30" s="34"/>
      <c r="N30" s="26"/>
      <c r="O30" s="26"/>
    </row>
    <row r="31" spans="1:15" ht="15.75" thickBot="1">
      <c r="A31" s="29"/>
      <c r="B31" s="29" t="s">
        <v>1082</v>
      </c>
      <c r="C31" s="27" t="s">
        <v>307</v>
      </c>
      <c r="D31" s="31">
        <v>5</v>
      </c>
      <c r="E31" s="31" t="s">
        <v>30</v>
      </c>
      <c r="F31" s="28">
        <v>375000</v>
      </c>
      <c r="G31" s="179">
        <v>1875000</v>
      </c>
      <c r="H31" s="350"/>
      <c r="I31" s="181"/>
      <c r="J31" s="26"/>
      <c r="L31" s="34"/>
      <c r="M31" s="34"/>
      <c r="N31" s="26"/>
    </row>
    <row r="32" spans="1:15">
      <c r="A32" s="29"/>
      <c r="B32" s="29"/>
      <c r="C32" s="27"/>
      <c r="D32" s="31"/>
      <c r="E32" s="31"/>
      <c r="F32" s="28"/>
      <c r="G32" s="28"/>
      <c r="H32" s="279"/>
      <c r="I32" s="29"/>
      <c r="J32" s="26"/>
      <c r="M32" s="5"/>
    </row>
    <row r="33" spans="1:13">
      <c r="A33" s="13"/>
      <c r="B33" s="13"/>
      <c r="C33" s="13"/>
      <c r="D33" s="13"/>
      <c r="E33" s="13"/>
      <c r="F33" s="15"/>
      <c r="G33" s="15"/>
      <c r="H33" s="15"/>
      <c r="I33" s="13"/>
      <c r="M33" s="5"/>
    </row>
    <row r="34" spans="1:13">
      <c r="A34" s="13"/>
      <c r="B34" s="13"/>
      <c r="C34" s="13"/>
      <c r="D34" s="13"/>
      <c r="E34" s="13"/>
      <c r="F34" s="15"/>
      <c r="G34" s="15"/>
      <c r="H34" s="15"/>
      <c r="I34" s="13"/>
      <c r="M34" s="5"/>
    </row>
    <row r="35" spans="1:13">
      <c r="A35" s="13"/>
      <c r="B35" s="13"/>
      <c r="C35" s="13"/>
      <c r="D35" s="13"/>
      <c r="E35" s="13"/>
      <c r="F35" s="15"/>
      <c r="G35" s="15"/>
      <c r="H35" s="15"/>
      <c r="I35" s="13"/>
      <c r="M35" s="5"/>
    </row>
    <row r="36" spans="1:13">
      <c r="A36" s="13"/>
      <c r="B36" s="13"/>
      <c r="C36" s="13"/>
      <c r="D36" s="13"/>
      <c r="E36" s="13"/>
      <c r="F36" s="15"/>
      <c r="G36" s="15"/>
      <c r="H36" s="15"/>
      <c r="I36" s="13"/>
      <c r="M36" s="5"/>
    </row>
    <row r="37" spans="1:13">
      <c r="A37" s="13"/>
      <c r="B37" s="13"/>
      <c r="C37" s="13"/>
      <c r="D37" s="13"/>
      <c r="E37" s="13"/>
      <c r="F37" s="15"/>
      <c r="G37" s="15"/>
      <c r="H37" s="15"/>
      <c r="I37" s="13"/>
      <c r="M37" s="5"/>
    </row>
    <row r="38" spans="1:13">
      <c r="A38" s="13"/>
      <c r="B38" s="13"/>
      <c r="C38" s="13"/>
      <c r="D38" s="13"/>
      <c r="E38" s="13"/>
      <c r="F38" s="15"/>
      <c r="G38" s="15"/>
      <c r="H38" s="15"/>
      <c r="I38" s="13"/>
      <c r="M38" s="5"/>
    </row>
    <row r="39" spans="1:13">
      <c r="A39" s="13"/>
      <c r="B39" s="13"/>
      <c r="C39" s="13"/>
      <c r="D39" s="13"/>
      <c r="E39" s="13"/>
      <c r="F39" s="15"/>
      <c r="G39" s="15"/>
      <c r="H39" s="15"/>
      <c r="I39" s="13"/>
      <c r="M39" s="5"/>
    </row>
    <row r="40" spans="1:13">
      <c r="A40" s="13"/>
      <c r="B40" s="13"/>
      <c r="C40" s="13"/>
      <c r="D40" s="13"/>
      <c r="E40" s="13"/>
      <c r="F40" s="15"/>
      <c r="G40" s="15"/>
      <c r="H40" s="15"/>
      <c r="I40" s="13"/>
      <c r="M40" s="5"/>
    </row>
    <row r="41" spans="1:13">
      <c r="A41" s="13"/>
      <c r="B41" s="13"/>
      <c r="C41" s="13"/>
      <c r="D41" s="13"/>
      <c r="E41" s="13"/>
      <c r="F41" s="15"/>
      <c r="G41" s="15"/>
      <c r="H41" s="15"/>
      <c r="I41" s="13"/>
      <c r="M41" s="5"/>
    </row>
    <row r="42" spans="1:13">
      <c r="A42" s="13"/>
      <c r="B42" s="13"/>
      <c r="C42" s="13"/>
      <c r="D42" s="13"/>
      <c r="E42" s="13"/>
      <c r="F42" s="15"/>
      <c r="G42" s="15"/>
      <c r="H42" s="15"/>
      <c r="I42" s="13"/>
      <c r="M42" s="5"/>
    </row>
    <row r="43" spans="1:13">
      <c r="A43" s="13"/>
      <c r="B43" s="13"/>
      <c r="C43" s="13"/>
      <c r="D43" s="13"/>
      <c r="E43" s="13"/>
      <c r="F43" s="15"/>
      <c r="G43" s="15"/>
      <c r="H43" s="15"/>
      <c r="I43" s="13"/>
      <c r="M43" s="5"/>
    </row>
    <row r="44" spans="1:13">
      <c r="A44" s="13"/>
      <c r="B44" s="13"/>
      <c r="C44" s="13"/>
      <c r="D44" s="13"/>
      <c r="E44" s="13"/>
      <c r="F44" s="15"/>
      <c r="G44" s="15"/>
      <c r="H44" s="15"/>
      <c r="I44" s="13"/>
      <c r="M44" s="5"/>
    </row>
    <row r="45" spans="1:13">
      <c r="A45" s="13"/>
      <c r="B45" s="13"/>
      <c r="C45" s="13"/>
      <c r="D45" s="13"/>
      <c r="E45" s="13"/>
      <c r="F45" s="13"/>
      <c r="G45" s="13"/>
      <c r="H45" s="13"/>
      <c r="I45" s="13"/>
      <c r="M45" s="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O79"/>
  <sheetViews>
    <sheetView topLeftCell="C1" workbookViewId="0">
      <selection activeCell="L4" sqref="L4"/>
    </sheetView>
  </sheetViews>
  <sheetFormatPr defaultRowHeight="15"/>
  <cols>
    <col min="1" max="1" width="7.85546875" customWidth="1"/>
    <col min="2" max="2" width="40.85546875" customWidth="1"/>
    <col min="3" max="3" width="11.42578125" customWidth="1"/>
    <col min="4" max="4" width="7.28515625" customWidth="1"/>
    <col min="6" max="7" width="16" customWidth="1"/>
    <col min="8" max="8" width="16.42578125" customWidth="1"/>
    <col min="9" max="9" width="14.5703125" customWidth="1"/>
    <col min="11" max="11" width="7.28515625" customWidth="1"/>
    <col min="13" max="13" width="13.28515625" customWidth="1"/>
    <col min="14" max="14" width="17.7109375" customWidth="1"/>
    <col min="15" max="15" width="15.28515625" customWidth="1"/>
  </cols>
  <sheetData>
    <row r="1" spans="1:15">
      <c r="A1" s="1" t="s">
        <v>0</v>
      </c>
      <c r="C1" s="2"/>
      <c r="D1" s="2"/>
      <c r="E1" s="2"/>
      <c r="F1" s="3"/>
      <c r="G1" s="3"/>
      <c r="H1" s="3"/>
      <c r="K1" s="4" t="s">
        <v>160</v>
      </c>
      <c r="L1" s="5"/>
      <c r="M1" s="5"/>
      <c r="N1" s="3"/>
    </row>
    <row r="2" spans="1:15" ht="45.75" thickBot="1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9" t="s">
        <v>7</v>
      </c>
      <c r="H2" s="176" t="s">
        <v>8</v>
      </c>
      <c r="I2" s="7" t="s">
        <v>9</v>
      </c>
      <c r="K2" s="10" t="s">
        <v>10</v>
      </c>
      <c r="L2" s="11" t="s">
        <v>11</v>
      </c>
      <c r="M2" s="6" t="s">
        <v>12</v>
      </c>
      <c r="N2" s="9" t="s">
        <v>13</v>
      </c>
      <c r="O2" s="7" t="s">
        <v>9</v>
      </c>
    </row>
    <row r="3" spans="1:15">
      <c r="A3" s="12">
        <v>44866</v>
      </c>
      <c r="B3" s="13" t="s">
        <v>1088</v>
      </c>
      <c r="C3" s="14" t="s">
        <v>638</v>
      </c>
      <c r="D3" s="14">
        <v>1</v>
      </c>
      <c r="E3" s="14" t="s">
        <v>30</v>
      </c>
      <c r="F3" s="15">
        <v>900000</v>
      </c>
      <c r="G3" s="77">
        <v>900000</v>
      </c>
      <c r="H3" s="177" t="s">
        <v>1090</v>
      </c>
      <c r="I3" s="175" t="s">
        <v>889</v>
      </c>
      <c r="J3" s="17"/>
      <c r="K3" s="332">
        <v>1</v>
      </c>
      <c r="L3" s="340">
        <v>44792</v>
      </c>
      <c r="M3" s="341" t="s">
        <v>15</v>
      </c>
      <c r="N3" s="342">
        <v>20635000</v>
      </c>
      <c r="O3" s="343" t="s">
        <v>1245</v>
      </c>
    </row>
    <row r="4" spans="1:15" ht="15.75" thickBot="1">
      <c r="A4" s="13"/>
      <c r="B4" s="13" t="s">
        <v>1089</v>
      </c>
      <c r="C4" s="14" t="s">
        <v>638</v>
      </c>
      <c r="D4" s="14">
        <v>2</v>
      </c>
      <c r="E4" s="14" t="s">
        <v>30</v>
      </c>
      <c r="F4" s="15">
        <v>1150000</v>
      </c>
      <c r="G4" s="77">
        <v>2300000</v>
      </c>
      <c r="H4" s="178"/>
      <c r="I4" s="175"/>
      <c r="J4" s="19"/>
      <c r="K4" s="289">
        <v>2</v>
      </c>
      <c r="L4" s="403">
        <v>44838</v>
      </c>
      <c r="M4" s="404" t="s">
        <v>16</v>
      </c>
      <c r="N4" s="404" t="s">
        <v>1041</v>
      </c>
      <c r="O4" s="404" t="s">
        <v>1245</v>
      </c>
    </row>
    <row r="5" spans="1:15">
      <c r="A5" s="12">
        <v>44869</v>
      </c>
      <c r="B5" s="13" t="s">
        <v>1091</v>
      </c>
      <c r="C5" s="14" t="s">
        <v>15</v>
      </c>
      <c r="D5" s="14">
        <v>5</v>
      </c>
      <c r="E5" s="14" t="s">
        <v>30</v>
      </c>
      <c r="F5" s="15">
        <v>135000</v>
      </c>
      <c r="G5" s="77">
        <v>675000</v>
      </c>
      <c r="H5" s="177"/>
      <c r="I5" s="175"/>
      <c r="J5" s="23"/>
      <c r="K5" s="234">
        <v>4</v>
      </c>
      <c r="L5" s="235">
        <v>44849</v>
      </c>
      <c r="M5" s="236" t="s">
        <v>17</v>
      </c>
      <c r="N5" s="237">
        <v>2200000</v>
      </c>
      <c r="O5" s="405" t="s">
        <v>1245</v>
      </c>
    </row>
    <row r="6" spans="1:15">
      <c r="A6" s="13"/>
      <c r="B6" s="13" t="s">
        <v>1092</v>
      </c>
      <c r="C6" s="14" t="s">
        <v>15</v>
      </c>
      <c r="D6" s="14">
        <v>5</v>
      </c>
      <c r="E6" s="14" t="s">
        <v>30</v>
      </c>
      <c r="F6" s="15">
        <v>165000</v>
      </c>
      <c r="G6" s="77">
        <v>725000</v>
      </c>
      <c r="H6" s="178"/>
      <c r="I6" s="175"/>
      <c r="J6" s="26"/>
      <c r="K6" s="251">
        <v>5</v>
      </c>
      <c r="L6" s="253">
        <v>44863</v>
      </c>
      <c r="M6" s="254" t="s">
        <v>307</v>
      </c>
      <c r="N6" s="194">
        <v>13425000</v>
      </c>
      <c r="O6" s="114" t="s">
        <v>1245</v>
      </c>
    </row>
    <row r="7" spans="1:15">
      <c r="A7" s="13"/>
      <c r="B7" s="13" t="s">
        <v>1093</v>
      </c>
      <c r="C7" s="14" t="s">
        <v>15</v>
      </c>
      <c r="D7" s="14">
        <v>5</v>
      </c>
      <c r="E7" s="14" t="s">
        <v>30</v>
      </c>
      <c r="F7" s="15">
        <v>95000</v>
      </c>
      <c r="G7" s="77">
        <v>475000</v>
      </c>
      <c r="H7" s="178"/>
      <c r="I7" s="175"/>
      <c r="J7" s="26"/>
      <c r="K7" s="415">
        <v>6</v>
      </c>
      <c r="L7" s="416">
        <v>44854</v>
      </c>
      <c r="M7" s="417" t="s">
        <v>17</v>
      </c>
      <c r="N7" s="418">
        <v>4450000</v>
      </c>
      <c r="O7" s="419" t="s">
        <v>1245</v>
      </c>
    </row>
    <row r="8" spans="1:15">
      <c r="A8" s="12"/>
      <c r="B8" s="13" t="s">
        <v>1094</v>
      </c>
      <c r="C8" s="14" t="s">
        <v>15</v>
      </c>
      <c r="D8" s="14">
        <v>3</v>
      </c>
      <c r="E8" s="14" t="s">
        <v>30</v>
      </c>
      <c r="F8" s="15">
        <v>130000</v>
      </c>
      <c r="G8" s="77">
        <v>390000</v>
      </c>
      <c r="H8" s="178"/>
      <c r="I8" s="175"/>
      <c r="J8" s="26"/>
      <c r="K8" s="422">
        <v>7</v>
      </c>
      <c r="L8" s="132">
        <v>44859</v>
      </c>
      <c r="M8" s="133" t="s">
        <v>279</v>
      </c>
      <c r="N8" s="134">
        <v>2300000</v>
      </c>
      <c r="O8" s="195" t="s">
        <v>1245</v>
      </c>
    </row>
    <row r="9" spans="1:15">
      <c r="A9" s="13"/>
      <c r="B9" s="13" t="s">
        <v>1095</v>
      </c>
      <c r="C9" s="14" t="s">
        <v>15</v>
      </c>
      <c r="D9" s="14">
        <v>10</v>
      </c>
      <c r="E9" s="14" t="s">
        <v>30</v>
      </c>
      <c r="F9" s="15">
        <v>85000</v>
      </c>
      <c r="G9" s="77">
        <v>850000</v>
      </c>
      <c r="H9" s="178" t="s">
        <v>1103</v>
      </c>
      <c r="I9" s="175" t="s">
        <v>44</v>
      </c>
      <c r="J9" s="26"/>
      <c r="K9" s="364">
        <v>8</v>
      </c>
      <c r="L9" s="115">
        <v>44859</v>
      </c>
      <c r="M9" s="116" t="s">
        <v>15</v>
      </c>
      <c r="N9" s="117">
        <v>1400000</v>
      </c>
      <c r="O9" s="365" t="s">
        <v>1245</v>
      </c>
    </row>
    <row r="10" spans="1:15">
      <c r="A10" s="29"/>
      <c r="B10" s="29" t="s">
        <v>1096</v>
      </c>
      <c r="C10" s="14" t="s">
        <v>15</v>
      </c>
      <c r="D10" s="31">
        <v>5</v>
      </c>
      <c r="E10" s="14" t="s">
        <v>30</v>
      </c>
      <c r="F10" s="15">
        <v>85000</v>
      </c>
      <c r="G10" s="77">
        <v>425000</v>
      </c>
      <c r="H10" s="178"/>
      <c r="I10" s="175"/>
      <c r="J10" s="26"/>
      <c r="K10" s="360">
        <v>9</v>
      </c>
      <c r="L10" s="118">
        <v>44876</v>
      </c>
      <c r="M10" s="119" t="s">
        <v>83</v>
      </c>
      <c r="N10" s="120">
        <v>6000000</v>
      </c>
      <c r="O10" s="266" t="s">
        <v>1252</v>
      </c>
    </row>
    <row r="11" spans="1:15">
      <c r="A11" s="29"/>
      <c r="B11" s="29" t="s">
        <v>1097</v>
      </c>
      <c r="C11" s="14" t="s">
        <v>15</v>
      </c>
      <c r="D11" s="31">
        <v>5</v>
      </c>
      <c r="E11" s="14" t="s">
        <v>30</v>
      </c>
      <c r="F11" s="15">
        <v>85000</v>
      </c>
      <c r="G11" s="77">
        <v>425000</v>
      </c>
      <c r="H11" s="178"/>
      <c r="I11" s="175"/>
      <c r="J11" s="26"/>
      <c r="K11" s="360">
        <v>10</v>
      </c>
      <c r="L11" s="118">
        <v>44877</v>
      </c>
      <c r="M11" s="119" t="s">
        <v>83</v>
      </c>
      <c r="N11" s="120">
        <v>8450000</v>
      </c>
      <c r="O11" s="266" t="s">
        <v>1252</v>
      </c>
    </row>
    <row r="12" spans="1:15">
      <c r="A12" s="29"/>
      <c r="B12" s="29" t="s">
        <v>492</v>
      </c>
      <c r="C12" s="14" t="s">
        <v>15</v>
      </c>
      <c r="D12" s="31">
        <v>10</v>
      </c>
      <c r="E12" s="14" t="s">
        <v>30</v>
      </c>
      <c r="F12" s="28">
        <v>45000</v>
      </c>
      <c r="G12" s="179">
        <v>450000</v>
      </c>
      <c r="H12" s="178"/>
      <c r="I12" s="175"/>
      <c r="J12" s="26"/>
      <c r="K12" s="360">
        <v>11</v>
      </c>
      <c r="L12" s="118">
        <v>44890</v>
      </c>
      <c r="M12" s="119" t="s">
        <v>83</v>
      </c>
      <c r="N12" s="120">
        <v>4250000</v>
      </c>
      <c r="O12" s="266" t="s">
        <v>1252</v>
      </c>
    </row>
    <row r="13" spans="1:15">
      <c r="A13" s="32"/>
      <c r="B13" s="29" t="s">
        <v>1098</v>
      </c>
      <c r="C13" s="27" t="s">
        <v>15</v>
      </c>
      <c r="D13" s="31">
        <v>3</v>
      </c>
      <c r="E13" s="31" t="s">
        <v>30</v>
      </c>
      <c r="F13" s="28">
        <v>45000</v>
      </c>
      <c r="G13" s="179">
        <v>135000</v>
      </c>
      <c r="H13" s="185"/>
      <c r="I13" s="180"/>
      <c r="J13" s="26"/>
      <c r="K13" s="360">
        <v>12</v>
      </c>
      <c r="L13" s="118">
        <v>44891</v>
      </c>
      <c r="M13" s="119" t="s">
        <v>83</v>
      </c>
      <c r="N13" s="120">
        <v>1550000</v>
      </c>
      <c r="O13" s="266" t="s">
        <v>1252</v>
      </c>
    </row>
    <row r="14" spans="1:15">
      <c r="A14" s="29"/>
      <c r="B14" s="29" t="s">
        <v>1099</v>
      </c>
      <c r="C14" s="27" t="s">
        <v>15</v>
      </c>
      <c r="D14" s="31">
        <v>10</v>
      </c>
      <c r="E14" s="31" t="s">
        <v>30</v>
      </c>
      <c r="F14" s="28">
        <v>420000</v>
      </c>
      <c r="G14" s="179">
        <v>4200000</v>
      </c>
      <c r="H14" s="185"/>
      <c r="I14" s="181"/>
      <c r="J14" s="26"/>
      <c r="K14" s="440">
        <v>13</v>
      </c>
      <c r="L14" s="441">
        <v>44921</v>
      </c>
      <c r="M14" s="442" t="s">
        <v>1177</v>
      </c>
      <c r="N14" s="443">
        <v>7800000</v>
      </c>
      <c r="O14" s="444" t="s">
        <v>1258</v>
      </c>
    </row>
    <row r="15" spans="1:15">
      <c r="A15" s="29"/>
      <c r="B15" s="29" t="s">
        <v>1100</v>
      </c>
      <c r="C15" s="27" t="s">
        <v>15</v>
      </c>
      <c r="D15" s="31">
        <v>5</v>
      </c>
      <c r="E15" s="31" t="s">
        <v>30</v>
      </c>
      <c r="F15" s="28">
        <v>420000</v>
      </c>
      <c r="G15" s="179">
        <v>2100000</v>
      </c>
      <c r="H15" s="185"/>
      <c r="I15" s="181"/>
      <c r="J15" s="26"/>
      <c r="K15" s="440">
        <v>14</v>
      </c>
      <c r="L15" s="445">
        <v>44925</v>
      </c>
      <c r="M15" s="446" t="s">
        <v>1177</v>
      </c>
      <c r="N15" s="443">
        <v>11000000</v>
      </c>
      <c r="O15" s="447" t="s">
        <v>1258</v>
      </c>
    </row>
    <row r="16" spans="1:15">
      <c r="A16" s="29"/>
      <c r="B16" s="29" t="s">
        <v>1101</v>
      </c>
      <c r="C16" s="27" t="s">
        <v>15</v>
      </c>
      <c r="D16" s="31">
        <v>3</v>
      </c>
      <c r="E16" s="31" t="s">
        <v>30</v>
      </c>
      <c r="F16" s="28">
        <v>120000</v>
      </c>
      <c r="G16" s="179">
        <v>360000</v>
      </c>
      <c r="H16" s="185"/>
      <c r="I16" s="181"/>
      <c r="J16" s="26"/>
      <c r="K16" s="312">
        <v>15</v>
      </c>
      <c r="L16" s="283">
        <v>44939</v>
      </c>
      <c r="M16" s="284" t="s">
        <v>1241</v>
      </c>
      <c r="N16" s="285">
        <v>1550000</v>
      </c>
      <c r="O16" s="314" t="s">
        <v>1256</v>
      </c>
    </row>
    <row r="17" spans="1:15">
      <c r="A17" s="29"/>
      <c r="B17" s="29" t="s">
        <v>1102</v>
      </c>
      <c r="C17" s="27" t="s">
        <v>15</v>
      </c>
      <c r="D17" s="31">
        <v>5</v>
      </c>
      <c r="E17" s="31" t="s">
        <v>30</v>
      </c>
      <c r="F17" s="28">
        <v>120000</v>
      </c>
      <c r="G17" s="179">
        <v>600000</v>
      </c>
      <c r="H17" s="185"/>
      <c r="I17" s="181"/>
      <c r="J17" s="26"/>
      <c r="K17" s="251">
        <v>16</v>
      </c>
      <c r="L17" s="253">
        <v>44943</v>
      </c>
      <c r="M17" s="254" t="s">
        <v>1032</v>
      </c>
      <c r="N17" s="194">
        <v>1600000</v>
      </c>
      <c r="O17" s="334" t="s">
        <v>1259</v>
      </c>
    </row>
    <row r="18" spans="1:15" ht="15.75" thickBot="1">
      <c r="A18" s="29"/>
      <c r="B18" s="29" t="s">
        <v>758</v>
      </c>
      <c r="C18" s="27" t="s">
        <v>15</v>
      </c>
      <c r="D18" s="31">
        <v>3</v>
      </c>
      <c r="E18" s="31" t="s">
        <v>30</v>
      </c>
      <c r="F18" s="28">
        <v>120000</v>
      </c>
      <c r="G18" s="179">
        <v>360000</v>
      </c>
      <c r="H18" s="350"/>
      <c r="I18" s="181"/>
      <c r="J18" s="26"/>
      <c r="K18" s="20">
        <v>17</v>
      </c>
      <c r="L18" s="25"/>
      <c r="M18" s="27"/>
      <c r="N18" s="28"/>
      <c r="O18" s="38"/>
    </row>
    <row r="19" spans="1:15" ht="15.75" thickBot="1">
      <c r="A19" s="32">
        <v>44876</v>
      </c>
      <c r="B19" s="29" t="s">
        <v>1104</v>
      </c>
      <c r="C19" s="27" t="s">
        <v>83</v>
      </c>
      <c r="D19" s="31">
        <v>5</v>
      </c>
      <c r="E19" s="31" t="s">
        <v>30</v>
      </c>
      <c r="F19" s="28">
        <v>1200000</v>
      </c>
      <c r="G19" s="179">
        <v>6000000</v>
      </c>
      <c r="H19" s="184" t="s">
        <v>1105</v>
      </c>
      <c r="I19" s="181" t="s">
        <v>1042</v>
      </c>
      <c r="J19" s="26"/>
      <c r="K19" s="29"/>
      <c r="L19" s="25"/>
      <c r="M19" s="27"/>
      <c r="N19" s="28"/>
      <c r="O19" s="29"/>
    </row>
    <row r="20" spans="1:15">
      <c r="A20" s="32">
        <v>44876</v>
      </c>
      <c r="B20" s="29" t="s">
        <v>1106</v>
      </c>
      <c r="C20" s="27" t="s">
        <v>16</v>
      </c>
      <c r="D20" s="31">
        <v>1</v>
      </c>
      <c r="E20" s="31" t="s">
        <v>49</v>
      </c>
      <c r="F20" s="28">
        <v>5550000</v>
      </c>
      <c r="G20" s="179">
        <v>5550000</v>
      </c>
      <c r="H20" s="184"/>
      <c r="I20" s="181" t="s">
        <v>44</v>
      </c>
      <c r="J20" s="26"/>
      <c r="K20" s="26"/>
      <c r="L20" s="34"/>
      <c r="M20" s="34"/>
      <c r="N20" s="26"/>
      <c r="O20" s="26"/>
    </row>
    <row r="21" spans="1:15" ht="15.75" thickBot="1">
      <c r="A21" s="29"/>
      <c r="B21" s="29" t="s">
        <v>1107</v>
      </c>
      <c r="C21" s="27" t="s">
        <v>16</v>
      </c>
      <c r="D21" s="31">
        <v>2</v>
      </c>
      <c r="E21" s="31" t="s">
        <v>49</v>
      </c>
      <c r="F21" s="28">
        <v>1110000</v>
      </c>
      <c r="G21" s="179">
        <v>2220000</v>
      </c>
      <c r="H21" s="185" t="s">
        <v>1108</v>
      </c>
      <c r="I21" s="181"/>
      <c r="J21" s="26"/>
      <c r="K21" s="26"/>
      <c r="L21" s="34"/>
      <c r="M21" s="34"/>
      <c r="N21" s="35" t="s">
        <v>1253</v>
      </c>
      <c r="O21" s="26"/>
    </row>
    <row r="22" spans="1:15">
      <c r="A22" s="32">
        <v>44877</v>
      </c>
      <c r="B22" s="29" t="s">
        <v>1109</v>
      </c>
      <c r="C22" s="27" t="s">
        <v>83</v>
      </c>
      <c r="D22" s="31">
        <v>15</v>
      </c>
      <c r="E22" s="31" t="s">
        <v>30</v>
      </c>
      <c r="F22" s="28">
        <v>250000</v>
      </c>
      <c r="G22" s="179">
        <v>3750000</v>
      </c>
      <c r="H22" s="184"/>
      <c r="I22" s="181"/>
      <c r="J22" s="26"/>
      <c r="K22" s="26"/>
      <c r="L22" s="34"/>
      <c r="M22" s="34"/>
      <c r="N22" s="26"/>
      <c r="O22" s="26"/>
    </row>
    <row r="23" spans="1:15">
      <c r="A23" s="29"/>
      <c r="B23" s="29" t="s">
        <v>1110</v>
      </c>
      <c r="C23" s="27" t="s">
        <v>83</v>
      </c>
      <c r="D23" s="31">
        <v>10</v>
      </c>
      <c r="E23" s="31" t="s">
        <v>30</v>
      </c>
      <c r="F23" s="28">
        <v>220000</v>
      </c>
      <c r="G23" s="179">
        <v>2200000</v>
      </c>
      <c r="H23" s="185" t="s">
        <v>1112</v>
      </c>
      <c r="I23" s="181" t="s">
        <v>1042</v>
      </c>
      <c r="J23" s="26"/>
      <c r="K23" s="26"/>
      <c r="L23" s="34"/>
      <c r="M23" s="34"/>
      <c r="N23" s="26"/>
      <c r="O23" s="26"/>
    </row>
    <row r="24" spans="1:15" ht="15.75" thickBot="1">
      <c r="A24" s="29"/>
      <c r="B24" s="29" t="s">
        <v>1111</v>
      </c>
      <c r="C24" s="27" t="s">
        <v>83</v>
      </c>
      <c r="D24" s="31">
        <v>2</v>
      </c>
      <c r="E24" s="31" t="s">
        <v>30</v>
      </c>
      <c r="F24" s="28">
        <v>1250000</v>
      </c>
      <c r="G24" s="179">
        <v>2500000</v>
      </c>
      <c r="H24" s="185"/>
      <c r="I24" s="181"/>
      <c r="J24" s="26"/>
      <c r="K24" s="26"/>
      <c r="L24" s="34"/>
      <c r="M24" s="34"/>
      <c r="N24" s="26"/>
      <c r="O24" s="26"/>
    </row>
    <row r="25" spans="1:15">
      <c r="A25" s="32">
        <v>44879</v>
      </c>
      <c r="B25" s="29" t="s">
        <v>759</v>
      </c>
      <c r="C25" s="27" t="s">
        <v>15</v>
      </c>
      <c r="D25" s="31">
        <v>15</v>
      </c>
      <c r="E25" s="31" t="s">
        <v>30</v>
      </c>
      <c r="F25" s="28">
        <v>120000</v>
      </c>
      <c r="G25" s="179">
        <v>1800000</v>
      </c>
      <c r="H25" s="184"/>
      <c r="I25" s="181" t="s">
        <v>44</v>
      </c>
      <c r="J25" s="26"/>
      <c r="K25" s="26"/>
      <c r="L25" s="34"/>
      <c r="M25" s="34"/>
      <c r="N25" s="26"/>
      <c r="O25" s="26"/>
    </row>
    <row r="26" spans="1:15" ht="15.75" thickBot="1">
      <c r="A26" s="29"/>
      <c r="B26" s="29" t="s">
        <v>758</v>
      </c>
      <c r="C26" s="27" t="s">
        <v>15</v>
      </c>
      <c r="D26" s="31">
        <v>7</v>
      </c>
      <c r="E26" s="31" t="s">
        <v>30</v>
      </c>
      <c r="F26" s="28">
        <v>120000</v>
      </c>
      <c r="G26" s="179">
        <v>840000</v>
      </c>
      <c r="H26" s="185" t="s">
        <v>760</v>
      </c>
      <c r="I26" s="181"/>
      <c r="J26" s="26"/>
      <c r="K26" s="26"/>
      <c r="L26" s="34"/>
      <c r="M26" s="34"/>
      <c r="N26" s="26"/>
      <c r="O26" s="26"/>
    </row>
    <row r="27" spans="1:15">
      <c r="A27" s="32">
        <v>44882</v>
      </c>
      <c r="B27" s="29" t="s">
        <v>1113</v>
      </c>
      <c r="C27" s="27" t="s">
        <v>15</v>
      </c>
      <c r="D27" s="31">
        <v>3</v>
      </c>
      <c r="E27" s="31" t="s">
        <v>30</v>
      </c>
      <c r="F27" s="28">
        <v>330000</v>
      </c>
      <c r="G27" s="179">
        <v>990000</v>
      </c>
      <c r="H27" s="184"/>
      <c r="I27" s="439">
        <f>NOVEMBER!H48</f>
        <v>0</v>
      </c>
      <c r="J27" s="26"/>
      <c r="K27" s="26"/>
      <c r="L27" s="34"/>
      <c r="M27" s="34"/>
      <c r="N27" s="26"/>
      <c r="O27" s="26"/>
    </row>
    <row r="28" spans="1:15">
      <c r="A28" s="29"/>
      <c r="B28" s="29" t="s">
        <v>662</v>
      </c>
      <c r="C28" s="27" t="s">
        <v>15</v>
      </c>
      <c r="D28" s="31">
        <v>16</v>
      </c>
      <c r="E28" s="31" t="s">
        <v>30</v>
      </c>
      <c r="F28" s="28">
        <v>45000</v>
      </c>
      <c r="G28" s="179">
        <v>720000</v>
      </c>
      <c r="H28" s="185"/>
      <c r="I28" s="181" t="s">
        <v>44</v>
      </c>
      <c r="J28" s="26"/>
      <c r="L28" s="34"/>
      <c r="M28" s="34"/>
      <c r="N28" s="26"/>
    </row>
    <row r="29" spans="1:15">
      <c r="A29" s="29"/>
      <c r="B29" s="29" t="s">
        <v>1114</v>
      </c>
      <c r="C29" s="27" t="s">
        <v>15</v>
      </c>
      <c r="D29" s="31">
        <v>10</v>
      </c>
      <c r="E29" s="31" t="s">
        <v>30</v>
      </c>
      <c r="F29" s="28">
        <v>85000</v>
      </c>
      <c r="G29" s="179">
        <v>850000</v>
      </c>
      <c r="H29" s="185" t="s">
        <v>1117</v>
      </c>
      <c r="I29" s="181"/>
      <c r="J29" s="26"/>
      <c r="M29" s="5"/>
    </row>
    <row r="30" spans="1:15">
      <c r="A30" s="29"/>
      <c r="B30" s="29" t="s">
        <v>1115</v>
      </c>
      <c r="C30" s="27" t="s">
        <v>15</v>
      </c>
      <c r="D30" s="31">
        <v>5</v>
      </c>
      <c r="E30" s="31" t="s">
        <v>30</v>
      </c>
      <c r="F30" s="28">
        <v>85000</v>
      </c>
      <c r="G30" s="179">
        <v>425000</v>
      </c>
      <c r="H30" s="185"/>
      <c r="I30" s="181"/>
      <c r="J30" s="26"/>
      <c r="M30" s="5"/>
    </row>
    <row r="31" spans="1:15" ht="15.75" thickBot="1">
      <c r="A31" s="29"/>
      <c r="B31" s="29" t="s">
        <v>1116</v>
      </c>
      <c r="C31" s="27" t="s">
        <v>15</v>
      </c>
      <c r="D31" s="31">
        <v>4</v>
      </c>
      <c r="E31" s="31" t="s">
        <v>30</v>
      </c>
      <c r="F31" s="28">
        <v>85000</v>
      </c>
      <c r="G31" s="179">
        <v>340000</v>
      </c>
      <c r="H31" s="185"/>
      <c r="I31" s="181"/>
      <c r="J31" s="26"/>
      <c r="M31" s="5"/>
    </row>
    <row r="32" spans="1:15">
      <c r="A32" s="12">
        <v>44886</v>
      </c>
      <c r="B32" s="13" t="s">
        <v>1121</v>
      </c>
      <c r="C32" s="13" t="s">
        <v>83</v>
      </c>
      <c r="D32" s="13">
        <v>1</v>
      </c>
      <c r="E32" s="13" t="s">
        <v>30</v>
      </c>
      <c r="F32" s="15">
        <v>520000</v>
      </c>
      <c r="G32" s="77">
        <v>520000</v>
      </c>
      <c r="H32" s="187"/>
      <c r="I32" s="182" t="s">
        <v>1126</v>
      </c>
      <c r="M32" s="5"/>
    </row>
    <row r="33" spans="1:13">
      <c r="A33" s="13"/>
      <c r="B33" s="13" t="s">
        <v>1122</v>
      </c>
      <c r="C33" s="13" t="s">
        <v>83</v>
      </c>
      <c r="D33" s="13">
        <v>4</v>
      </c>
      <c r="E33" s="13" t="s">
        <v>30</v>
      </c>
      <c r="F33" s="15">
        <v>520000</v>
      </c>
      <c r="G33" s="77">
        <v>2080000</v>
      </c>
      <c r="H33" s="186"/>
      <c r="I33" s="182"/>
      <c r="M33" s="5"/>
    </row>
    <row r="34" spans="1:13">
      <c r="A34" s="13"/>
      <c r="B34" s="13" t="s">
        <v>1123</v>
      </c>
      <c r="C34" s="13" t="s">
        <v>83</v>
      </c>
      <c r="D34" s="13">
        <v>2</v>
      </c>
      <c r="E34" s="13" t="s">
        <v>30</v>
      </c>
      <c r="F34" s="15">
        <v>520000</v>
      </c>
      <c r="G34" s="77">
        <v>1040000</v>
      </c>
      <c r="H34" s="186" t="s">
        <v>1125</v>
      </c>
      <c r="I34" s="182"/>
      <c r="M34" s="5"/>
    </row>
    <row r="35" spans="1:13" ht="15.75" thickBot="1">
      <c r="A35" s="13"/>
      <c r="B35" s="13" t="s">
        <v>1124</v>
      </c>
      <c r="C35" s="13" t="s">
        <v>83</v>
      </c>
      <c r="D35" s="13">
        <v>2</v>
      </c>
      <c r="E35" s="13" t="s">
        <v>30</v>
      </c>
      <c r="F35" s="15">
        <v>520000</v>
      </c>
      <c r="G35" s="77">
        <v>1040000</v>
      </c>
      <c r="H35" s="186"/>
      <c r="I35" s="182"/>
      <c r="M35" s="5"/>
    </row>
    <row r="36" spans="1:13">
      <c r="A36" s="12">
        <v>44886</v>
      </c>
      <c r="B36" s="13" t="s">
        <v>1127</v>
      </c>
      <c r="C36" s="13" t="s">
        <v>140</v>
      </c>
      <c r="D36" s="13">
        <v>2</v>
      </c>
      <c r="E36" s="13" t="s">
        <v>30</v>
      </c>
      <c r="F36" s="15">
        <v>2100000</v>
      </c>
      <c r="G36" s="77">
        <v>4200000</v>
      </c>
      <c r="H36" s="187"/>
      <c r="I36" s="182"/>
      <c r="M36" s="5"/>
    </row>
    <row r="37" spans="1:13">
      <c r="A37" s="13"/>
      <c r="B37" s="13" t="s">
        <v>1128</v>
      </c>
      <c r="C37" s="13" t="s">
        <v>140</v>
      </c>
      <c r="D37" s="13">
        <v>1</v>
      </c>
      <c r="E37" s="13" t="s">
        <v>30</v>
      </c>
      <c r="F37" s="15">
        <v>2100000</v>
      </c>
      <c r="G37" s="77">
        <v>2100000</v>
      </c>
      <c r="H37" s="186"/>
      <c r="I37" s="182"/>
      <c r="M37" s="5"/>
    </row>
    <row r="38" spans="1:13">
      <c r="A38" s="13"/>
      <c r="B38" s="13" t="s">
        <v>1129</v>
      </c>
      <c r="C38" s="13" t="s">
        <v>140</v>
      </c>
      <c r="D38" s="13">
        <v>1</v>
      </c>
      <c r="E38" s="13" t="s">
        <v>30</v>
      </c>
      <c r="F38" s="15">
        <v>1850000</v>
      </c>
      <c r="G38" s="77">
        <v>1850000</v>
      </c>
      <c r="H38" s="186"/>
      <c r="I38" s="182" t="s">
        <v>44</v>
      </c>
      <c r="M38" s="5"/>
    </row>
    <row r="39" spans="1:13">
      <c r="A39" s="13"/>
      <c r="B39" s="13" t="s">
        <v>1130</v>
      </c>
      <c r="C39" s="13" t="s">
        <v>140</v>
      </c>
      <c r="D39" s="13">
        <v>1</v>
      </c>
      <c r="E39" s="13" t="s">
        <v>30</v>
      </c>
      <c r="F39" s="15">
        <v>1850000</v>
      </c>
      <c r="G39" s="77">
        <v>1850000</v>
      </c>
      <c r="H39" s="186"/>
      <c r="I39" s="182"/>
      <c r="M39" s="5"/>
    </row>
    <row r="40" spans="1:13">
      <c r="A40" s="13"/>
      <c r="B40" s="13" t="s">
        <v>1131</v>
      </c>
      <c r="C40" s="13" t="s">
        <v>140</v>
      </c>
      <c r="D40" s="13">
        <v>5</v>
      </c>
      <c r="E40" s="13" t="s">
        <v>30</v>
      </c>
      <c r="F40" s="15">
        <v>300000</v>
      </c>
      <c r="G40" s="77">
        <v>1500000</v>
      </c>
      <c r="H40" s="186"/>
      <c r="I40" s="182"/>
      <c r="M40" s="5"/>
    </row>
    <row r="41" spans="1:13">
      <c r="A41" s="13"/>
      <c r="B41" s="13" t="s">
        <v>1132</v>
      </c>
      <c r="C41" s="13" t="s">
        <v>140</v>
      </c>
      <c r="D41" s="13">
        <v>3</v>
      </c>
      <c r="E41" s="13" t="s">
        <v>30</v>
      </c>
      <c r="F41" s="15">
        <v>300000</v>
      </c>
      <c r="G41" s="77">
        <v>900000</v>
      </c>
      <c r="H41" s="186" t="s">
        <v>1140</v>
      </c>
      <c r="I41" s="182"/>
      <c r="M41" s="5"/>
    </row>
    <row r="42" spans="1:13">
      <c r="A42" s="13"/>
      <c r="B42" s="13" t="s">
        <v>1133</v>
      </c>
      <c r="C42" s="13" t="s">
        <v>140</v>
      </c>
      <c r="D42" s="13">
        <v>5</v>
      </c>
      <c r="E42" s="13" t="s">
        <v>30</v>
      </c>
      <c r="F42" s="15">
        <v>135000</v>
      </c>
      <c r="G42" s="77">
        <v>675000</v>
      </c>
      <c r="H42" s="186"/>
      <c r="I42" s="182"/>
      <c r="M42" s="5"/>
    </row>
    <row r="43" spans="1:13">
      <c r="A43" s="13"/>
      <c r="B43" s="13" t="s">
        <v>1134</v>
      </c>
      <c r="C43" s="13" t="s">
        <v>140</v>
      </c>
      <c r="D43" s="13">
        <v>5</v>
      </c>
      <c r="E43" s="13" t="s">
        <v>30</v>
      </c>
      <c r="F43" s="15">
        <v>150000</v>
      </c>
      <c r="G43" s="77">
        <v>750000</v>
      </c>
      <c r="H43" s="186"/>
      <c r="I43" s="182"/>
      <c r="M43" s="5"/>
    </row>
    <row r="44" spans="1:13">
      <c r="A44" s="13"/>
      <c r="B44" s="13" t="s">
        <v>1135</v>
      </c>
      <c r="C44" s="13" t="s">
        <v>140</v>
      </c>
      <c r="D44" s="13">
        <v>5</v>
      </c>
      <c r="E44" s="13" t="s">
        <v>30</v>
      </c>
      <c r="F44" s="15">
        <v>125000</v>
      </c>
      <c r="G44" s="77">
        <v>625000</v>
      </c>
      <c r="H44" s="186"/>
      <c r="I44" s="182"/>
      <c r="M44" s="5"/>
    </row>
    <row r="45" spans="1:13">
      <c r="A45" s="13"/>
      <c r="B45" s="13" t="s">
        <v>1136</v>
      </c>
      <c r="C45" s="13" t="s">
        <v>140</v>
      </c>
      <c r="D45" s="13">
        <v>5</v>
      </c>
      <c r="E45" s="13" t="s">
        <v>30</v>
      </c>
      <c r="F45" s="15">
        <v>40000</v>
      </c>
      <c r="G45" s="77">
        <v>200000</v>
      </c>
      <c r="H45" s="186"/>
      <c r="I45" s="182"/>
      <c r="M45" s="5"/>
    </row>
    <row r="46" spans="1:13">
      <c r="A46" s="13"/>
      <c r="B46" s="13" t="s">
        <v>1137</v>
      </c>
      <c r="C46" s="13" t="s">
        <v>140</v>
      </c>
      <c r="D46" s="13">
        <v>5</v>
      </c>
      <c r="E46" s="13" t="s">
        <v>30</v>
      </c>
      <c r="F46" s="15">
        <v>80000</v>
      </c>
      <c r="G46" s="77">
        <v>400000</v>
      </c>
      <c r="H46" s="186"/>
      <c r="I46" s="182"/>
      <c r="M46" s="5"/>
    </row>
    <row r="47" spans="1:13">
      <c r="A47" s="13"/>
      <c r="B47" s="13" t="s">
        <v>1138</v>
      </c>
      <c r="C47" s="13" t="s">
        <v>140</v>
      </c>
      <c r="D47" s="13">
        <v>5</v>
      </c>
      <c r="E47" s="13" t="s">
        <v>30</v>
      </c>
      <c r="F47" s="15">
        <v>100000</v>
      </c>
      <c r="G47" s="77">
        <v>500000</v>
      </c>
      <c r="H47" s="186"/>
      <c r="I47" s="182"/>
      <c r="M47" s="5"/>
    </row>
    <row r="48" spans="1:13" ht="15.75" thickBot="1">
      <c r="A48" s="13"/>
      <c r="B48" s="13" t="s">
        <v>1139</v>
      </c>
      <c r="C48" s="13" t="s">
        <v>140</v>
      </c>
      <c r="D48" s="13">
        <v>5</v>
      </c>
      <c r="E48" s="13" t="s">
        <v>30</v>
      </c>
      <c r="F48" s="15">
        <v>40000</v>
      </c>
      <c r="G48" s="77">
        <v>200000</v>
      </c>
      <c r="H48" s="186"/>
      <c r="I48" s="182"/>
      <c r="M48" s="5"/>
    </row>
    <row r="49" spans="1:13">
      <c r="A49" s="12">
        <v>44883</v>
      </c>
      <c r="B49" s="13" t="s">
        <v>1018</v>
      </c>
      <c r="C49" s="13" t="s">
        <v>15</v>
      </c>
      <c r="D49" s="13">
        <v>15</v>
      </c>
      <c r="E49" s="13" t="s">
        <v>30</v>
      </c>
      <c r="F49" s="15">
        <v>90000</v>
      </c>
      <c r="G49" s="77">
        <v>1350000</v>
      </c>
      <c r="H49" s="187" t="s">
        <v>1146</v>
      </c>
      <c r="I49" s="182" t="s">
        <v>44</v>
      </c>
      <c r="M49" s="5"/>
    </row>
    <row r="50" spans="1:13" ht="15.75" thickBot="1">
      <c r="A50" s="13"/>
      <c r="B50" s="13" t="s">
        <v>1141</v>
      </c>
      <c r="C50" s="13" t="s">
        <v>15</v>
      </c>
      <c r="D50" s="13">
        <v>100</v>
      </c>
      <c r="E50" s="13" t="s">
        <v>1142</v>
      </c>
      <c r="F50" s="15">
        <v>40000</v>
      </c>
      <c r="G50" s="77">
        <v>4000000</v>
      </c>
      <c r="H50" s="188"/>
      <c r="I50" s="182"/>
      <c r="M50" s="5"/>
    </row>
    <row r="51" spans="1:13" ht="15.75" thickBot="1">
      <c r="A51" s="12">
        <v>44886</v>
      </c>
      <c r="B51" s="13" t="s">
        <v>1143</v>
      </c>
      <c r="C51" s="13" t="s">
        <v>1241</v>
      </c>
      <c r="D51" s="13">
        <v>10</v>
      </c>
      <c r="E51" s="13" t="s">
        <v>30</v>
      </c>
      <c r="F51" s="15">
        <v>80000</v>
      </c>
      <c r="G51" s="77">
        <v>800000</v>
      </c>
      <c r="H51" s="187" t="s">
        <v>540</v>
      </c>
      <c r="I51" s="182" t="s">
        <v>998</v>
      </c>
      <c r="M51" s="5"/>
    </row>
    <row r="52" spans="1:13">
      <c r="A52" s="12">
        <v>44887</v>
      </c>
      <c r="B52" s="13" t="s">
        <v>1144</v>
      </c>
      <c r="C52" s="13" t="s">
        <v>17</v>
      </c>
      <c r="D52" s="13">
        <v>25</v>
      </c>
      <c r="E52" s="13" t="s">
        <v>30</v>
      </c>
      <c r="F52" s="15">
        <v>220000</v>
      </c>
      <c r="G52" s="77">
        <v>5500000</v>
      </c>
      <c r="H52" s="187" t="s">
        <v>1145</v>
      </c>
      <c r="I52" s="182"/>
      <c r="M52" s="5"/>
    </row>
    <row r="53" spans="1:13" ht="15.75" thickBot="1">
      <c r="A53" s="13"/>
      <c r="B53" s="13" t="s">
        <v>1051</v>
      </c>
      <c r="C53" s="13" t="s">
        <v>17</v>
      </c>
      <c r="D53" s="13">
        <v>30</v>
      </c>
      <c r="E53" s="13" t="s">
        <v>30</v>
      </c>
      <c r="F53" s="15">
        <v>160000</v>
      </c>
      <c r="G53" s="77">
        <v>4800000</v>
      </c>
      <c r="H53" s="188"/>
      <c r="I53" s="182" t="s">
        <v>44</v>
      </c>
      <c r="M53" s="5"/>
    </row>
    <row r="54" spans="1:13" ht="15.75" thickBot="1">
      <c r="A54" s="12">
        <v>44891</v>
      </c>
      <c r="B54" s="13" t="s">
        <v>1147</v>
      </c>
      <c r="C54" s="13" t="s">
        <v>345</v>
      </c>
      <c r="D54" s="13">
        <v>100</v>
      </c>
      <c r="E54" s="13" t="s">
        <v>1142</v>
      </c>
      <c r="F54" s="15">
        <v>18000</v>
      </c>
      <c r="G54" s="77">
        <v>1800000</v>
      </c>
      <c r="H54" s="306" t="s">
        <v>497</v>
      </c>
      <c r="I54" s="182" t="s">
        <v>44</v>
      </c>
      <c r="M54" s="5"/>
    </row>
    <row r="55" spans="1:13" ht="15.75" thickBot="1">
      <c r="A55" s="13"/>
      <c r="B55" s="13" t="s">
        <v>1148</v>
      </c>
      <c r="C55" s="13" t="s">
        <v>83</v>
      </c>
      <c r="D55" s="13">
        <v>1</v>
      </c>
      <c r="E55" s="13" t="s">
        <v>30</v>
      </c>
      <c r="F55" s="15">
        <v>4250000</v>
      </c>
      <c r="G55" s="77">
        <v>4250000</v>
      </c>
      <c r="H55" s="306" t="s">
        <v>1149</v>
      </c>
      <c r="I55" s="182" t="s">
        <v>1042</v>
      </c>
      <c r="M55" s="5"/>
    </row>
    <row r="56" spans="1:13" ht="15.75" thickBot="1">
      <c r="A56" s="13"/>
      <c r="B56" s="13" t="s">
        <v>1150</v>
      </c>
      <c r="C56" s="13" t="s">
        <v>1151</v>
      </c>
      <c r="D56" s="13">
        <v>4</v>
      </c>
      <c r="E56" s="13" t="s">
        <v>30</v>
      </c>
      <c r="F56" s="15">
        <v>525000</v>
      </c>
      <c r="G56" s="15">
        <v>2100000</v>
      </c>
      <c r="H56" s="305" t="s">
        <v>1152</v>
      </c>
      <c r="I56" s="13" t="s">
        <v>1126</v>
      </c>
      <c r="M56" s="5"/>
    </row>
    <row r="57" spans="1:13">
      <c r="A57" s="13"/>
      <c r="B57" s="13" t="s">
        <v>1153</v>
      </c>
      <c r="C57" s="13" t="s">
        <v>15</v>
      </c>
      <c r="D57" s="13">
        <v>10</v>
      </c>
      <c r="E57" s="13" t="s">
        <v>30</v>
      </c>
      <c r="F57" s="15">
        <v>135000</v>
      </c>
      <c r="G57" s="77">
        <v>1350000</v>
      </c>
      <c r="H57" s="187"/>
      <c r="I57" s="182"/>
      <c r="M57" s="5"/>
    </row>
    <row r="58" spans="1:13">
      <c r="A58" s="13"/>
      <c r="B58" s="13" t="s">
        <v>1154</v>
      </c>
      <c r="C58" s="13" t="s">
        <v>15</v>
      </c>
      <c r="D58" s="13">
        <v>10</v>
      </c>
      <c r="E58" s="13" t="s">
        <v>30</v>
      </c>
      <c r="F58" s="15">
        <v>145000</v>
      </c>
      <c r="G58" s="77">
        <v>1450000</v>
      </c>
      <c r="H58" s="186" t="s">
        <v>1157</v>
      </c>
      <c r="I58" s="182" t="s">
        <v>71</v>
      </c>
      <c r="M58" s="5"/>
    </row>
    <row r="59" spans="1:13">
      <c r="A59" s="13"/>
      <c r="B59" s="13" t="s">
        <v>1155</v>
      </c>
      <c r="C59" s="13" t="s">
        <v>15</v>
      </c>
      <c r="D59" s="13">
        <v>15</v>
      </c>
      <c r="E59" s="13" t="s">
        <v>30</v>
      </c>
      <c r="F59" s="15">
        <v>130000</v>
      </c>
      <c r="G59" s="77">
        <v>1950000</v>
      </c>
      <c r="H59" s="186"/>
      <c r="I59" s="182"/>
      <c r="M59" s="5"/>
    </row>
    <row r="60" spans="1:13">
      <c r="A60" s="13"/>
      <c r="B60" s="13" t="s">
        <v>956</v>
      </c>
      <c r="C60" s="13" t="s">
        <v>15</v>
      </c>
      <c r="D60" s="79">
        <v>15</v>
      </c>
      <c r="E60" s="13" t="s">
        <v>30</v>
      </c>
      <c r="F60" s="15">
        <v>130000</v>
      </c>
      <c r="G60" s="77">
        <v>1950000</v>
      </c>
      <c r="H60" s="186"/>
      <c r="I60" s="182"/>
      <c r="M60" s="5"/>
    </row>
    <row r="61" spans="1:13" ht="15.75" thickBot="1">
      <c r="A61" s="13"/>
      <c r="B61" s="13" t="s">
        <v>1156</v>
      </c>
      <c r="C61" s="80" t="s">
        <v>15</v>
      </c>
      <c r="D61" s="423">
        <v>15</v>
      </c>
      <c r="E61" s="182" t="s">
        <v>30</v>
      </c>
      <c r="F61" s="15">
        <v>95000</v>
      </c>
      <c r="G61" s="77">
        <v>1425000</v>
      </c>
      <c r="H61" s="188"/>
      <c r="I61" s="182"/>
      <c r="M61" s="5"/>
    </row>
    <row r="62" spans="1:13" ht="15.75" thickBot="1">
      <c r="A62" s="13"/>
      <c r="B62" s="13" t="s">
        <v>1160</v>
      </c>
      <c r="C62" s="13" t="s">
        <v>1032</v>
      </c>
      <c r="D62" s="231">
        <v>3</v>
      </c>
      <c r="E62" s="13" t="s">
        <v>30</v>
      </c>
      <c r="F62" s="15">
        <v>689000</v>
      </c>
      <c r="G62" s="77">
        <v>2067000</v>
      </c>
      <c r="H62" s="306" t="s">
        <v>1034</v>
      </c>
      <c r="I62" s="182" t="s">
        <v>998</v>
      </c>
      <c r="M62" s="5"/>
    </row>
    <row r="63" spans="1:13">
      <c r="A63" s="13"/>
      <c r="B63" s="13" t="s">
        <v>1161</v>
      </c>
      <c r="C63" s="13" t="s">
        <v>17</v>
      </c>
      <c r="D63" s="13">
        <v>30</v>
      </c>
      <c r="E63" s="13" t="s">
        <v>30</v>
      </c>
      <c r="F63" s="15">
        <v>35000</v>
      </c>
      <c r="G63" s="77">
        <v>1050000</v>
      </c>
      <c r="H63" s="187" t="s">
        <v>1163</v>
      </c>
      <c r="I63" s="182" t="s">
        <v>44</v>
      </c>
      <c r="M63" s="5"/>
    </row>
    <row r="64" spans="1:13" ht="15.75" thickBot="1">
      <c r="A64" s="13"/>
      <c r="B64" s="13" t="s">
        <v>1162</v>
      </c>
      <c r="C64" s="13" t="s">
        <v>17</v>
      </c>
      <c r="D64" s="13">
        <v>20</v>
      </c>
      <c r="E64" s="13" t="s">
        <v>30</v>
      </c>
      <c r="F64" s="15">
        <v>30000</v>
      </c>
      <c r="G64" s="77">
        <v>600000</v>
      </c>
      <c r="H64" s="186"/>
      <c r="I64" s="182"/>
      <c r="M64" s="5"/>
    </row>
    <row r="65" spans="1:13">
      <c r="A65" s="13"/>
      <c r="B65" s="13" t="s">
        <v>1164</v>
      </c>
      <c r="C65" s="13" t="s">
        <v>140</v>
      </c>
      <c r="D65" s="13">
        <v>5</v>
      </c>
      <c r="E65" s="13" t="s">
        <v>30</v>
      </c>
      <c r="F65" s="15">
        <v>135000</v>
      </c>
      <c r="G65" s="77">
        <v>675000</v>
      </c>
      <c r="H65" s="187" t="s">
        <v>899</v>
      </c>
      <c r="I65" s="182" t="s">
        <v>44</v>
      </c>
      <c r="M65" s="5"/>
    </row>
    <row r="66" spans="1:13" ht="15.75" thickBot="1">
      <c r="A66" s="13"/>
      <c r="B66" s="13" t="s">
        <v>1165</v>
      </c>
      <c r="C66" s="13" t="s">
        <v>140</v>
      </c>
      <c r="D66" s="13">
        <v>5</v>
      </c>
      <c r="E66" s="13" t="s">
        <v>30</v>
      </c>
      <c r="F66" s="15">
        <v>135000</v>
      </c>
      <c r="G66" s="77">
        <v>675000</v>
      </c>
      <c r="H66" s="188"/>
      <c r="I66" s="182"/>
      <c r="M66" s="5"/>
    </row>
    <row r="67" spans="1:13" ht="15.75" thickBot="1">
      <c r="A67" s="13"/>
      <c r="B67" s="13" t="s">
        <v>1166</v>
      </c>
      <c r="C67" s="13" t="s">
        <v>83</v>
      </c>
      <c r="D67" s="13">
        <v>1</v>
      </c>
      <c r="E67" s="13" t="s">
        <v>30</v>
      </c>
      <c r="F67" s="15">
        <v>1350000</v>
      </c>
      <c r="G67" s="77">
        <v>1350000</v>
      </c>
      <c r="H67" s="306" t="s">
        <v>1053</v>
      </c>
      <c r="I67" s="182" t="s">
        <v>1042</v>
      </c>
      <c r="M67" s="5"/>
    </row>
    <row r="68" spans="1:13">
      <c r="A68" s="13"/>
      <c r="B68" s="13"/>
      <c r="C68" s="13"/>
      <c r="D68" s="13"/>
      <c r="E68" s="13"/>
      <c r="F68" s="15"/>
      <c r="G68" s="15"/>
      <c r="H68" s="183"/>
      <c r="I68" s="13"/>
      <c r="M68" s="5"/>
    </row>
    <row r="69" spans="1:13">
      <c r="A69" s="13"/>
      <c r="B69" s="13"/>
      <c r="C69" s="13"/>
      <c r="D69" s="13"/>
      <c r="E69" s="13"/>
      <c r="F69" s="15"/>
      <c r="G69" s="15"/>
      <c r="H69" s="15"/>
      <c r="I69" s="13"/>
      <c r="M69" s="5"/>
    </row>
    <row r="70" spans="1:13">
      <c r="A70" s="13"/>
      <c r="B70" s="13"/>
      <c r="C70" s="13"/>
      <c r="D70" s="13"/>
      <c r="E70" s="13"/>
      <c r="F70" s="15"/>
      <c r="G70" s="15"/>
      <c r="H70" s="15"/>
      <c r="I70" s="13"/>
      <c r="M70" s="5"/>
    </row>
    <row r="71" spans="1:13">
      <c r="A71" s="13"/>
      <c r="B71" s="13"/>
      <c r="C71" s="13"/>
      <c r="D71" s="13"/>
      <c r="E71" s="13"/>
      <c r="F71" s="15"/>
      <c r="G71" s="15"/>
      <c r="H71" s="15"/>
      <c r="I71" s="13"/>
      <c r="M71" s="5"/>
    </row>
    <row r="72" spans="1:13">
      <c r="A72" s="13"/>
      <c r="B72" s="13"/>
      <c r="C72" s="13"/>
      <c r="D72" s="13"/>
      <c r="E72" s="13"/>
      <c r="F72" s="15"/>
      <c r="G72" s="15"/>
      <c r="H72" s="15"/>
      <c r="I72" s="13"/>
      <c r="M72" s="5"/>
    </row>
    <row r="73" spans="1:13">
      <c r="A73" s="13"/>
      <c r="B73" s="13"/>
      <c r="C73" s="13"/>
      <c r="D73" s="13"/>
      <c r="E73" s="13"/>
      <c r="F73" s="15"/>
      <c r="G73" s="15"/>
      <c r="H73" s="15"/>
      <c r="I73" s="13"/>
      <c r="M73" s="5"/>
    </row>
    <row r="74" spans="1:13">
      <c r="A74" s="13"/>
      <c r="B74" s="13"/>
      <c r="C74" s="13"/>
      <c r="D74" s="13"/>
      <c r="E74" s="13"/>
      <c r="F74" s="15"/>
      <c r="G74" s="15"/>
      <c r="H74" s="15"/>
      <c r="I74" s="13"/>
      <c r="M74" s="5"/>
    </row>
    <row r="75" spans="1:13">
      <c r="A75" s="13"/>
      <c r="B75" s="13"/>
      <c r="C75" s="13"/>
      <c r="D75" s="13"/>
      <c r="E75" s="13"/>
      <c r="F75" s="15"/>
      <c r="G75" s="15"/>
      <c r="H75" s="15"/>
      <c r="I75" s="13"/>
      <c r="M75" s="5"/>
    </row>
    <row r="76" spans="1:13">
      <c r="A76" s="13"/>
      <c r="B76" s="13"/>
      <c r="C76" s="13"/>
      <c r="D76" s="13"/>
      <c r="E76" s="13"/>
      <c r="F76" s="15"/>
      <c r="G76" s="15"/>
      <c r="H76" s="15"/>
      <c r="I76" s="13"/>
      <c r="M76" s="5"/>
    </row>
    <row r="77" spans="1:13">
      <c r="A77" s="13"/>
      <c r="B77" s="13"/>
      <c r="C77" s="13"/>
      <c r="D77" s="13"/>
      <c r="E77" s="13"/>
      <c r="F77" s="15"/>
      <c r="G77" s="15"/>
      <c r="H77" s="15"/>
      <c r="I77" s="13"/>
      <c r="M77" s="5"/>
    </row>
    <row r="78" spans="1:13">
      <c r="A78" s="13"/>
      <c r="B78" s="13"/>
      <c r="C78" s="13"/>
      <c r="D78" s="13"/>
      <c r="E78" s="13"/>
      <c r="F78" s="15"/>
      <c r="G78" s="15"/>
      <c r="H78" s="15"/>
      <c r="I78" s="13"/>
      <c r="M78" s="5"/>
    </row>
    <row r="79" spans="1:13">
      <c r="A79" s="13"/>
      <c r="B79" s="13"/>
      <c r="C79" s="13"/>
      <c r="D79" s="13"/>
      <c r="E79" s="13"/>
      <c r="F79" s="15"/>
      <c r="G79" s="15"/>
      <c r="H79" s="15"/>
      <c r="I79" s="13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O63"/>
  <sheetViews>
    <sheetView tabSelected="1" topLeftCell="C1" workbookViewId="0">
      <selection activeCell="O15" sqref="O15"/>
    </sheetView>
  </sheetViews>
  <sheetFormatPr defaultRowHeight="15"/>
  <cols>
    <col min="2" max="2" width="36.7109375" customWidth="1"/>
    <col min="3" max="3" width="15.7109375" customWidth="1"/>
    <col min="6" max="6" width="16" customWidth="1"/>
    <col min="7" max="7" width="14.28515625" customWidth="1"/>
    <col min="8" max="8" width="13.42578125" customWidth="1"/>
    <col min="9" max="9" width="14.85546875" customWidth="1"/>
    <col min="13" max="13" width="12" customWidth="1"/>
    <col min="14" max="14" width="14.28515625" customWidth="1"/>
    <col min="15" max="15" width="17.140625" customWidth="1"/>
  </cols>
  <sheetData>
    <row r="1" spans="1:15">
      <c r="A1" s="1" t="s">
        <v>0</v>
      </c>
      <c r="C1" s="2"/>
      <c r="D1" s="2"/>
      <c r="E1" s="2"/>
      <c r="F1" s="3"/>
      <c r="G1" s="3"/>
      <c r="H1" s="3"/>
      <c r="K1" s="4" t="s">
        <v>161</v>
      </c>
      <c r="L1" s="5"/>
      <c r="M1" s="5"/>
      <c r="N1" s="3"/>
    </row>
    <row r="2" spans="1:15" ht="45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9" t="s">
        <v>7</v>
      </c>
      <c r="H2" s="8" t="s">
        <v>8</v>
      </c>
      <c r="I2" s="7" t="s">
        <v>9</v>
      </c>
      <c r="K2" s="10" t="s">
        <v>10</v>
      </c>
      <c r="L2" s="11" t="s">
        <v>11</v>
      </c>
      <c r="M2" s="6" t="s">
        <v>12</v>
      </c>
      <c r="N2" s="9" t="s">
        <v>13</v>
      </c>
      <c r="O2" s="7" t="s">
        <v>9</v>
      </c>
    </row>
    <row r="3" spans="1:15" ht="15.75" thickBot="1">
      <c r="A3" s="12">
        <v>44896</v>
      </c>
      <c r="B3" s="13" t="s">
        <v>1158</v>
      </c>
      <c r="C3" s="14" t="s">
        <v>15</v>
      </c>
      <c r="D3" s="14">
        <v>11</v>
      </c>
      <c r="E3" s="14" t="s">
        <v>30</v>
      </c>
      <c r="F3" s="15">
        <v>120000</v>
      </c>
      <c r="G3" s="15">
        <v>1320000</v>
      </c>
      <c r="H3" s="304" t="s">
        <v>1159</v>
      </c>
      <c r="I3" s="16" t="s">
        <v>71</v>
      </c>
      <c r="J3" s="17"/>
      <c r="K3" s="202">
        <v>1</v>
      </c>
      <c r="L3" s="104">
        <v>44869</v>
      </c>
      <c r="M3" s="105" t="s">
        <v>15</v>
      </c>
      <c r="N3" s="106">
        <v>12170000</v>
      </c>
      <c r="O3" s="107" t="s">
        <v>1244</v>
      </c>
    </row>
    <row r="4" spans="1:15">
      <c r="A4" s="12">
        <v>44898</v>
      </c>
      <c r="B4" s="13" t="s">
        <v>1168</v>
      </c>
      <c r="C4" s="14" t="s">
        <v>140</v>
      </c>
      <c r="D4" s="14">
        <v>3</v>
      </c>
      <c r="E4" s="14" t="s">
        <v>30</v>
      </c>
      <c r="F4" s="15">
        <v>2100000</v>
      </c>
      <c r="G4" s="77">
        <v>6300000</v>
      </c>
      <c r="H4" s="177" t="s">
        <v>1170</v>
      </c>
      <c r="I4" s="175" t="s">
        <v>71</v>
      </c>
      <c r="J4" s="19"/>
      <c r="K4" s="332">
        <v>2</v>
      </c>
      <c r="L4" s="420">
        <v>44876</v>
      </c>
      <c r="M4" s="421" t="s">
        <v>16</v>
      </c>
      <c r="N4" s="421" t="s">
        <v>1108</v>
      </c>
      <c r="O4" s="153" t="s">
        <v>1244</v>
      </c>
    </row>
    <row r="5" spans="1:15" ht="15.75" thickBot="1">
      <c r="A5" s="13"/>
      <c r="B5" s="13" t="s">
        <v>1169</v>
      </c>
      <c r="C5" s="14" t="s">
        <v>140</v>
      </c>
      <c r="D5" s="14">
        <v>2</v>
      </c>
      <c r="E5" s="14" t="s">
        <v>30</v>
      </c>
      <c r="F5" s="15">
        <v>1850000</v>
      </c>
      <c r="G5" s="77">
        <v>3700000</v>
      </c>
      <c r="H5" s="178"/>
      <c r="I5" s="175"/>
      <c r="J5" s="23"/>
      <c r="K5" s="202">
        <v>3</v>
      </c>
      <c r="L5" s="104">
        <v>44879</v>
      </c>
      <c r="M5" s="105" t="s">
        <v>15</v>
      </c>
      <c r="N5" s="318">
        <v>2640000</v>
      </c>
      <c r="O5" s="103" t="s">
        <v>1244</v>
      </c>
    </row>
    <row r="6" spans="1:15">
      <c r="A6" s="13"/>
      <c r="B6" s="13" t="s">
        <v>1171</v>
      </c>
      <c r="C6" s="14" t="s">
        <v>17</v>
      </c>
      <c r="D6" s="14">
        <v>2</v>
      </c>
      <c r="E6" s="14" t="s">
        <v>30</v>
      </c>
      <c r="F6" s="15">
        <v>690000</v>
      </c>
      <c r="G6" s="77">
        <v>1380000</v>
      </c>
      <c r="H6" s="177"/>
      <c r="I6" s="175"/>
      <c r="J6" s="26"/>
      <c r="K6" s="251">
        <v>4</v>
      </c>
      <c r="L6" s="253"/>
      <c r="M6" s="254" t="s">
        <v>140</v>
      </c>
      <c r="N6" s="194">
        <v>30000000</v>
      </c>
      <c r="O6" s="114"/>
    </row>
    <row r="7" spans="1:15">
      <c r="A7" s="13"/>
      <c r="B7" s="13" t="s">
        <v>1172</v>
      </c>
      <c r="C7" s="14" t="s">
        <v>17</v>
      </c>
      <c r="D7" s="14">
        <v>2</v>
      </c>
      <c r="E7" s="14" t="s">
        <v>30</v>
      </c>
      <c r="F7" s="15">
        <v>690000</v>
      </c>
      <c r="G7" s="77">
        <v>1380000</v>
      </c>
      <c r="H7" s="178" t="s">
        <v>1175</v>
      </c>
      <c r="I7" s="175" t="s">
        <v>71</v>
      </c>
      <c r="J7" s="26"/>
      <c r="K7" s="202">
        <v>5</v>
      </c>
      <c r="L7" s="104">
        <v>44882</v>
      </c>
      <c r="M7" s="105" t="s">
        <v>15</v>
      </c>
      <c r="N7" s="106">
        <v>3325000</v>
      </c>
      <c r="O7" s="103" t="s">
        <v>1244</v>
      </c>
    </row>
    <row r="8" spans="1:15">
      <c r="A8" s="12"/>
      <c r="B8" s="13" t="s">
        <v>1173</v>
      </c>
      <c r="C8" s="14" t="s">
        <v>17</v>
      </c>
      <c r="D8" s="14">
        <v>2</v>
      </c>
      <c r="E8" s="14" t="s">
        <v>30</v>
      </c>
      <c r="F8" s="15">
        <v>690000</v>
      </c>
      <c r="G8" s="77">
        <v>1380000</v>
      </c>
      <c r="H8" s="178"/>
      <c r="I8" s="175"/>
      <c r="J8" s="26"/>
      <c r="K8" s="251">
        <v>6</v>
      </c>
      <c r="L8" s="253">
        <v>44886</v>
      </c>
      <c r="M8" s="254" t="s">
        <v>140</v>
      </c>
      <c r="N8" s="194">
        <v>15750000</v>
      </c>
      <c r="O8" s="114" t="s">
        <v>1244</v>
      </c>
    </row>
    <row r="9" spans="1:15" ht="15.75" thickBot="1">
      <c r="A9" s="13"/>
      <c r="B9" s="13" t="s">
        <v>1174</v>
      </c>
      <c r="C9" s="14" t="s">
        <v>17</v>
      </c>
      <c r="D9" s="14">
        <v>2</v>
      </c>
      <c r="E9" s="14" t="s">
        <v>30</v>
      </c>
      <c r="F9" s="15">
        <v>690000</v>
      </c>
      <c r="G9" s="77">
        <v>1380000</v>
      </c>
      <c r="H9" s="193"/>
      <c r="I9" s="175"/>
      <c r="J9" s="26"/>
      <c r="K9" s="312">
        <v>7</v>
      </c>
      <c r="L9" s="283">
        <v>44887</v>
      </c>
      <c r="M9" s="284" t="s">
        <v>17</v>
      </c>
      <c r="N9" s="339">
        <v>10300000</v>
      </c>
      <c r="O9" s="314" t="s">
        <v>1244</v>
      </c>
    </row>
    <row r="10" spans="1:15" ht="15.75" thickBot="1">
      <c r="A10" s="29"/>
      <c r="B10" s="29" t="s">
        <v>1176</v>
      </c>
      <c r="C10" s="14" t="s">
        <v>1177</v>
      </c>
      <c r="D10" s="31">
        <v>2</v>
      </c>
      <c r="E10" s="14" t="s">
        <v>30</v>
      </c>
      <c r="F10" s="15">
        <v>750000</v>
      </c>
      <c r="G10" s="15">
        <v>1500000</v>
      </c>
      <c r="H10" s="436" t="s">
        <v>1178</v>
      </c>
      <c r="I10" s="16" t="s">
        <v>1198</v>
      </c>
      <c r="J10" s="26"/>
      <c r="K10" s="202">
        <v>8</v>
      </c>
      <c r="L10" s="104">
        <v>44883</v>
      </c>
      <c r="M10" s="105" t="s">
        <v>15</v>
      </c>
      <c r="N10" s="106">
        <v>5425000</v>
      </c>
      <c r="O10" s="107" t="s">
        <v>1244</v>
      </c>
    </row>
    <row r="11" spans="1:15">
      <c r="A11" s="32">
        <v>44870</v>
      </c>
      <c r="B11" s="29" t="s">
        <v>750</v>
      </c>
      <c r="C11" s="14" t="s">
        <v>638</v>
      </c>
      <c r="D11" s="31">
        <v>1</v>
      </c>
      <c r="E11" s="14" t="s">
        <v>30</v>
      </c>
      <c r="F11" s="15">
        <v>1900000</v>
      </c>
      <c r="G11" s="77">
        <v>1900000</v>
      </c>
      <c r="H11" s="177"/>
      <c r="I11" s="175"/>
      <c r="J11" s="26"/>
      <c r="K11" s="431">
        <v>9</v>
      </c>
      <c r="L11" s="432">
        <v>44890</v>
      </c>
      <c r="M11" s="433" t="s">
        <v>345</v>
      </c>
      <c r="N11" s="434">
        <v>1800000</v>
      </c>
      <c r="O11" s="435" t="s">
        <v>1244</v>
      </c>
    </row>
    <row r="12" spans="1:15">
      <c r="A12" s="29"/>
      <c r="B12" s="29" t="s">
        <v>1179</v>
      </c>
      <c r="C12" s="14" t="s">
        <v>638</v>
      </c>
      <c r="D12" s="31">
        <v>1</v>
      </c>
      <c r="E12" s="14" t="s">
        <v>30</v>
      </c>
      <c r="F12" s="28">
        <v>1600000</v>
      </c>
      <c r="G12" s="179">
        <v>1600000</v>
      </c>
      <c r="H12" s="178" t="s">
        <v>1180</v>
      </c>
      <c r="I12" s="175" t="s">
        <v>44</v>
      </c>
      <c r="J12" s="26"/>
      <c r="K12" s="251">
        <v>10</v>
      </c>
      <c r="L12" s="430">
        <v>44891</v>
      </c>
      <c r="M12" s="114" t="s">
        <v>140</v>
      </c>
      <c r="N12" s="114" t="s">
        <v>899</v>
      </c>
      <c r="O12" s="114" t="s">
        <v>1244</v>
      </c>
    </row>
    <row r="13" spans="1:15" ht="15.75" thickBot="1">
      <c r="A13" s="32"/>
      <c r="B13" s="29" t="s">
        <v>1008</v>
      </c>
      <c r="C13" s="27" t="s">
        <v>638</v>
      </c>
      <c r="D13" s="31">
        <v>4</v>
      </c>
      <c r="E13" s="31" t="s">
        <v>30</v>
      </c>
      <c r="F13" s="28">
        <v>1600000</v>
      </c>
      <c r="G13" s="179">
        <v>6400000</v>
      </c>
      <c r="H13" s="185"/>
      <c r="I13" s="180"/>
      <c r="J13" s="26"/>
      <c r="K13" s="312">
        <v>11</v>
      </c>
      <c r="L13" s="283">
        <v>44891</v>
      </c>
      <c r="M13" s="284" t="s">
        <v>17</v>
      </c>
      <c r="N13" s="285">
        <v>1650000</v>
      </c>
      <c r="O13" s="314" t="s">
        <v>1244</v>
      </c>
    </row>
    <row r="14" spans="1:15">
      <c r="A14" s="32">
        <v>44904</v>
      </c>
      <c r="B14" s="29" t="s">
        <v>1182</v>
      </c>
      <c r="C14" s="27" t="s">
        <v>15</v>
      </c>
      <c r="D14" s="31">
        <v>5</v>
      </c>
      <c r="E14" s="31" t="s">
        <v>30</v>
      </c>
      <c r="F14" s="28">
        <v>145000</v>
      </c>
      <c r="G14" s="179">
        <v>725000</v>
      </c>
      <c r="H14" s="184"/>
      <c r="I14" s="181"/>
      <c r="J14" s="26"/>
      <c r="K14" s="440">
        <v>12</v>
      </c>
      <c r="L14" s="441">
        <v>44900</v>
      </c>
      <c r="M14" s="442" t="s">
        <v>638</v>
      </c>
      <c r="N14" s="443">
        <v>9900000</v>
      </c>
      <c r="O14" s="447" t="s">
        <v>1244</v>
      </c>
    </row>
    <row r="15" spans="1:15">
      <c r="A15" s="29"/>
      <c r="B15" s="29" t="s">
        <v>1183</v>
      </c>
      <c r="C15" s="27" t="s">
        <v>15</v>
      </c>
      <c r="D15" s="31">
        <v>5</v>
      </c>
      <c r="E15" s="31" t="s">
        <v>30</v>
      </c>
      <c r="F15" s="28">
        <v>155000</v>
      </c>
      <c r="G15" s="179">
        <v>775000</v>
      </c>
      <c r="H15" s="185"/>
      <c r="I15" s="181"/>
      <c r="J15" s="26"/>
      <c r="K15" s="440">
        <v>13</v>
      </c>
      <c r="L15" s="441">
        <v>44904</v>
      </c>
      <c r="M15" s="442" t="s">
        <v>638</v>
      </c>
      <c r="N15" s="443">
        <v>7300000</v>
      </c>
      <c r="O15" s="447" t="s">
        <v>1244</v>
      </c>
    </row>
    <row r="16" spans="1:15">
      <c r="A16" s="29"/>
      <c r="B16" s="29" t="s">
        <v>1184</v>
      </c>
      <c r="C16" s="27" t="s">
        <v>15</v>
      </c>
      <c r="D16" s="31">
        <v>20</v>
      </c>
      <c r="E16" s="31" t="s">
        <v>30</v>
      </c>
      <c r="F16" s="28">
        <v>10000</v>
      </c>
      <c r="G16" s="179">
        <v>200000</v>
      </c>
      <c r="H16" s="185"/>
      <c r="I16" s="181"/>
      <c r="J16" s="26"/>
      <c r="K16" s="319">
        <v>14</v>
      </c>
      <c r="L16" s="320">
        <v>44664</v>
      </c>
      <c r="M16" s="321" t="s">
        <v>173</v>
      </c>
      <c r="N16" s="322">
        <v>5200000</v>
      </c>
      <c r="O16" s="323" t="s">
        <v>1257</v>
      </c>
    </row>
    <row r="17" spans="1:15">
      <c r="A17" s="29"/>
      <c r="B17" s="29" t="s">
        <v>1185</v>
      </c>
      <c r="C17" s="27" t="s">
        <v>15</v>
      </c>
      <c r="D17" s="31">
        <v>10</v>
      </c>
      <c r="E17" s="31" t="s">
        <v>30</v>
      </c>
      <c r="F17" s="28">
        <v>10000</v>
      </c>
      <c r="G17" s="179">
        <v>100000</v>
      </c>
      <c r="H17" s="185"/>
      <c r="I17" s="181"/>
      <c r="J17" s="26"/>
      <c r="K17" s="201">
        <v>15</v>
      </c>
      <c r="L17" s="198">
        <v>44909</v>
      </c>
      <c r="M17" s="199" t="s">
        <v>83</v>
      </c>
      <c r="N17" s="215">
        <v>1550000</v>
      </c>
      <c r="O17" s="448" t="s">
        <v>1254</v>
      </c>
    </row>
    <row r="18" spans="1:15">
      <c r="A18" s="29"/>
      <c r="B18" s="29" t="s">
        <v>1186</v>
      </c>
      <c r="C18" s="27" t="s">
        <v>15</v>
      </c>
      <c r="D18" s="31">
        <v>10</v>
      </c>
      <c r="E18" s="31" t="s">
        <v>30</v>
      </c>
      <c r="F18" s="28">
        <v>10000</v>
      </c>
      <c r="G18" s="179">
        <v>100000</v>
      </c>
      <c r="H18" s="185"/>
      <c r="I18" s="181"/>
      <c r="J18" s="26"/>
      <c r="K18" s="440">
        <v>16</v>
      </c>
      <c r="L18" s="445">
        <v>44916</v>
      </c>
      <c r="M18" s="446" t="s">
        <v>638</v>
      </c>
      <c r="N18" s="443">
        <v>4600000</v>
      </c>
      <c r="O18" s="447" t="s">
        <v>1244</v>
      </c>
    </row>
    <row r="19" spans="1:15">
      <c r="A19" s="29"/>
      <c r="B19" s="29" t="s">
        <v>1187</v>
      </c>
      <c r="C19" s="27" t="s">
        <v>15</v>
      </c>
      <c r="D19" s="31">
        <v>10</v>
      </c>
      <c r="E19" s="31" t="s">
        <v>30</v>
      </c>
      <c r="F19" s="28">
        <v>10000</v>
      </c>
      <c r="G19" s="179">
        <v>100000</v>
      </c>
      <c r="H19" s="185" t="s">
        <v>1194</v>
      </c>
      <c r="I19" s="181" t="s">
        <v>71</v>
      </c>
      <c r="J19" s="26"/>
      <c r="K19" s="374">
        <v>17</v>
      </c>
      <c r="L19" s="375">
        <v>44921</v>
      </c>
      <c r="M19" s="376" t="s">
        <v>1218</v>
      </c>
      <c r="N19" s="377">
        <v>750000</v>
      </c>
      <c r="O19" s="149" t="s">
        <v>1244</v>
      </c>
    </row>
    <row r="20" spans="1:15">
      <c r="A20" s="29"/>
      <c r="B20" s="29" t="s">
        <v>1188</v>
      </c>
      <c r="C20" s="27" t="s">
        <v>15</v>
      </c>
      <c r="D20" s="31">
        <v>5</v>
      </c>
      <c r="E20" s="31" t="s">
        <v>30</v>
      </c>
      <c r="F20" s="28">
        <v>435000</v>
      </c>
      <c r="G20" s="179">
        <v>2175000</v>
      </c>
      <c r="H20" s="185"/>
      <c r="I20" s="181"/>
      <c r="J20" s="26"/>
      <c r="K20" s="201">
        <v>18</v>
      </c>
      <c r="L20" s="198">
        <v>44922</v>
      </c>
      <c r="M20" s="199" t="s">
        <v>83</v>
      </c>
      <c r="N20" s="215">
        <v>1200000</v>
      </c>
      <c r="O20" s="216" t="s">
        <v>1254</v>
      </c>
    </row>
    <row r="21" spans="1:15">
      <c r="A21" s="29"/>
      <c r="B21" s="29" t="s">
        <v>459</v>
      </c>
      <c r="C21" s="27" t="s">
        <v>15</v>
      </c>
      <c r="D21" s="31">
        <v>5</v>
      </c>
      <c r="E21" s="31" t="s">
        <v>30</v>
      </c>
      <c r="F21" s="28">
        <v>435000</v>
      </c>
      <c r="G21" s="179">
        <v>2175000</v>
      </c>
      <c r="H21" s="185"/>
      <c r="I21" s="181"/>
      <c r="J21" s="26"/>
      <c r="K21" s="201">
        <v>19</v>
      </c>
      <c r="L21" s="198">
        <v>44933</v>
      </c>
      <c r="M21" s="199" t="s">
        <v>83</v>
      </c>
      <c r="N21" s="215">
        <v>3750000</v>
      </c>
      <c r="O21" s="216" t="s">
        <v>1260</v>
      </c>
    </row>
    <row r="22" spans="1:15">
      <c r="A22" s="29"/>
      <c r="B22" s="29" t="s">
        <v>1189</v>
      </c>
      <c r="C22" s="27" t="s">
        <v>15</v>
      </c>
      <c r="D22" s="31">
        <v>5</v>
      </c>
      <c r="E22" s="31" t="s">
        <v>30</v>
      </c>
      <c r="F22" s="28">
        <v>435000</v>
      </c>
      <c r="G22" s="179">
        <v>2175000</v>
      </c>
      <c r="H22" s="185"/>
      <c r="I22" s="181"/>
      <c r="J22" s="26"/>
      <c r="K22" s="29"/>
      <c r="L22" s="25"/>
      <c r="M22" s="27"/>
      <c r="N22" s="28"/>
      <c r="O22" s="29"/>
    </row>
    <row r="23" spans="1:15">
      <c r="A23" s="29"/>
      <c r="B23" s="29" t="s">
        <v>1190</v>
      </c>
      <c r="C23" s="27" t="s">
        <v>15</v>
      </c>
      <c r="D23" s="31">
        <v>5</v>
      </c>
      <c r="E23" s="31" t="s">
        <v>30</v>
      </c>
      <c r="F23" s="28">
        <v>435000</v>
      </c>
      <c r="G23" s="179">
        <v>2175000</v>
      </c>
      <c r="H23" s="185"/>
      <c r="I23" s="181"/>
      <c r="J23" s="26"/>
      <c r="K23" s="26"/>
      <c r="L23" s="34"/>
      <c r="M23" s="34"/>
      <c r="N23" s="26"/>
      <c r="O23" s="26"/>
    </row>
    <row r="24" spans="1:15">
      <c r="A24" s="29"/>
      <c r="B24" s="29" t="s">
        <v>1191</v>
      </c>
      <c r="C24" s="27" t="s">
        <v>15</v>
      </c>
      <c r="D24" s="31">
        <v>3</v>
      </c>
      <c r="E24" s="31" t="s">
        <v>30</v>
      </c>
      <c r="F24" s="28">
        <v>435000</v>
      </c>
      <c r="G24" s="179">
        <v>1305000</v>
      </c>
      <c r="H24" s="185"/>
      <c r="I24" s="181"/>
      <c r="J24" s="26"/>
      <c r="K24" s="26"/>
      <c r="L24" s="34"/>
      <c r="M24" s="34"/>
      <c r="N24" s="35"/>
      <c r="O24" s="26"/>
    </row>
    <row r="25" spans="1:15">
      <c r="A25" s="29"/>
      <c r="B25" s="29" t="s">
        <v>1192</v>
      </c>
      <c r="C25" s="27" t="s">
        <v>15</v>
      </c>
      <c r="D25" s="31">
        <v>10</v>
      </c>
      <c r="E25" s="31" t="s">
        <v>30</v>
      </c>
      <c r="F25" s="28">
        <v>45000</v>
      </c>
      <c r="G25" s="179">
        <v>450000</v>
      </c>
      <c r="H25" s="185"/>
      <c r="I25" s="181"/>
      <c r="J25" s="26"/>
      <c r="K25" s="26"/>
      <c r="L25" s="34"/>
      <c r="M25" s="34"/>
      <c r="N25" s="26" t="s">
        <v>1239</v>
      </c>
      <c r="O25" s="26"/>
    </row>
    <row r="26" spans="1:15" ht="15.75" thickBot="1">
      <c r="A26" s="29"/>
      <c r="B26" s="29" t="s">
        <v>1193</v>
      </c>
      <c r="C26" s="27" t="s">
        <v>15</v>
      </c>
      <c r="D26" s="31">
        <v>10</v>
      </c>
      <c r="E26" s="31" t="s">
        <v>30</v>
      </c>
      <c r="F26" s="28">
        <v>95000</v>
      </c>
      <c r="G26" s="179">
        <v>950000</v>
      </c>
      <c r="H26" s="185"/>
      <c r="I26" s="181"/>
      <c r="J26" s="26"/>
      <c r="K26" s="26"/>
      <c r="L26" s="34"/>
      <c r="M26" s="34"/>
      <c r="N26" s="26">
        <v>96</v>
      </c>
      <c r="O26" s="26"/>
    </row>
    <row r="27" spans="1:15">
      <c r="A27" s="29"/>
      <c r="B27" s="29" t="s">
        <v>1195</v>
      </c>
      <c r="C27" s="27" t="s">
        <v>638</v>
      </c>
      <c r="D27" s="31">
        <v>3</v>
      </c>
      <c r="E27" s="31" t="s">
        <v>30</v>
      </c>
      <c r="F27" s="28">
        <v>1900000</v>
      </c>
      <c r="G27" s="179">
        <v>5700000</v>
      </c>
      <c r="H27" s="184" t="s">
        <v>1196</v>
      </c>
      <c r="I27" s="181" t="s">
        <v>44</v>
      </c>
      <c r="J27" s="26"/>
      <c r="K27" s="26"/>
      <c r="L27" s="34"/>
      <c r="M27" s="34"/>
      <c r="N27" s="26"/>
      <c r="O27" s="26"/>
    </row>
    <row r="28" spans="1:15" ht="15.75" thickBot="1">
      <c r="A28" s="29"/>
      <c r="B28" s="29" t="s">
        <v>1008</v>
      </c>
      <c r="C28" s="27" t="s">
        <v>638</v>
      </c>
      <c r="D28" s="31">
        <v>1</v>
      </c>
      <c r="E28" s="31" t="s">
        <v>30</v>
      </c>
      <c r="F28" s="28">
        <v>1600000</v>
      </c>
      <c r="G28" s="179">
        <v>1600000</v>
      </c>
      <c r="H28" s="350"/>
      <c r="I28" s="181"/>
      <c r="J28" s="26"/>
      <c r="K28" s="26"/>
      <c r="L28" s="34"/>
      <c r="M28" s="34"/>
      <c r="N28" s="26"/>
      <c r="O28" s="26"/>
    </row>
    <row r="29" spans="1:15">
      <c r="A29" s="32">
        <v>44905</v>
      </c>
      <c r="B29" s="29" t="s">
        <v>1197</v>
      </c>
      <c r="C29" s="27" t="s">
        <v>1177</v>
      </c>
      <c r="D29" s="31">
        <v>1</v>
      </c>
      <c r="E29" s="31" t="s">
        <v>30</v>
      </c>
      <c r="F29" s="28">
        <v>450000</v>
      </c>
      <c r="G29" s="28">
        <v>450000</v>
      </c>
      <c r="H29" s="279" t="s">
        <v>491</v>
      </c>
      <c r="I29" s="29" t="s">
        <v>1198</v>
      </c>
      <c r="J29" s="26"/>
      <c r="K29" s="26"/>
      <c r="L29" s="34"/>
      <c r="M29" s="34"/>
      <c r="N29" s="26"/>
      <c r="O29" s="26"/>
    </row>
    <row r="30" spans="1:15">
      <c r="A30" s="32">
        <v>44908</v>
      </c>
      <c r="B30" s="29" t="s">
        <v>1199</v>
      </c>
      <c r="C30" s="27" t="s">
        <v>173</v>
      </c>
      <c r="D30" s="31">
        <v>1</v>
      </c>
      <c r="E30" s="31" t="s">
        <v>30</v>
      </c>
      <c r="F30" s="28">
        <v>5200000</v>
      </c>
      <c r="G30" s="28">
        <v>5200000</v>
      </c>
      <c r="H30" s="28" t="s">
        <v>1200</v>
      </c>
      <c r="I30" s="29" t="s">
        <v>44</v>
      </c>
      <c r="J30" s="26"/>
      <c r="K30" s="26"/>
      <c r="L30" s="34"/>
      <c r="M30" s="34"/>
      <c r="N30" s="26"/>
      <c r="O30" s="26"/>
    </row>
    <row r="31" spans="1:15" ht="15.75" thickBot="1">
      <c r="A31" s="32">
        <v>44907</v>
      </c>
      <c r="B31" s="29" t="s">
        <v>1043</v>
      </c>
      <c r="C31" s="27" t="s">
        <v>1201</v>
      </c>
      <c r="D31" s="31">
        <v>1</v>
      </c>
      <c r="E31" s="31" t="s">
        <v>49</v>
      </c>
      <c r="F31" s="28"/>
      <c r="G31" s="28"/>
      <c r="H31" s="406"/>
      <c r="I31" s="29" t="s">
        <v>1126</v>
      </c>
      <c r="J31" s="26"/>
      <c r="L31" s="34"/>
      <c r="M31" s="34"/>
      <c r="N31" s="26"/>
    </row>
    <row r="32" spans="1:15">
      <c r="A32" s="12">
        <v>44910</v>
      </c>
      <c r="B32" s="13" t="s">
        <v>1204</v>
      </c>
      <c r="C32" s="13" t="s">
        <v>17</v>
      </c>
      <c r="D32" s="13">
        <v>2</v>
      </c>
      <c r="E32" s="13" t="s">
        <v>30</v>
      </c>
      <c r="F32" s="15">
        <v>795000</v>
      </c>
      <c r="G32" s="77">
        <v>1590000</v>
      </c>
      <c r="H32" s="187"/>
      <c r="I32" s="182"/>
      <c r="M32" s="5"/>
    </row>
    <row r="33" spans="1:13">
      <c r="A33" s="13"/>
      <c r="B33" s="13" t="s">
        <v>1202</v>
      </c>
      <c r="C33" s="13" t="s">
        <v>17</v>
      </c>
      <c r="D33" s="13">
        <v>1</v>
      </c>
      <c r="E33" s="13" t="s">
        <v>30</v>
      </c>
      <c r="F33" s="15">
        <v>795000</v>
      </c>
      <c r="G33" s="77">
        <v>795000</v>
      </c>
      <c r="H33" s="186" t="s">
        <v>837</v>
      </c>
      <c r="I33" s="182" t="s">
        <v>71</v>
      </c>
      <c r="M33" s="5"/>
    </row>
    <row r="34" spans="1:13" ht="15.75" thickBot="1">
      <c r="A34" s="13"/>
      <c r="B34" s="13" t="s">
        <v>1203</v>
      </c>
      <c r="C34" s="13" t="s">
        <v>17</v>
      </c>
      <c r="D34" s="13">
        <v>1</v>
      </c>
      <c r="E34" s="13" t="s">
        <v>30</v>
      </c>
      <c r="F34" s="15">
        <v>795000</v>
      </c>
      <c r="G34" s="77">
        <v>795000</v>
      </c>
      <c r="H34" s="188"/>
      <c r="I34" s="182"/>
      <c r="M34" s="5"/>
    </row>
    <row r="35" spans="1:13" ht="15.75" thickBot="1">
      <c r="A35" s="12">
        <v>44912</v>
      </c>
      <c r="B35" s="13" t="s">
        <v>1205</v>
      </c>
      <c r="C35" s="13" t="s">
        <v>83</v>
      </c>
      <c r="D35" s="13">
        <v>1</v>
      </c>
      <c r="E35" s="13" t="s">
        <v>30</v>
      </c>
      <c r="F35" s="15">
        <v>1550000</v>
      </c>
      <c r="G35" s="15">
        <v>1550000</v>
      </c>
      <c r="H35" s="305" t="s">
        <v>1053</v>
      </c>
      <c r="I35" s="13" t="s">
        <v>44</v>
      </c>
      <c r="M35" s="5"/>
    </row>
    <row r="36" spans="1:13">
      <c r="A36" s="12">
        <v>44914</v>
      </c>
      <c r="B36" s="13" t="s">
        <v>1206</v>
      </c>
      <c r="C36" s="13" t="s">
        <v>15</v>
      </c>
      <c r="D36" s="13">
        <v>10</v>
      </c>
      <c r="E36" s="13" t="s">
        <v>30</v>
      </c>
      <c r="F36" s="15">
        <v>90000</v>
      </c>
      <c r="G36" s="77">
        <v>900000</v>
      </c>
      <c r="H36" s="187"/>
      <c r="I36" s="182"/>
      <c r="M36" s="5"/>
    </row>
    <row r="37" spans="1:13">
      <c r="A37" s="13"/>
      <c r="B37" s="13" t="s">
        <v>1207</v>
      </c>
      <c r="C37" s="13" t="s">
        <v>15</v>
      </c>
      <c r="D37" s="13">
        <v>10</v>
      </c>
      <c r="E37" s="13" t="s">
        <v>30</v>
      </c>
      <c r="F37" s="15">
        <v>125000</v>
      </c>
      <c r="G37" s="77">
        <v>1250000</v>
      </c>
      <c r="H37" s="186" t="s">
        <v>1212</v>
      </c>
      <c r="I37" s="182" t="s">
        <v>71</v>
      </c>
      <c r="M37" s="5"/>
    </row>
    <row r="38" spans="1:13">
      <c r="A38" s="13"/>
      <c r="B38" s="13" t="s">
        <v>1208</v>
      </c>
      <c r="C38" s="13" t="s">
        <v>15</v>
      </c>
      <c r="D38" s="13">
        <v>10</v>
      </c>
      <c r="E38" s="13" t="s">
        <v>30</v>
      </c>
      <c r="F38" s="15">
        <v>135000</v>
      </c>
      <c r="G38" s="77">
        <v>1350000</v>
      </c>
      <c r="H38" s="186"/>
      <c r="I38" s="182"/>
      <c r="M38" s="5"/>
    </row>
    <row r="39" spans="1:13" ht="15.75" thickBot="1">
      <c r="A39" s="13"/>
      <c r="B39" s="13" t="s">
        <v>759</v>
      </c>
      <c r="C39" s="13" t="s">
        <v>15</v>
      </c>
      <c r="D39" s="13">
        <v>22</v>
      </c>
      <c r="E39" s="13" t="s">
        <v>30</v>
      </c>
      <c r="F39" s="15">
        <v>120000</v>
      </c>
      <c r="G39" s="77">
        <v>2640000</v>
      </c>
      <c r="H39" s="186"/>
      <c r="I39" s="182"/>
      <c r="M39" s="5"/>
    </row>
    <row r="40" spans="1:13">
      <c r="A40" s="13"/>
      <c r="B40" s="13" t="s">
        <v>1209</v>
      </c>
      <c r="C40" s="13" t="s">
        <v>17</v>
      </c>
      <c r="D40" s="13">
        <v>1</v>
      </c>
      <c r="E40" s="13" t="s">
        <v>30</v>
      </c>
      <c r="F40" s="15">
        <v>795000</v>
      </c>
      <c r="G40" s="77">
        <v>795000</v>
      </c>
      <c r="H40" s="210"/>
      <c r="I40" s="182"/>
      <c r="M40" s="5"/>
    </row>
    <row r="41" spans="1:13">
      <c r="A41" s="13"/>
      <c r="B41" s="13" t="s">
        <v>1210</v>
      </c>
      <c r="C41" s="13" t="s">
        <v>17</v>
      </c>
      <c r="D41" s="13">
        <v>1</v>
      </c>
      <c r="E41" s="13" t="s">
        <v>30</v>
      </c>
      <c r="F41" s="15">
        <v>795000</v>
      </c>
      <c r="G41" s="77">
        <v>795000</v>
      </c>
      <c r="H41" s="211" t="s">
        <v>382</v>
      </c>
      <c r="I41" s="182" t="s">
        <v>71</v>
      </c>
      <c r="M41" s="5"/>
    </row>
    <row r="42" spans="1:13" ht="15.75" thickBot="1">
      <c r="A42" s="13"/>
      <c r="B42" s="13" t="s">
        <v>1211</v>
      </c>
      <c r="C42" s="13" t="s">
        <v>17</v>
      </c>
      <c r="D42" s="13">
        <v>3</v>
      </c>
      <c r="E42" s="13" t="s">
        <v>30</v>
      </c>
      <c r="F42" s="15">
        <v>225000</v>
      </c>
      <c r="G42" s="77">
        <v>675000</v>
      </c>
      <c r="H42" s="438"/>
      <c r="I42" s="182"/>
      <c r="M42" s="5"/>
    </row>
    <row r="43" spans="1:13" ht="15.75" thickBot="1">
      <c r="A43" s="12">
        <v>44885</v>
      </c>
      <c r="B43" s="13" t="s">
        <v>1213</v>
      </c>
      <c r="C43" s="13" t="s">
        <v>638</v>
      </c>
      <c r="D43" s="13">
        <v>2</v>
      </c>
      <c r="E43" s="13" t="s">
        <v>30</v>
      </c>
      <c r="F43" s="15">
        <v>2300000</v>
      </c>
      <c r="G43" s="77">
        <v>4600000</v>
      </c>
      <c r="H43" s="306" t="s">
        <v>1214</v>
      </c>
      <c r="I43" s="182" t="s">
        <v>44</v>
      </c>
      <c r="M43" s="5"/>
    </row>
    <row r="44" spans="1:13" ht="15.75" thickBot="1">
      <c r="A44" s="12">
        <v>44921</v>
      </c>
      <c r="B44" s="13" t="s">
        <v>1216</v>
      </c>
      <c r="C44" s="13" t="s">
        <v>1217</v>
      </c>
      <c r="D44" s="13">
        <v>3</v>
      </c>
      <c r="E44" s="13" t="s">
        <v>30</v>
      </c>
      <c r="F44" s="15">
        <v>250000</v>
      </c>
      <c r="G44" s="77">
        <v>750000</v>
      </c>
      <c r="H44" s="187" t="s">
        <v>951</v>
      </c>
      <c r="I44" s="182" t="s">
        <v>44</v>
      </c>
      <c r="M44" s="5"/>
    </row>
    <row r="45" spans="1:13">
      <c r="A45" s="13"/>
      <c r="B45" s="13" t="s">
        <v>1219</v>
      </c>
      <c r="C45" s="13" t="s">
        <v>1177</v>
      </c>
      <c r="D45" s="13">
        <v>10</v>
      </c>
      <c r="E45" s="13" t="s">
        <v>30</v>
      </c>
      <c r="F45" s="15">
        <v>175000</v>
      </c>
      <c r="G45" s="77">
        <v>1750000</v>
      </c>
      <c r="H45" s="187"/>
      <c r="I45" s="182"/>
      <c r="M45" s="5"/>
    </row>
    <row r="46" spans="1:13">
      <c r="A46" s="13"/>
      <c r="B46" s="13" t="s">
        <v>1220</v>
      </c>
      <c r="C46" s="13" t="s">
        <v>1177</v>
      </c>
      <c r="D46" s="13">
        <v>10</v>
      </c>
      <c r="E46" s="13" t="s">
        <v>30</v>
      </c>
      <c r="F46" s="15">
        <v>175000</v>
      </c>
      <c r="G46" s="77">
        <v>1750000</v>
      </c>
      <c r="H46" s="186"/>
      <c r="I46" s="182"/>
      <c r="M46" s="5"/>
    </row>
    <row r="47" spans="1:13">
      <c r="A47" s="13"/>
      <c r="B47" s="13" t="s">
        <v>1221</v>
      </c>
      <c r="C47" s="13" t="s">
        <v>1177</v>
      </c>
      <c r="D47" s="13">
        <v>5</v>
      </c>
      <c r="E47" s="13" t="s">
        <v>30</v>
      </c>
      <c r="F47" s="15">
        <v>185000</v>
      </c>
      <c r="G47" s="77">
        <v>925000</v>
      </c>
      <c r="H47" s="186" t="s">
        <v>1225</v>
      </c>
      <c r="I47" s="182" t="s">
        <v>1042</v>
      </c>
      <c r="M47" s="5"/>
    </row>
    <row r="48" spans="1:13">
      <c r="A48" s="13"/>
      <c r="B48" s="13" t="s">
        <v>1222</v>
      </c>
      <c r="C48" s="13" t="s">
        <v>1177</v>
      </c>
      <c r="D48" s="13">
        <v>10</v>
      </c>
      <c r="E48" s="13" t="s">
        <v>30</v>
      </c>
      <c r="F48" s="15">
        <v>185000</v>
      </c>
      <c r="G48" s="77">
        <v>1850000</v>
      </c>
      <c r="H48" s="186"/>
      <c r="I48" s="182"/>
      <c r="M48" s="5"/>
    </row>
    <row r="49" spans="1:13">
      <c r="A49" s="13"/>
      <c r="B49" s="13" t="s">
        <v>1223</v>
      </c>
      <c r="C49" s="13" t="s">
        <v>1177</v>
      </c>
      <c r="D49" s="13">
        <v>3</v>
      </c>
      <c r="E49" s="13" t="s">
        <v>30</v>
      </c>
      <c r="F49" s="15">
        <v>175000</v>
      </c>
      <c r="G49" s="77">
        <v>525000</v>
      </c>
      <c r="H49" s="186"/>
      <c r="I49" s="182"/>
      <c r="M49" s="5"/>
    </row>
    <row r="50" spans="1:13" ht="15.75" thickBot="1">
      <c r="A50" s="13"/>
      <c r="B50" s="13" t="s">
        <v>1224</v>
      </c>
      <c r="C50" s="13" t="s">
        <v>1177</v>
      </c>
      <c r="D50" s="13">
        <v>2</v>
      </c>
      <c r="E50" s="13" t="s">
        <v>30</v>
      </c>
      <c r="F50" s="15">
        <v>500000</v>
      </c>
      <c r="G50" s="77">
        <v>1000000</v>
      </c>
      <c r="H50" s="188"/>
      <c r="I50" s="182"/>
      <c r="M50" s="5"/>
    </row>
    <row r="51" spans="1:13" ht="15.75" thickBot="1">
      <c r="A51" s="12">
        <v>44922</v>
      </c>
      <c r="B51" s="13" t="s">
        <v>1226</v>
      </c>
      <c r="C51" s="13" t="s">
        <v>83</v>
      </c>
      <c r="D51" s="13">
        <v>1</v>
      </c>
      <c r="E51" s="13" t="s">
        <v>30</v>
      </c>
      <c r="F51" s="15">
        <v>1200000</v>
      </c>
      <c r="G51" s="77">
        <v>1200000</v>
      </c>
      <c r="H51" s="306" t="s">
        <v>835</v>
      </c>
      <c r="I51" s="182" t="s">
        <v>44</v>
      </c>
      <c r="M51" s="5"/>
    </row>
    <row r="52" spans="1:13" ht="15.75" thickBot="1">
      <c r="A52" s="13"/>
      <c r="B52" s="13" t="s">
        <v>1227</v>
      </c>
      <c r="C52" s="13" t="s">
        <v>83</v>
      </c>
      <c r="D52" s="13">
        <v>3</v>
      </c>
      <c r="E52" s="13" t="s">
        <v>30</v>
      </c>
      <c r="F52" s="15">
        <v>700000</v>
      </c>
      <c r="G52" s="77">
        <v>2100000</v>
      </c>
      <c r="H52" s="187" t="s">
        <v>1152</v>
      </c>
      <c r="I52" s="182" t="s">
        <v>1126</v>
      </c>
      <c r="M52" s="5"/>
    </row>
    <row r="53" spans="1:13">
      <c r="A53" s="12">
        <v>44925</v>
      </c>
      <c r="B53" s="13" t="s">
        <v>1228</v>
      </c>
      <c r="C53" s="13" t="s">
        <v>1177</v>
      </c>
      <c r="D53" s="13">
        <v>1</v>
      </c>
      <c r="E53" s="13" t="s">
        <v>30</v>
      </c>
      <c r="F53" s="15">
        <v>1950000</v>
      </c>
      <c r="G53" s="77">
        <v>1950000</v>
      </c>
      <c r="H53" s="187"/>
      <c r="I53" s="182"/>
      <c r="M53" s="5"/>
    </row>
    <row r="54" spans="1:13">
      <c r="A54" s="13"/>
      <c r="B54" s="13" t="s">
        <v>1229</v>
      </c>
      <c r="C54" s="13" t="s">
        <v>1177</v>
      </c>
      <c r="D54" s="13">
        <v>1</v>
      </c>
      <c r="E54" s="13" t="s">
        <v>30</v>
      </c>
      <c r="F54" s="15">
        <v>1650000</v>
      </c>
      <c r="G54" s="77">
        <v>1650000</v>
      </c>
      <c r="H54" s="186"/>
      <c r="I54" s="182"/>
      <c r="M54" s="5"/>
    </row>
    <row r="55" spans="1:13">
      <c r="A55" s="13"/>
      <c r="B55" s="13" t="s">
        <v>1230</v>
      </c>
      <c r="C55" s="13" t="s">
        <v>1177</v>
      </c>
      <c r="D55" s="13">
        <v>2</v>
      </c>
      <c r="E55" s="13" t="s">
        <v>30</v>
      </c>
      <c r="F55" s="15">
        <v>750000</v>
      </c>
      <c r="G55" s="77">
        <v>1500000</v>
      </c>
      <c r="H55" s="186"/>
      <c r="I55" s="182"/>
      <c r="M55" s="5"/>
    </row>
    <row r="56" spans="1:13">
      <c r="A56" s="13"/>
      <c r="B56" s="13" t="s">
        <v>1231</v>
      </c>
      <c r="C56" s="13" t="s">
        <v>1177</v>
      </c>
      <c r="D56" s="13">
        <v>1</v>
      </c>
      <c r="E56" s="13" t="s">
        <v>30</v>
      </c>
      <c r="F56" s="15">
        <v>750000</v>
      </c>
      <c r="G56" s="77">
        <v>750000</v>
      </c>
      <c r="H56" s="186" t="s">
        <v>1237</v>
      </c>
      <c r="I56" s="182" t="s">
        <v>1042</v>
      </c>
      <c r="M56" s="5"/>
    </row>
    <row r="57" spans="1:13">
      <c r="A57" s="13"/>
      <c r="B57" s="13" t="s">
        <v>1232</v>
      </c>
      <c r="C57" s="13" t="s">
        <v>1177</v>
      </c>
      <c r="D57" s="13">
        <v>1</v>
      </c>
      <c r="E57" s="13" t="s">
        <v>30</v>
      </c>
      <c r="F57" s="15">
        <v>750000</v>
      </c>
      <c r="G57" s="77">
        <v>750000</v>
      </c>
      <c r="H57" s="186"/>
      <c r="I57" s="182"/>
      <c r="M57" s="5"/>
    </row>
    <row r="58" spans="1:13">
      <c r="A58" s="13"/>
      <c r="B58" s="13" t="s">
        <v>1233</v>
      </c>
      <c r="C58" s="13" t="s">
        <v>1177</v>
      </c>
      <c r="D58" s="13">
        <v>2</v>
      </c>
      <c r="E58" s="13" t="s">
        <v>30</v>
      </c>
      <c r="F58" s="15">
        <v>650000</v>
      </c>
      <c r="G58" s="77">
        <v>1300000</v>
      </c>
      <c r="H58" s="186"/>
      <c r="I58" s="182"/>
      <c r="M58" s="5"/>
    </row>
    <row r="59" spans="1:13">
      <c r="A59" s="13"/>
      <c r="B59" s="13" t="s">
        <v>1234</v>
      </c>
      <c r="C59" s="13" t="s">
        <v>1177</v>
      </c>
      <c r="D59" s="13">
        <v>2</v>
      </c>
      <c r="E59" s="13" t="s">
        <v>30</v>
      </c>
      <c r="F59" s="15">
        <v>650000</v>
      </c>
      <c r="G59" s="77">
        <v>1300000</v>
      </c>
      <c r="H59" s="186"/>
      <c r="I59" s="182"/>
      <c r="M59" s="5"/>
    </row>
    <row r="60" spans="1:13">
      <c r="A60" s="13"/>
      <c r="B60" s="13" t="s">
        <v>1235</v>
      </c>
      <c r="C60" s="13" t="s">
        <v>1177</v>
      </c>
      <c r="D60" s="13">
        <v>2</v>
      </c>
      <c r="E60" s="13" t="s">
        <v>30</v>
      </c>
      <c r="F60" s="15">
        <v>650000</v>
      </c>
      <c r="G60" s="77">
        <v>1300000</v>
      </c>
      <c r="H60" s="186"/>
      <c r="I60" s="182"/>
      <c r="M60" s="5"/>
    </row>
    <row r="61" spans="1:13" ht="15.75" thickBot="1">
      <c r="A61" s="13"/>
      <c r="B61" s="13" t="s">
        <v>1236</v>
      </c>
      <c r="C61" s="13" t="s">
        <v>1177</v>
      </c>
      <c r="D61" s="13">
        <v>1</v>
      </c>
      <c r="E61" s="13" t="s">
        <v>30</v>
      </c>
      <c r="F61" s="15">
        <v>500000</v>
      </c>
      <c r="G61" s="77">
        <v>500000</v>
      </c>
      <c r="H61" s="188"/>
      <c r="I61" s="182"/>
      <c r="M61" s="5"/>
    </row>
    <row r="62" spans="1:13">
      <c r="A62" s="13"/>
      <c r="B62" s="13"/>
      <c r="C62" s="13"/>
      <c r="D62" s="13"/>
      <c r="E62" s="13"/>
      <c r="F62" s="13"/>
      <c r="G62" s="15"/>
      <c r="H62" s="231"/>
      <c r="I62" s="13"/>
      <c r="M62" s="5"/>
    </row>
    <row r="63" spans="1:13">
      <c r="M63" s="5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JANUARI</vt:lpstr>
      <vt:lpstr>FEBRUARI</vt:lpstr>
      <vt:lpstr>MARET</vt:lpstr>
      <vt:lpstr>APRIL</vt:lpstr>
      <vt:lpstr>MEI</vt:lpstr>
      <vt:lpstr>JUNI</vt:lpstr>
      <vt:lpstr>JULI</vt:lpstr>
      <vt:lpstr>AGUSTUS</vt:lpstr>
      <vt:lpstr>SEPTEMBER</vt:lpstr>
      <vt:lpstr>OKTOBER</vt:lpstr>
      <vt:lpstr>NOVEMBER</vt:lpstr>
      <vt:lpstr>DESEMBER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araw film</dc:creator>
  <cp:lastModifiedBy>user</cp:lastModifiedBy>
  <dcterms:created xsi:type="dcterms:W3CDTF">2021-07-27T04:21:52Z</dcterms:created>
  <dcterms:modified xsi:type="dcterms:W3CDTF">2024-01-19T06:23:20Z</dcterms:modified>
</cp:coreProperties>
</file>