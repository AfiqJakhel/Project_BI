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 firstSheet="1" activeTab="11"/>
  </bookViews>
  <sheets>
    <sheet name="JANUARI" sheetId="1" r:id="rId1"/>
    <sheet name="FEBRUARI" sheetId="2" r:id="rId2"/>
    <sheet name="MARET" sheetId="3" r:id="rId3"/>
    <sheet name="APRIL" sheetId="4" r:id="rId4"/>
    <sheet name="MA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24519"/>
</workbook>
</file>

<file path=xl/calcChain.xml><?xml version="1.0" encoding="utf-8"?>
<calcChain xmlns="http://schemas.openxmlformats.org/spreadsheetml/2006/main">
  <c r="F36" i="12"/>
  <c r="G36"/>
  <c r="D36"/>
  <c r="F35"/>
  <c r="G35"/>
  <c r="D35"/>
  <c r="F34"/>
  <c r="G34"/>
  <c r="D34"/>
  <c r="F33"/>
  <c r="G33"/>
  <c r="D33"/>
  <c r="F32"/>
  <c r="G32"/>
  <c r="D32"/>
  <c r="F31"/>
  <c r="G31"/>
  <c r="D31"/>
  <c r="F30"/>
  <c r="G30"/>
  <c r="D30"/>
  <c r="F29"/>
  <c r="G29"/>
  <c r="D29"/>
  <c r="F28"/>
  <c r="G28"/>
  <c r="D28"/>
  <c r="F27"/>
  <c r="G27"/>
  <c r="D27"/>
  <c r="F26"/>
  <c r="G26"/>
  <c r="D26"/>
  <c r="F25"/>
  <c r="G25"/>
  <c r="D25"/>
  <c r="G24"/>
  <c r="F24"/>
  <c r="D24"/>
  <c r="F22"/>
  <c r="G22"/>
  <c r="D22"/>
  <c r="F21"/>
  <c r="G21"/>
  <c r="D21"/>
  <c r="F20"/>
  <c r="G20"/>
  <c r="D20"/>
  <c r="F19"/>
  <c r="G19"/>
  <c r="D19"/>
  <c r="F18"/>
  <c r="G18"/>
  <c r="D18"/>
  <c r="F17"/>
  <c r="G17"/>
  <c r="D17"/>
  <c r="L35"/>
  <c r="G16"/>
  <c r="D16"/>
  <c r="F16" s="1"/>
  <c r="F15"/>
  <c r="G15"/>
  <c r="D15"/>
  <c r="F14"/>
  <c r="G14"/>
  <c r="D14"/>
  <c r="F13"/>
  <c r="G13"/>
  <c r="D13"/>
  <c r="F12"/>
  <c r="G12"/>
  <c r="D12"/>
  <c r="F11"/>
  <c r="G11"/>
  <c r="D11"/>
  <c r="L30"/>
  <c r="G39"/>
  <c r="E39"/>
  <c r="C39"/>
  <c r="B39"/>
  <c r="G10"/>
  <c r="F10"/>
  <c r="G9"/>
  <c r="F9"/>
  <c r="G8"/>
  <c r="F8"/>
  <c r="D8"/>
  <c r="G7"/>
  <c r="F7"/>
  <c r="D7"/>
  <c r="F36" i="11"/>
  <c r="G36"/>
  <c r="D36"/>
  <c r="F35"/>
  <c r="G35"/>
  <c r="D35"/>
  <c r="F34"/>
  <c r="G34"/>
  <c r="D34"/>
  <c r="G33"/>
  <c r="F33"/>
  <c r="D33"/>
  <c r="G32"/>
  <c r="F32"/>
  <c r="F31"/>
  <c r="G31"/>
  <c r="D31"/>
  <c r="F30"/>
  <c r="G30"/>
  <c r="D30"/>
  <c r="F29"/>
  <c r="G29"/>
  <c r="D29"/>
  <c r="F28"/>
  <c r="G28"/>
  <c r="D28"/>
  <c r="F27"/>
  <c r="G27"/>
  <c r="D27"/>
  <c r="G26"/>
  <c r="F26"/>
  <c r="D26"/>
  <c r="F24"/>
  <c r="G24"/>
  <c r="D24"/>
  <c r="F23"/>
  <c r="G23"/>
  <c r="D23"/>
  <c r="G22"/>
  <c r="F22"/>
  <c r="D22"/>
  <c r="G21"/>
  <c r="F21"/>
  <c r="G20"/>
  <c r="F20"/>
  <c r="D20"/>
  <c r="G18"/>
  <c r="F18"/>
  <c r="G19"/>
  <c r="F19"/>
  <c r="F17"/>
  <c r="G17"/>
  <c r="D17"/>
  <c r="F16"/>
  <c r="G16"/>
  <c r="D16"/>
  <c r="F15"/>
  <c r="G15"/>
  <c r="F14"/>
  <c r="G14"/>
  <c r="D14"/>
  <c r="F13"/>
  <c r="G13"/>
  <c r="D13"/>
  <c r="L35"/>
  <c r="F12"/>
  <c r="G12"/>
  <c r="D12"/>
  <c r="F11"/>
  <c r="G11"/>
  <c r="D11"/>
  <c r="G10"/>
  <c r="F10"/>
  <c r="D10"/>
  <c r="G9"/>
  <c r="F9"/>
  <c r="D9"/>
  <c r="G8"/>
  <c r="F8"/>
  <c r="D8"/>
  <c r="L40"/>
  <c r="E44"/>
  <c r="C44"/>
  <c r="B44"/>
  <c r="G7"/>
  <c r="F7"/>
  <c r="D7"/>
  <c r="G37" i="10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F31"/>
  <c r="F30"/>
  <c r="G30"/>
  <c r="G29"/>
  <c r="D29"/>
  <c r="F29" s="1"/>
  <c r="F27"/>
  <c r="G27"/>
  <c r="F25"/>
  <c r="G25"/>
  <c r="G26"/>
  <c r="F26"/>
  <c r="G24"/>
  <c r="D24"/>
  <c r="F24" s="1"/>
  <c r="G21"/>
  <c r="D21"/>
  <c r="F21" s="1"/>
  <c r="G23"/>
  <c r="D23"/>
  <c r="F23" s="1"/>
  <c r="G22"/>
  <c r="D22"/>
  <c r="F22" s="1"/>
  <c r="D20"/>
  <c r="F20"/>
  <c r="G20"/>
  <c r="F19"/>
  <c r="G19"/>
  <c r="G18"/>
  <c r="D18"/>
  <c r="F18" s="1"/>
  <c r="G17"/>
  <c r="D17"/>
  <c r="F17" s="1"/>
  <c r="G16"/>
  <c r="D16"/>
  <c r="F16" s="1"/>
  <c r="F15"/>
  <c r="G15"/>
  <c r="F14"/>
  <c r="G14"/>
  <c r="G13"/>
  <c r="D13"/>
  <c r="F13" s="1"/>
  <c r="L45"/>
  <c r="L40"/>
  <c r="E49"/>
  <c r="C49"/>
  <c r="B49"/>
  <c r="F12"/>
  <c r="G12"/>
  <c r="G11"/>
  <c r="D11"/>
  <c r="F11" s="1"/>
  <c r="G10"/>
  <c r="F10"/>
  <c r="G9"/>
  <c r="D9"/>
  <c r="F9" s="1"/>
  <c r="G8"/>
  <c r="D8"/>
  <c r="F8" s="1"/>
  <c r="G7"/>
  <c r="F7"/>
  <c r="F36" i="9"/>
  <c r="G36"/>
  <c r="D36"/>
  <c r="F35"/>
  <c r="G35"/>
  <c r="D35"/>
  <c r="F34"/>
  <c r="G34"/>
  <c r="D34"/>
  <c r="F33"/>
  <c r="G33"/>
  <c r="D33"/>
  <c r="G32"/>
  <c r="F16"/>
  <c r="G16"/>
  <c r="F32"/>
  <c r="D32"/>
  <c r="G31"/>
  <c r="F31"/>
  <c r="F29"/>
  <c r="G29"/>
  <c r="D29"/>
  <c r="F28"/>
  <c r="G28"/>
  <c r="D28"/>
  <c r="F27"/>
  <c r="G27"/>
  <c r="D27"/>
  <c r="F26"/>
  <c r="G26"/>
  <c r="D26"/>
  <c r="F25"/>
  <c r="G25"/>
  <c r="D25"/>
  <c r="G24"/>
  <c r="F24"/>
  <c r="D24"/>
  <c r="F22"/>
  <c r="G22"/>
  <c r="D22"/>
  <c r="F21"/>
  <c r="G21"/>
  <c r="F20"/>
  <c r="G20"/>
  <c r="D20"/>
  <c r="F19"/>
  <c r="G19"/>
  <c r="D19"/>
  <c r="F18"/>
  <c r="G18"/>
  <c r="D18"/>
  <c r="G17"/>
  <c r="F17"/>
  <c r="D17"/>
  <c r="F15"/>
  <c r="G15"/>
  <c r="D15"/>
  <c r="F14"/>
  <c r="G14"/>
  <c r="D14"/>
  <c r="F13"/>
  <c r="G13"/>
  <c r="D13"/>
  <c r="F12"/>
  <c r="G12"/>
  <c r="D12"/>
  <c r="F11"/>
  <c r="G11"/>
  <c r="D11"/>
  <c r="L45"/>
  <c r="L40"/>
  <c r="E49"/>
  <c r="C49"/>
  <c r="B49"/>
  <c r="G9"/>
  <c r="F9"/>
  <c r="D9"/>
  <c r="G10"/>
  <c r="F10"/>
  <c r="D10"/>
  <c r="G8"/>
  <c r="F8"/>
  <c r="D8"/>
  <c r="G7"/>
  <c r="F7"/>
  <c r="D7"/>
  <c r="L31" i="8"/>
  <c r="G37"/>
  <c r="F37"/>
  <c r="D37"/>
  <c r="G36"/>
  <c r="F36"/>
  <c r="D36"/>
  <c r="F35"/>
  <c r="G35"/>
  <c r="D35"/>
  <c r="F34"/>
  <c r="G34"/>
  <c r="D34"/>
  <c r="F33"/>
  <c r="G33"/>
  <c r="F32"/>
  <c r="G32"/>
  <c r="D32"/>
  <c r="G31"/>
  <c r="G18"/>
  <c r="D31"/>
  <c r="F31" s="1"/>
  <c r="F30"/>
  <c r="G30"/>
  <c r="G29"/>
  <c r="F29"/>
  <c r="D29"/>
  <c r="F28"/>
  <c r="G28"/>
  <c r="D28"/>
  <c r="G27"/>
  <c r="F27"/>
  <c r="D27"/>
  <c r="G26"/>
  <c r="F26"/>
  <c r="G25"/>
  <c r="F25"/>
  <c r="D25"/>
  <c r="G24"/>
  <c r="F24"/>
  <c r="F22"/>
  <c r="G22"/>
  <c r="D22"/>
  <c r="F21"/>
  <c r="G21"/>
  <c r="D21"/>
  <c r="F19"/>
  <c r="G19"/>
  <c r="F12"/>
  <c r="G12"/>
  <c r="G20"/>
  <c r="F20"/>
  <c r="D20"/>
  <c r="F18"/>
  <c r="D18"/>
  <c r="G17"/>
  <c r="F17"/>
  <c r="D17"/>
  <c r="G16"/>
  <c r="F16"/>
  <c r="D16"/>
  <c r="G15"/>
  <c r="F15"/>
  <c r="G14"/>
  <c r="F14"/>
  <c r="D14"/>
  <c r="G13"/>
  <c r="F13"/>
  <c r="F11"/>
  <c r="G11"/>
  <c r="D11"/>
  <c r="G10"/>
  <c r="F10"/>
  <c r="D10"/>
  <c r="G9"/>
  <c r="F9"/>
  <c r="D9"/>
  <c r="L35"/>
  <c r="G8"/>
  <c r="F8"/>
  <c r="D8"/>
  <c r="F39" i="12" l="1"/>
  <c r="D39"/>
  <c r="L32"/>
  <c r="L37" s="1"/>
  <c r="G44" i="11"/>
  <c r="F44"/>
  <c r="D44"/>
  <c r="L37"/>
  <c r="L42" s="1"/>
  <c r="G49" i="10"/>
  <c r="D49"/>
  <c r="L42"/>
  <c r="L47" s="1"/>
  <c r="G49" i="9"/>
  <c r="F49"/>
  <c r="D49"/>
  <c r="L42"/>
  <c r="L47" s="1"/>
  <c r="G39" i="8"/>
  <c r="F39"/>
  <c r="E39"/>
  <c r="D39"/>
  <c r="C39"/>
  <c r="B39"/>
  <c r="G7"/>
  <c r="F7"/>
  <c r="D7"/>
  <c r="C54" i="7"/>
  <c r="F37"/>
  <c r="G37"/>
  <c r="D37"/>
  <c r="F36"/>
  <c r="G36"/>
  <c r="D36"/>
  <c r="F35"/>
  <c r="G35"/>
  <c r="F34"/>
  <c r="G34"/>
  <c r="D34"/>
  <c r="F33"/>
  <c r="G33"/>
  <c r="D33"/>
  <c r="F29"/>
  <c r="G29"/>
  <c r="D29"/>
  <c r="B54"/>
  <c r="F54"/>
  <c r="E54"/>
  <c r="L47"/>
  <c r="G32"/>
  <c r="D32"/>
  <c r="F32" s="1"/>
  <c r="G31"/>
  <c r="D31"/>
  <c r="F31" s="1"/>
  <c r="G30"/>
  <c r="D30"/>
  <c r="F30" s="1"/>
  <c r="G28"/>
  <c r="D28"/>
  <c r="F28" s="1"/>
  <c r="F27"/>
  <c r="G27"/>
  <c r="G26"/>
  <c r="D26"/>
  <c r="F26" s="1"/>
  <c r="G25"/>
  <c r="D25"/>
  <c r="F25" s="1"/>
  <c r="G24"/>
  <c r="D24"/>
  <c r="F24" s="1"/>
  <c r="G23"/>
  <c r="D23"/>
  <c r="F23" s="1"/>
  <c r="G21"/>
  <c r="D21"/>
  <c r="F21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F10"/>
  <c r="D10"/>
  <c r="G9"/>
  <c r="D9"/>
  <c r="F9" s="1"/>
  <c r="F30" i="6"/>
  <c r="G30"/>
  <c r="D30"/>
  <c r="L52" i="7"/>
  <c r="G8"/>
  <c r="F8"/>
  <c r="D7"/>
  <c r="G7"/>
  <c r="F7"/>
  <c r="G35" i="6"/>
  <c r="F35"/>
  <c r="D35"/>
  <c r="F32"/>
  <c r="G32"/>
  <c r="D32"/>
  <c r="G31"/>
  <c r="F31"/>
  <c r="D31"/>
  <c r="F29"/>
  <c r="G29"/>
  <c r="D29"/>
  <c r="F23"/>
  <c r="G23"/>
  <c r="D23"/>
  <c r="F16"/>
  <c r="G16"/>
  <c r="D16"/>
  <c r="G28"/>
  <c r="F27"/>
  <c r="G27"/>
  <c r="D27"/>
  <c r="F26"/>
  <c r="G26"/>
  <c r="D26"/>
  <c r="F25"/>
  <c r="G25"/>
  <c r="D25"/>
  <c r="G24"/>
  <c r="F24"/>
  <c r="D24"/>
  <c r="F22"/>
  <c r="G22"/>
  <c r="D22"/>
  <c r="F21"/>
  <c r="G21"/>
  <c r="D21"/>
  <c r="F20"/>
  <c r="G20"/>
  <c r="D20"/>
  <c r="F19"/>
  <c r="G19"/>
  <c r="D19"/>
  <c r="F18"/>
  <c r="G18"/>
  <c r="D18"/>
  <c r="G17"/>
  <c r="F17"/>
  <c r="D17"/>
  <c r="F15"/>
  <c r="G15"/>
  <c r="D15"/>
  <c r="F14"/>
  <c r="G14"/>
  <c r="D14"/>
  <c r="F13"/>
  <c r="G13"/>
  <c r="D13"/>
  <c r="F12"/>
  <c r="G12"/>
  <c r="D12"/>
  <c r="F11"/>
  <c r="G11"/>
  <c r="G10"/>
  <c r="F10"/>
  <c r="D10"/>
  <c r="L45"/>
  <c r="L40"/>
  <c r="E49"/>
  <c r="C49"/>
  <c r="B49"/>
  <c r="G8"/>
  <c r="F8"/>
  <c r="D8"/>
  <c r="G7"/>
  <c r="F7"/>
  <c r="D7"/>
  <c r="G6"/>
  <c r="F6"/>
  <c r="D6"/>
  <c r="G36" i="5"/>
  <c r="D36"/>
  <c r="F36" s="1"/>
  <c r="G35"/>
  <c r="D35"/>
  <c r="F35" s="1"/>
  <c r="G34"/>
  <c r="D34"/>
  <c r="F34" s="1"/>
  <c r="G32"/>
  <c r="G33"/>
  <c r="D33"/>
  <c r="F33" s="1"/>
  <c r="G26"/>
  <c r="F26"/>
  <c r="D32"/>
  <c r="F32" s="1"/>
  <c r="G31"/>
  <c r="D31"/>
  <c r="F31" s="1"/>
  <c r="G30"/>
  <c r="D30"/>
  <c r="F30" s="1"/>
  <c r="G29"/>
  <c r="D29"/>
  <c r="F29" s="1"/>
  <c r="G28"/>
  <c r="D28"/>
  <c r="F28" s="1"/>
  <c r="G27"/>
  <c r="F27"/>
  <c r="D27"/>
  <c r="G25"/>
  <c r="D25"/>
  <c r="F25" s="1"/>
  <c r="G24"/>
  <c r="D24"/>
  <c r="F24" s="1"/>
  <c r="G23"/>
  <c r="D23"/>
  <c r="F23" s="1"/>
  <c r="G22"/>
  <c r="D22"/>
  <c r="F22" s="1"/>
  <c r="G21"/>
  <c r="D21"/>
  <c r="F21" s="1"/>
  <c r="G19"/>
  <c r="D19"/>
  <c r="F19" s="1"/>
  <c r="G20"/>
  <c r="D20"/>
  <c r="F20" s="1"/>
  <c r="G18"/>
  <c r="D18"/>
  <c r="F18" s="1"/>
  <c r="G17"/>
  <c r="D17"/>
  <c r="F17" s="1"/>
  <c r="G16"/>
  <c r="D16"/>
  <c r="F16" s="1"/>
  <c r="G15"/>
  <c r="D15"/>
  <c r="F15" s="1"/>
  <c r="G14"/>
  <c r="D14"/>
  <c r="F14" s="1"/>
  <c r="F13"/>
  <c r="G13"/>
  <c r="G12"/>
  <c r="D12"/>
  <c r="F12" s="1"/>
  <c r="G11"/>
  <c r="F11"/>
  <c r="D11"/>
  <c r="L34"/>
  <c r="L29"/>
  <c r="E38"/>
  <c r="C38"/>
  <c r="B38"/>
  <c r="G10"/>
  <c r="F10"/>
  <c r="G9"/>
  <c r="D9"/>
  <c r="F9" s="1"/>
  <c r="G8"/>
  <c r="F8"/>
  <c r="D8"/>
  <c r="G7"/>
  <c r="D7"/>
  <c r="F7" s="1"/>
  <c r="G6"/>
  <c r="F6"/>
  <c r="D6"/>
  <c r="L38" i="4"/>
  <c r="L40"/>
  <c r="L43"/>
  <c r="L45" s="1"/>
  <c r="F35"/>
  <c r="G35"/>
  <c r="D35"/>
  <c r="F34"/>
  <c r="G34"/>
  <c r="D34"/>
  <c r="G33"/>
  <c r="F33"/>
  <c r="D33"/>
  <c r="G32"/>
  <c r="F32"/>
  <c r="D32"/>
  <c r="G31"/>
  <c r="D31"/>
  <c r="F31" s="1"/>
  <c r="G30"/>
  <c r="F30"/>
  <c r="D30"/>
  <c r="F24"/>
  <c r="G24"/>
  <c r="D24"/>
  <c r="F23"/>
  <c r="G23"/>
  <c r="D23"/>
  <c r="G22"/>
  <c r="F22"/>
  <c r="D22"/>
  <c r="F20"/>
  <c r="G20"/>
  <c r="D20"/>
  <c r="F19"/>
  <c r="G19"/>
  <c r="D19"/>
  <c r="G18"/>
  <c r="D18"/>
  <c r="F18" s="1"/>
  <c r="F17"/>
  <c r="G17"/>
  <c r="D17"/>
  <c r="F16"/>
  <c r="G16"/>
  <c r="D16"/>
  <c r="G15"/>
  <c r="F15"/>
  <c r="D15"/>
  <c r="F12"/>
  <c r="F13"/>
  <c r="G13"/>
  <c r="D13"/>
  <c r="G12"/>
  <c r="F11"/>
  <c r="G11"/>
  <c r="D11"/>
  <c r="F10"/>
  <c r="G10"/>
  <c r="D10"/>
  <c r="G9"/>
  <c r="F9"/>
  <c r="G8"/>
  <c r="F8"/>
  <c r="D8"/>
  <c r="G7"/>
  <c r="F7"/>
  <c r="G6"/>
  <c r="E47"/>
  <c r="C47"/>
  <c r="B47"/>
  <c r="F6"/>
  <c r="D6"/>
  <c r="F35" i="3"/>
  <c r="G35"/>
  <c r="D35"/>
  <c r="F34"/>
  <c r="G34"/>
  <c r="F33"/>
  <c r="G33"/>
  <c r="D33"/>
  <c r="G32"/>
  <c r="F32"/>
  <c r="D32"/>
  <c r="G31"/>
  <c r="F31"/>
  <c r="D31"/>
  <c r="F29"/>
  <c r="G29"/>
  <c r="D29"/>
  <c r="G28"/>
  <c r="F28"/>
  <c r="D28"/>
  <c r="G26"/>
  <c r="F26"/>
  <c r="D26"/>
  <c r="G25"/>
  <c r="F25"/>
  <c r="G24"/>
  <c r="F24"/>
  <c r="D24"/>
  <c r="G23"/>
  <c r="F23"/>
  <c r="F22"/>
  <c r="G22"/>
  <c r="D22"/>
  <c r="F21"/>
  <c r="G21"/>
  <c r="D21"/>
  <c r="F20"/>
  <c r="G20"/>
  <c r="D20"/>
  <c r="F19"/>
  <c r="G19"/>
  <c r="D19"/>
  <c r="F18"/>
  <c r="G18"/>
  <c r="D18"/>
  <c r="G17"/>
  <c r="F17"/>
  <c r="D17"/>
  <c r="F16"/>
  <c r="G16"/>
  <c r="F15"/>
  <c r="G15"/>
  <c r="D15"/>
  <c r="F14"/>
  <c r="G14"/>
  <c r="D14"/>
  <c r="F13"/>
  <c r="G13"/>
  <c r="D13"/>
  <c r="F12"/>
  <c r="G12"/>
  <c r="D12"/>
  <c r="F11"/>
  <c r="G11"/>
  <c r="D11"/>
  <c r="G10"/>
  <c r="F10"/>
  <c r="D10"/>
  <c r="G8"/>
  <c r="F8"/>
  <c r="D8"/>
  <c r="G7"/>
  <c r="F7"/>
  <c r="G6"/>
  <c r="F6"/>
  <c r="D6"/>
  <c r="L37"/>
  <c r="L42"/>
  <c r="E46"/>
  <c r="B46"/>
  <c r="G5"/>
  <c r="F5"/>
  <c r="D5"/>
  <c r="F33" i="2"/>
  <c r="G33"/>
  <c r="D33"/>
  <c r="G32"/>
  <c r="F32"/>
  <c r="D32"/>
  <c r="F30"/>
  <c r="G30"/>
  <c r="D30"/>
  <c r="F29"/>
  <c r="G29"/>
  <c r="D29"/>
  <c r="F28"/>
  <c r="G28"/>
  <c r="F27"/>
  <c r="G27"/>
  <c r="D27"/>
  <c r="F26"/>
  <c r="G26"/>
  <c r="D26"/>
  <c r="G25"/>
  <c r="F25"/>
  <c r="D25"/>
  <c r="F23"/>
  <c r="G23"/>
  <c r="D23"/>
  <c r="F22"/>
  <c r="G22"/>
  <c r="D22"/>
  <c r="F21"/>
  <c r="G21"/>
  <c r="D21"/>
  <c r="F20"/>
  <c r="G20"/>
  <c r="D20"/>
  <c r="F19"/>
  <c r="G19"/>
  <c r="D19"/>
  <c r="G18"/>
  <c r="F18"/>
  <c r="D18"/>
  <c r="F16"/>
  <c r="G16"/>
  <c r="D16"/>
  <c r="F15"/>
  <c r="G15"/>
  <c r="D15"/>
  <c r="F14"/>
  <c r="G14"/>
  <c r="D14"/>
  <c r="F13"/>
  <c r="G13"/>
  <c r="D13"/>
  <c r="F12"/>
  <c r="G12"/>
  <c r="D12"/>
  <c r="G11"/>
  <c r="F11"/>
  <c r="D11"/>
  <c r="G9"/>
  <c r="F9"/>
  <c r="D9"/>
  <c r="L43"/>
  <c r="L38"/>
  <c r="E47"/>
  <c r="C47"/>
  <c r="B47"/>
  <c r="G8"/>
  <c r="F8"/>
  <c r="G7"/>
  <c r="F7"/>
  <c r="D7"/>
  <c r="G6"/>
  <c r="F6"/>
  <c r="D6"/>
  <c r="F36" i="1"/>
  <c r="G36"/>
  <c r="D36"/>
  <c r="G35"/>
  <c r="F35"/>
  <c r="D35"/>
  <c r="F19"/>
  <c r="F23"/>
  <c r="F22"/>
  <c r="F33"/>
  <c r="G33"/>
  <c r="D33"/>
  <c r="F32"/>
  <c r="G32"/>
  <c r="D32"/>
  <c r="F31"/>
  <c r="G31"/>
  <c r="D31"/>
  <c r="F30"/>
  <c r="G30"/>
  <c r="D30"/>
  <c r="F29"/>
  <c r="G29"/>
  <c r="D29"/>
  <c r="G28"/>
  <c r="F28"/>
  <c r="D28"/>
  <c r="G26"/>
  <c r="D26"/>
  <c r="F26" s="1"/>
  <c r="G25"/>
  <c r="D25"/>
  <c r="F25" s="1"/>
  <c r="G24"/>
  <c r="D24"/>
  <c r="F24" s="1"/>
  <c r="G23"/>
  <c r="D23"/>
  <c r="G22"/>
  <c r="D22"/>
  <c r="G21"/>
  <c r="F21"/>
  <c r="D21"/>
  <c r="G19"/>
  <c r="D19"/>
  <c r="G18"/>
  <c r="F18"/>
  <c r="G17"/>
  <c r="D17"/>
  <c r="F17" s="1"/>
  <c r="G16"/>
  <c r="D16"/>
  <c r="F16" s="1"/>
  <c r="G15"/>
  <c r="D15"/>
  <c r="F15" s="1"/>
  <c r="G14"/>
  <c r="D14"/>
  <c r="F14" s="1"/>
  <c r="L44"/>
  <c r="L39"/>
  <c r="E48"/>
  <c r="C48"/>
  <c r="B48"/>
  <c r="G12"/>
  <c r="D12"/>
  <c r="F12" s="1"/>
  <c r="L32" i="8" l="1"/>
  <c r="L37" s="1"/>
  <c r="G54" i="7"/>
  <c r="D54"/>
  <c r="L49"/>
  <c r="L54" s="1"/>
  <c r="F49" i="6"/>
  <c r="D49"/>
  <c r="G49"/>
  <c r="L42"/>
  <c r="L47" s="1"/>
  <c r="F38" i="5"/>
  <c r="G38"/>
  <c r="D38"/>
  <c r="L31"/>
  <c r="L36" s="1"/>
  <c r="F47" i="4"/>
  <c r="D47"/>
  <c r="G47"/>
  <c r="C46" i="3"/>
  <c r="L39" s="1"/>
  <c r="L44" s="1"/>
  <c r="G46"/>
  <c r="F46"/>
  <c r="D46"/>
  <c r="D47" i="2"/>
  <c r="G47"/>
  <c r="F47"/>
  <c r="L40"/>
  <c r="L45" s="1"/>
  <c r="D48" i="1"/>
  <c r="G48"/>
  <c r="F48"/>
  <c r="L41"/>
  <c r="L46" s="1"/>
  <c r="F49" i="10"/>
</calcChain>
</file>

<file path=xl/sharedStrings.xml><?xml version="1.0" encoding="utf-8"?>
<sst xmlns="http://schemas.openxmlformats.org/spreadsheetml/2006/main" count="919" uniqueCount="482">
  <si>
    <t>LAPORAN BULAN JANUARI 2023</t>
  </si>
  <si>
    <t>TGL</t>
  </si>
  <si>
    <t>PEMASUKAN</t>
  </si>
  <si>
    <t>BRUTO</t>
  </si>
  <si>
    <t>BY. KELUAR HARIAN</t>
  </si>
  <si>
    <t>NETT</t>
  </si>
  <si>
    <t>NET TUNAI</t>
  </si>
  <si>
    <t>PENGELUARAN</t>
  </si>
  <si>
    <t>NON TUNAI</t>
  </si>
  <si>
    <t>TUNAI</t>
  </si>
  <si>
    <t>KETERANGAN</t>
  </si>
  <si>
    <t>JUMLAH</t>
  </si>
  <si>
    <t>PEMBAYARAN S. JOK (TOLIB)</t>
  </si>
  <si>
    <t>TRANSFER KE CV. ARAW</t>
  </si>
  <si>
    <t>KET:</t>
  </si>
  <si>
    <t>PENDAPATAN KOTOR</t>
  </si>
  <si>
    <t>PENGELUARAN HARIAN</t>
  </si>
  <si>
    <t>PENGELUARAN BULANAN</t>
  </si>
  <si>
    <t>TOTAL PENGELUARAN</t>
  </si>
  <si>
    <t>PENDAPATAN BERSIH JANUARI 2023</t>
  </si>
  <si>
    <t>VII TRI BRIO HITAM</t>
  </si>
  <si>
    <t>PENDAPATAN BERSIH FEBRUARI 2023</t>
  </si>
  <si>
    <t>PENDAPATAN BERSIH MARET 2023</t>
  </si>
  <si>
    <t>LAPORAN BULAN APRIL  2023</t>
  </si>
  <si>
    <t>PENDAPATAN BERSIH APRIL  2023</t>
  </si>
  <si>
    <t>LAPORAN BULAN MAI 2023</t>
  </si>
  <si>
    <t>PENDAPATAN BERSIH MAI  2023</t>
  </si>
  <si>
    <t>LAPORAN BULAN JUNI  2023</t>
  </si>
  <si>
    <t>PENDAPATAN BERSIH JUNI 2023</t>
  </si>
  <si>
    <t>LAPORAN BULAN JULI  2023</t>
  </si>
  <si>
    <t>PENDAPATAN BERSIH JULI  2023</t>
  </si>
  <si>
    <t>LAPORAN BULAN AGUSTUS  2023</t>
  </si>
  <si>
    <t>PENDAPATAN BERSIH AGUSTUS 2023</t>
  </si>
  <si>
    <t>LAPORAN BULAN SEPTEMBER  2023</t>
  </si>
  <si>
    <t>PENDAPATAN BERSIH SEPTEMBER  2023</t>
  </si>
  <si>
    <t>LAPORAN BULAN OKTOBER  2023</t>
  </si>
  <si>
    <t>PEMBAYARAN FRAME</t>
  </si>
  <si>
    <t>BAYAR ARISAN KARTIKA</t>
  </si>
  <si>
    <t>BAYAR KUR AN. OVI</t>
  </si>
  <si>
    <t>BYR ONKOS EXPEDISI (HERY CAHYADI)</t>
  </si>
  <si>
    <t>PEMBAYARAN KERANDA JENAZA</t>
  </si>
  <si>
    <t>PEMBAYARAN KC FILM (WINCOS WB/ERIK)</t>
  </si>
  <si>
    <t>BYR PLANG (ANDI KUNCORO)</t>
  </si>
  <si>
    <t>BAYAR ATOME</t>
  </si>
  <si>
    <t>CICILAN MOTOR BEAT</t>
  </si>
  <si>
    <t>BYR UANG LES KIRANA</t>
  </si>
  <si>
    <t>UPAH PAK DE</t>
  </si>
  <si>
    <t>GAJI ETEK</t>
  </si>
  <si>
    <t>BYR TAGIAHAN INTERNET + PDAM</t>
  </si>
  <si>
    <t>BAYAR DENDA LISTRIK</t>
  </si>
  <si>
    <t>BAYAR KUR AN. SUSAN</t>
  </si>
  <si>
    <t>BYR BUNGA BANK ARAW</t>
  </si>
  <si>
    <t>PEMBAYARAN ACC MOBIL (PRIMA INOVASINDO SUKSES)</t>
  </si>
  <si>
    <t>PEMBAYARAN ACC MOBIL (OVI/BNI)</t>
  </si>
  <si>
    <t>BYR UANG BUKU FAIZ</t>
  </si>
  <si>
    <t>PEMBAYARAN ACC MOBIL (FRANS SUGIHARJA)</t>
  </si>
  <si>
    <t>PEMBAYARAN ACC MOBIL (NOFFI/GREAT)</t>
  </si>
  <si>
    <t>LAPORAN BULAN FEBRUARI  2023</t>
  </si>
  <si>
    <t>LAPORAN BULAN MARET  2023</t>
  </si>
  <si>
    <t>PENDAPATAN BERSIH MARET  2023</t>
  </si>
  <si>
    <t>VII SALES (BRIO/JEFRI)</t>
  </si>
  <si>
    <t>ARISAN KARTIKA</t>
  </si>
  <si>
    <t>BYR S.JOK (BUK IDA)</t>
  </si>
  <si>
    <t>KUR AN. OVI</t>
  </si>
  <si>
    <t>ONGKIR BARANG</t>
  </si>
  <si>
    <t>BYR DENDA LISTRIK</t>
  </si>
  <si>
    <t>BYR INDIHOME + PDAM</t>
  </si>
  <si>
    <t>KUR AN. SUSAN</t>
  </si>
  <si>
    <t>BAYAR BUNGA BANK (BNI/ARAW)</t>
  </si>
  <si>
    <t>PEMBAYARAN ACC MOBIL (BNI/OVI)</t>
  </si>
  <si>
    <t>TOKEN LISTRIK RUMAH + TOKO</t>
  </si>
  <si>
    <t>BLJ OVI + BYR BERAS TOKO + GAJI ICHA</t>
  </si>
  <si>
    <t>BELI ALAT LISTRIK</t>
  </si>
  <si>
    <t>PEMBAYARAN BOX BARANG (TANTI EKAWATI)</t>
  </si>
  <si>
    <t>PEMBAYARAN ACC MOBIL GREAT/NOFFI)</t>
  </si>
  <si>
    <t>BELI BAN VARIO + ANAK PISAU</t>
  </si>
  <si>
    <t>BYR PAJAK + AMPLOK BARALEK + DLL</t>
  </si>
  <si>
    <t>ARISAN KARTIKA + DLL</t>
  </si>
  <si>
    <t>KUR AN OVI + DLL</t>
  </si>
  <si>
    <t>VI VIDEL RAMUS</t>
  </si>
  <si>
    <t>GAJI PAK DE + PINDO DLL</t>
  </si>
  <si>
    <t xml:space="preserve">GAJI ETEK </t>
  </si>
  <si>
    <t>PERPANJANG AKUN WEBS</t>
  </si>
  <si>
    <t>PEMBAYARAN ACC MOBIL (ALVIN WINARTA)</t>
  </si>
  <si>
    <t>BYR ATOME + DLL</t>
  </si>
  <si>
    <t>BUNGA BANK CV. ARAW</t>
  </si>
  <si>
    <t>BAYAR TAGIAHAN INDIHOME</t>
  </si>
  <si>
    <t>BELI OBAT KIRANA</t>
  </si>
  <si>
    <t>BAYAR DENDA PLN RUMAH</t>
  </si>
  <si>
    <t>BAYARBKUR AN. SUSAN</t>
  </si>
  <si>
    <t>PEMBAYARAN ACC MOBIL (EVIANA))</t>
  </si>
  <si>
    <t>PEMBAYARAN S.JOK 9HERY CAHYADI)</t>
  </si>
  <si>
    <t>VI BRIO (FAUZAN AKBAR)</t>
  </si>
  <si>
    <t>CICIL BLJ OVI + BYR KARTU KREDIT</t>
  </si>
  <si>
    <t>TRANSFER KE PRIMA INOVASINDO SUKSES</t>
  </si>
  <si>
    <t>FEE RINI HONDA</t>
  </si>
  <si>
    <t xml:space="preserve">ARISAN KARTIKA + BIAYA BEROBAT </t>
  </si>
  <si>
    <t>BAYAR PAGAR TRALIS</t>
  </si>
  <si>
    <t>THR OVI</t>
  </si>
  <si>
    <t>KUR OVI DIANA</t>
  </si>
  <si>
    <t>TRANSFER KE OVI (MANDIRI)</t>
  </si>
  <si>
    <t>FEE SALES (RIZAL SYAWALDI/BNI)</t>
  </si>
  <si>
    <t>TRANSFER KE MANDIRI OVI</t>
  </si>
  <si>
    <t xml:space="preserve">BAYAR KONTRAK TOKO </t>
  </si>
  <si>
    <t>FEE SALES (RIKI FERDIAN)</t>
  </si>
  <si>
    <t>GAJI ETEK + THR</t>
  </si>
  <si>
    <t>GAJI ROBBI</t>
  </si>
  <si>
    <t>BELI MINUMAN SOSRO</t>
  </si>
  <si>
    <t>BELANJA MATAHARI + DLL</t>
  </si>
  <si>
    <t>18/4</t>
  </si>
  <si>
    <t>19/4</t>
  </si>
  <si>
    <t>20/4</t>
  </si>
  <si>
    <t>21/4</t>
  </si>
  <si>
    <t>22/4</t>
  </si>
  <si>
    <t>23/4</t>
  </si>
  <si>
    <t>24/4</t>
  </si>
  <si>
    <t>25/4</t>
  </si>
  <si>
    <t>BELI MINUMAN/INDIHOME+DLL/HONDA/LISTRIK</t>
  </si>
  <si>
    <t>THR MAN</t>
  </si>
  <si>
    <t>KUR SUSAN</t>
  </si>
  <si>
    <t>26/4</t>
  </si>
  <si>
    <t>BUNGA BANK (BNI/ARAW)</t>
  </si>
  <si>
    <t>FEE SALES (RENO YANDRI)</t>
  </si>
  <si>
    <t>27/4</t>
  </si>
  <si>
    <t>28/4</t>
  </si>
  <si>
    <t>29/4</t>
  </si>
  <si>
    <t>FEE WILLY NISAN</t>
  </si>
  <si>
    <t>30/4</t>
  </si>
  <si>
    <t>FEE RIAN (BRIO KUNING)</t>
  </si>
  <si>
    <t>OVI + GAJI ICA</t>
  </si>
  <si>
    <t>1 MEI</t>
  </si>
  <si>
    <t>2 MEI</t>
  </si>
  <si>
    <t>3 MEI</t>
  </si>
  <si>
    <t>TRANSFER KE RIAN HIDAYAT</t>
  </si>
  <si>
    <t>4 MEI</t>
  </si>
  <si>
    <t>5 MEI</t>
  </si>
  <si>
    <t>6 MEI</t>
  </si>
  <si>
    <t>7 MEI</t>
  </si>
  <si>
    <t>8 MEI</t>
  </si>
  <si>
    <t>PEMBAYARAN ACC MOBIL (KURNIATO)</t>
  </si>
  <si>
    <t>PEMBAYARAN SARUNG JOK (HERY CAHYADI)</t>
  </si>
  <si>
    <t>9 MEI</t>
  </si>
  <si>
    <t>10 MEI</t>
  </si>
  <si>
    <t>11 MEI</t>
  </si>
  <si>
    <t>BEROBAT DAYAN + KUCING</t>
  </si>
  <si>
    <t>12 MEI</t>
  </si>
  <si>
    <t>13 MEI</t>
  </si>
  <si>
    <t>14 MEI</t>
  </si>
  <si>
    <t>15 MEI</t>
  </si>
  <si>
    <t>TRANSFER KE SUHERMAN (MANDIRI)</t>
  </si>
  <si>
    <t xml:space="preserve">GAJI OKI </t>
  </si>
  <si>
    <t>16 MEI</t>
  </si>
  <si>
    <t>17 MEI</t>
  </si>
  <si>
    <t>TRANSFER KE KRISANT PUNDIMAS SEJAHTERA</t>
  </si>
  <si>
    <t>18 MEI</t>
  </si>
  <si>
    <t>19 MEI</t>
  </si>
  <si>
    <t>20 MEI</t>
  </si>
  <si>
    <t>21 MEI</t>
  </si>
  <si>
    <t>22 MEI</t>
  </si>
  <si>
    <t>23 MEI</t>
  </si>
  <si>
    <t>BYR UANG KOMITE FAIZ</t>
  </si>
  <si>
    <t>CICILAN BANK (CV ARAW)</t>
  </si>
  <si>
    <t>24 MEI</t>
  </si>
  <si>
    <t>25 MEI</t>
  </si>
  <si>
    <t>PEMBAYARAN ACC MOBIL (EMILIA LOURITA/BRI)</t>
  </si>
  <si>
    <t>VI JULFRI (BRIO)</t>
  </si>
  <si>
    <t>26 MEI</t>
  </si>
  <si>
    <t>27 MEI</t>
  </si>
  <si>
    <t>28 MEI</t>
  </si>
  <si>
    <t>29 MEI</t>
  </si>
  <si>
    <t>30 MEI</t>
  </si>
  <si>
    <t>31 MEI</t>
  </si>
  <si>
    <t>CICIL UTANG KE DESI + BLJ OVI + DLL</t>
  </si>
  <si>
    <t>BAYAR ACC MOBIL (FEGASUS)</t>
  </si>
  <si>
    <t>1 JUNI</t>
  </si>
  <si>
    <t>2 JUNI</t>
  </si>
  <si>
    <t>3 JUNI</t>
  </si>
  <si>
    <t>4 JUNI</t>
  </si>
  <si>
    <t>FEE SALES (HILUX)</t>
  </si>
  <si>
    <t>5 JUNI</t>
  </si>
  <si>
    <t>ONGKIR (ISRAL SE)</t>
  </si>
  <si>
    <t>FEE ZUGENG RUL</t>
  </si>
  <si>
    <t xml:space="preserve">6 JUNI </t>
  </si>
  <si>
    <t>FEE FAULY BUDIMAN</t>
  </si>
  <si>
    <t>TRANSFER KE OVI / MANDIRI</t>
  </si>
  <si>
    <t>6 JUNI</t>
  </si>
  <si>
    <t>7 JUNI</t>
  </si>
  <si>
    <t>8 JUNI</t>
  </si>
  <si>
    <t>TRANSFER HENRY NJATA / BRI</t>
  </si>
  <si>
    <t>TRANSFER KE SUTRIA ELFI / BRI</t>
  </si>
  <si>
    <t>9 JUNI</t>
  </si>
  <si>
    <t>10 JUNI</t>
  </si>
  <si>
    <t>11 JUNI</t>
  </si>
  <si>
    <t>TRANSFER KE OVI / MANDIRI / KUR</t>
  </si>
  <si>
    <t>12 JUNI</t>
  </si>
  <si>
    <t>FEE SALES / MANDIRI OVI</t>
  </si>
  <si>
    <t>13 JUNI</t>
  </si>
  <si>
    <t>14 JUNI</t>
  </si>
  <si>
    <t>15 JUNI</t>
  </si>
  <si>
    <t>BYR S. JOK HERY CAHYADI / BCA</t>
  </si>
  <si>
    <t>BYR KC. FILM 3 M / ERIK /BCA</t>
  </si>
  <si>
    <t>OBAT DAYAN DAN KIRANA</t>
  </si>
  <si>
    <t>16 JUNI</t>
  </si>
  <si>
    <t>17 JUNI</t>
  </si>
  <si>
    <t>18 JUNI</t>
  </si>
  <si>
    <t>19 JUNI</t>
  </si>
  <si>
    <t>20 JUNI</t>
  </si>
  <si>
    <t>BEROBAT KIRANA / HERMINA</t>
  </si>
  <si>
    <t>21 JUNI</t>
  </si>
  <si>
    <t>TOKEN LISTRIK RUMAH</t>
  </si>
  <si>
    <t>BYR CICIILAN BANK / CV ARAW / BNI</t>
  </si>
  <si>
    <t>PEMBAYARAN ACC MOBIL / BNI / OVI</t>
  </si>
  <si>
    <t xml:space="preserve">21 JUNI </t>
  </si>
  <si>
    <t>TRANSFER KE DEDEK DARMADI / BNI</t>
  </si>
  <si>
    <t>22 JUNI</t>
  </si>
  <si>
    <t>FEE SALES / BRIO / REZY / BRI</t>
  </si>
  <si>
    <t>23 JUNI</t>
  </si>
  <si>
    <t>24 JUNI</t>
  </si>
  <si>
    <t>FEE PAK NOVI / KABENG INTERCOM / RASH</t>
  </si>
  <si>
    <t>25 JUNI</t>
  </si>
  <si>
    <t>BAYAR KORBAN</t>
  </si>
  <si>
    <t>26 JUNI</t>
  </si>
  <si>
    <t>PEMBELIAN PERALATAN AMBULANCE</t>
  </si>
  <si>
    <t>PEMBAYARAN ACC MOBIL/BNI OVI</t>
  </si>
  <si>
    <t>29-JUNI</t>
  </si>
  <si>
    <t>PEMBAYARAN KURS/MANDIRI</t>
  </si>
  <si>
    <t>BAYAR OBAT/BCA</t>
  </si>
  <si>
    <t>30-JUNI</t>
  </si>
  <si>
    <t>BAYAR HUTANG ALBANI/BRI KE MANDIRI</t>
  </si>
  <si>
    <t>BIAYA OBAT KIRANA/BNI KE MANDIRI</t>
  </si>
  <si>
    <t>27 JUNI</t>
  </si>
  <si>
    <t>28 JUNI</t>
  </si>
  <si>
    <t>29 JUNI</t>
  </si>
  <si>
    <t>30 JUNI</t>
  </si>
  <si>
    <t>1 JULI</t>
  </si>
  <si>
    <t>2 JULI</t>
  </si>
  <si>
    <t>PEMBELIAN LEM 3 M</t>
  </si>
  <si>
    <t>3 JULI</t>
  </si>
  <si>
    <t>4 JULI</t>
  </si>
  <si>
    <t>5 JULI</t>
  </si>
  <si>
    <t>6 JULI</t>
  </si>
  <si>
    <t>PEMBAYARAN S. JOK / HERY CAHYADI / BCA</t>
  </si>
  <si>
    <t>FEE ALI / PAJERO</t>
  </si>
  <si>
    <t>BIAYA BEROBAT KIANA</t>
  </si>
  <si>
    <t>7 JULI</t>
  </si>
  <si>
    <t>BIAYA CAT BEMPER HILUX</t>
  </si>
  <si>
    <t>8 JULI</t>
  </si>
  <si>
    <t>9 JULI</t>
  </si>
  <si>
    <t>10 JULI</t>
  </si>
  <si>
    <t>FEE SALES TEGUH / BCA</t>
  </si>
  <si>
    <t>11 JULI</t>
  </si>
  <si>
    <t>12 JULI</t>
  </si>
  <si>
    <t>BYR TV / EFFENDI GUNAWAN / BRI</t>
  </si>
  <si>
    <t>BYR UANG SKLH KIRANA</t>
  </si>
  <si>
    <t>KONTROL DOKTER + UANG SKLH ANK UDA</t>
  </si>
  <si>
    <t>BYR ARISAN KARTIKA</t>
  </si>
  <si>
    <t>BLJ PASAR BUAH</t>
  </si>
  <si>
    <t>13 JULI</t>
  </si>
  <si>
    <t>MKN SAFARI + CICIL UTG KE OVI</t>
  </si>
  <si>
    <t>14 JULI</t>
  </si>
  <si>
    <t>15 JULI</t>
  </si>
  <si>
    <t>16 JULI</t>
  </si>
  <si>
    <t>17 JULI</t>
  </si>
  <si>
    <t xml:space="preserve">16 JULI </t>
  </si>
  <si>
    <t xml:space="preserve">GAJI ETEK + AMPLOK BARALEK </t>
  </si>
  <si>
    <t>18 JULI</t>
  </si>
  <si>
    <t>19 JULI</t>
  </si>
  <si>
    <t>20 JULI</t>
  </si>
  <si>
    <t>UNTUK KIRANA</t>
  </si>
  <si>
    <t>BAYAR CAT KE BENI INTERCOM</t>
  </si>
  <si>
    <t>21 JULI</t>
  </si>
  <si>
    <t>BELI S.JOK BRIO / TRI / MANDIRI</t>
  </si>
  <si>
    <t>22 JULI</t>
  </si>
  <si>
    <t>UNTUK INARA</t>
  </si>
  <si>
    <t>PEMBAYARAN ACC MOBIL / OVI / BNI</t>
  </si>
  <si>
    <t>PEMBAYARAN ACC MOBIL / NOFFI / BCA</t>
  </si>
  <si>
    <t xml:space="preserve">24 JULI </t>
  </si>
  <si>
    <t>23 JULI</t>
  </si>
  <si>
    <t>UANG SKLH KIRANA</t>
  </si>
  <si>
    <t>25 JULI</t>
  </si>
  <si>
    <t xml:space="preserve">BUNGA BANK </t>
  </si>
  <si>
    <t>PEMBAYARAN CAT</t>
  </si>
  <si>
    <t>26 JULI</t>
  </si>
  <si>
    <t>PEMBAYARAN OVER VENDER HILUX</t>
  </si>
  <si>
    <t>27 JULI</t>
  </si>
  <si>
    <t>TRANSFER KE ABDUL SYARIF / PERMATA</t>
  </si>
  <si>
    <t>28 JULI</t>
  </si>
  <si>
    <t xml:space="preserve">29 JULI </t>
  </si>
  <si>
    <t>TRANSFER KE SUHERMAN / KO MAN ALBANI</t>
  </si>
  <si>
    <t>BYR CAT HILUX</t>
  </si>
  <si>
    <t>BELI LEM SILICON</t>
  </si>
  <si>
    <t>29 JULI</t>
  </si>
  <si>
    <t>30 JULI</t>
  </si>
  <si>
    <t>31 JULI</t>
  </si>
  <si>
    <t>OBAT DAYAN / DR ALEX</t>
  </si>
  <si>
    <t>1 AGUS</t>
  </si>
  <si>
    <t>2 AGUS</t>
  </si>
  <si>
    <t>3 AGUS</t>
  </si>
  <si>
    <t>4 AGUS</t>
  </si>
  <si>
    <t>5 AGUS</t>
  </si>
  <si>
    <t>7 AGUS</t>
  </si>
  <si>
    <t>BAYAR S. JOK / HERY CAHYADI</t>
  </si>
  <si>
    <t>6 AGUS</t>
  </si>
  <si>
    <t>8 AGUS</t>
  </si>
  <si>
    <t>9 AGUS</t>
  </si>
  <si>
    <t>10 AGUS</t>
  </si>
  <si>
    <t>11 AGUS</t>
  </si>
  <si>
    <t>12 AGUS</t>
  </si>
  <si>
    <t>TRANSFER KE IWAN SURYADI</t>
  </si>
  <si>
    <t>13 AGUS</t>
  </si>
  <si>
    <t>14 AGUS</t>
  </si>
  <si>
    <t>TRANSFER KE ASTRA INTERNATIONAL</t>
  </si>
  <si>
    <t>15 AGUS</t>
  </si>
  <si>
    <t>16 AGUS</t>
  </si>
  <si>
    <t>17 AGUS</t>
  </si>
  <si>
    <t>TRASFER KE OVI / MANDIRI</t>
  </si>
  <si>
    <t>18 AGUS</t>
  </si>
  <si>
    <t>19 AGUS</t>
  </si>
  <si>
    <t>20 AGUS</t>
  </si>
  <si>
    <t>21 AGUS</t>
  </si>
  <si>
    <t>BYR INDIHOME + PDAM + DLL</t>
  </si>
  <si>
    <t>TRANSFER KE JUPRIADI / HONDA BEAT</t>
  </si>
  <si>
    <t>TRASFER KE PUTRA YONANDA</t>
  </si>
  <si>
    <t>22 AGUS</t>
  </si>
  <si>
    <t>BUNGA BANK ARAW CV</t>
  </si>
  <si>
    <t>PEMBAYARAN ACC MOBIL / BNI / OVI DIANA</t>
  </si>
  <si>
    <t>23 AGUS</t>
  </si>
  <si>
    <t>24 AGUS</t>
  </si>
  <si>
    <t>25 AGUS</t>
  </si>
  <si>
    <t>26 AGUS</t>
  </si>
  <si>
    <t>27 AGUS</t>
  </si>
  <si>
    <t>BLJ PUSAT BUAH</t>
  </si>
  <si>
    <t>28 AGUS</t>
  </si>
  <si>
    <t>KUR AN . SUSAN</t>
  </si>
  <si>
    <t>29 AGUS</t>
  </si>
  <si>
    <t>30 AGUS</t>
  </si>
  <si>
    <t>31 AGUS</t>
  </si>
  <si>
    <t>BYR UTG KE KO MAN ALBANI</t>
  </si>
  <si>
    <t>TRANSFER KE FRANS SUGIHARJA</t>
  </si>
  <si>
    <t>TRANSFER KE OTOPROJEK</t>
  </si>
  <si>
    <t>SUMBANGAN MUSHALA + VI SUPIR PLAT MERAH</t>
  </si>
  <si>
    <t>VI CIKA / PAJERO</t>
  </si>
  <si>
    <t>PROPOSAL UTK DAIHATSU</t>
  </si>
  <si>
    <t>BELI STABILIZER</t>
  </si>
  <si>
    <t>TRANSFER KE ADZIL YULIMAN / BRI</t>
  </si>
  <si>
    <t>TRANSFER KE HERY CAHYADI / BCA</t>
  </si>
  <si>
    <t>BIAYA BEROBAT DA YAN</t>
  </si>
  <si>
    <t>BYR LAPTOP</t>
  </si>
  <si>
    <t xml:space="preserve">TRANSFER KE OVI / MANDIRI / BYR LAPTOP </t>
  </si>
  <si>
    <t>BYR KUR AN. OVI + TIKET PESAWAT</t>
  </si>
  <si>
    <t>TF KE PRIMA INOVASINDO SUKSES</t>
  </si>
  <si>
    <t>TRANSFER KE IRWAN / JAKARTA</t>
  </si>
  <si>
    <t>TIKET PESAWAT</t>
  </si>
  <si>
    <t>MAKAN DI NOVEL + BELI PIZZA</t>
  </si>
  <si>
    <t>TRANSFER KE BUK IDA / JOK</t>
  </si>
  <si>
    <t>BYR BUNGA BANK CV. ARAW</t>
  </si>
  <si>
    <t>BIAYA DAYAN DI JAKARTA</t>
  </si>
  <si>
    <t>BELI KARPET DSR</t>
  </si>
  <si>
    <t>BELI HAIRDRAYER</t>
  </si>
  <si>
    <t>BELANJA BULANAN</t>
  </si>
  <si>
    <t>TRANSFER KE JAYA KREASI INDONESIA</t>
  </si>
  <si>
    <t>KUR AN SUSAN</t>
  </si>
  <si>
    <t>1 OKT</t>
  </si>
  <si>
    <t>ARISAN RT</t>
  </si>
  <si>
    <t>2 OKT</t>
  </si>
  <si>
    <t>3 OKT</t>
  </si>
  <si>
    <t>CICIL BLJ OVI + DAYAN + FAIZ</t>
  </si>
  <si>
    <t>4 OKT</t>
  </si>
  <si>
    <t>5 OKT</t>
  </si>
  <si>
    <t>TRANFER KE MANDIRI OVI</t>
  </si>
  <si>
    <t>6 OKT</t>
  </si>
  <si>
    <t>7 OKT</t>
  </si>
  <si>
    <t>8 OKT</t>
  </si>
  <si>
    <t>9 OKT</t>
  </si>
  <si>
    <t>10 OKT</t>
  </si>
  <si>
    <t>11 OKT</t>
  </si>
  <si>
    <t>FEE DIRGA</t>
  </si>
  <si>
    <t>12 OKT</t>
  </si>
  <si>
    <t>TF KE AMANDA FARADITA / PERMATA BANK</t>
  </si>
  <si>
    <t>13 OKT</t>
  </si>
  <si>
    <t>TRANSFER KE JONI EFRIKA / BRI</t>
  </si>
  <si>
    <t>14 OKT</t>
  </si>
  <si>
    <t>TOKEN RUMAH</t>
  </si>
  <si>
    <t>16 OKT</t>
  </si>
  <si>
    <t>15 OKT</t>
  </si>
  <si>
    <t>17 OKT</t>
  </si>
  <si>
    <t>18 OKT</t>
  </si>
  <si>
    <t>FEE ROBY JONELMA PUTRA /BNI</t>
  </si>
  <si>
    <t>19 OKT</t>
  </si>
  <si>
    <t>20 OKT</t>
  </si>
  <si>
    <t>21 OKT</t>
  </si>
  <si>
    <t>BYR AC MASJID</t>
  </si>
  <si>
    <t>22 OKT</t>
  </si>
  <si>
    <t>23 OKT</t>
  </si>
  <si>
    <t>TF KE BANK MEGA YAN FARIZON</t>
  </si>
  <si>
    <t>BUNGA BANK CV ARAW</t>
  </si>
  <si>
    <t>TF KE MANDIRI OVI / OBAT DAYAN</t>
  </si>
  <si>
    <t>24 OKT</t>
  </si>
  <si>
    <t>25 OKT</t>
  </si>
  <si>
    <t>TF KE OVI / MANDIRI</t>
  </si>
  <si>
    <t>26 OKT</t>
  </si>
  <si>
    <t>PEMBAYARAN ACC MOBIL / FRANS SUGIHARJA / BCA</t>
  </si>
  <si>
    <t>PEMBAYARAN ACC MOBIL / GREAT OTOMOTIF</t>
  </si>
  <si>
    <t>TF KE TAUFIK HIDAYAT / BCA</t>
  </si>
  <si>
    <t>27 OKT</t>
  </si>
  <si>
    <t>ONKIR BARANG / MEX</t>
  </si>
  <si>
    <t>28 OKT</t>
  </si>
  <si>
    <t>PEMBAYARAN ACC OBIL / OVI / BNI</t>
  </si>
  <si>
    <t>29 OKT</t>
  </si>
  <si>
    <t>30 OKT</t>
  </si>
  <si>
    <t>31 OKT</t>
  </si>
  <si>
    <t>TRASFER KE MANDIRI / OVI</t>
  </si>
  <si>
    <t>PEMBAYARAN S. JOK HERY CAHYADI</t>
  </si>
  <si>
    <t>FEE KHAIRUL / BRI</t>
  </si>
  <si>
    <t>FEE ANNISA / BNI</t>
  </si>
  <si>
    <t>TRASFER KE BANK MEGA / YAN FARIZON</t>
  </si>
  <si>
    <t>TRANSFER KE MANDIRI OVI DIANA</t>
  </si>
  <si>
    <t>TRANSFER KE RIZKI EKA PUTRA / MANDIRI</t>
  </si>
  <si>
    <t>LAPORAN BULAN NOVEMBER  2023</t>
  </si>
  <si>
    <t>PENDAPATAN BERSIH NOVEMBER  2023</t>
  </si>
  <si>
    <t>KUR AN. OVI / HOME CREDIT</t>
  </si>
  <si>
    <t>TRANSFER KE NOVENDRI / MANDIRI</t>
  </si>
  <si>
    <t>BELANJA DI MATAHARI</t>
  </si>
  <si>
    <t>PEMBYR PLANG / ANDI MINANG</t>
  </si>
  <si>
    <t>MEDI PINJAM UANG</t>
  </si>
  <si>
    <t>KEKURANGAN INDIHOME</t>
  </si>
  <si>
    <t>TRANSFER CV. ARAW</t>
  </si>
  <si>
    <t>TRANSFER KE BNI / OVI</t>
  </si>
  <si>
    <t xml:space="preserve">BYR S.JOK </t>
  </si>
  <si>
    <t>TF KE PRIMA INOVASINDO / BCA</t>
  </si>
  <si>
    <t>TF KE GREAT OTOMOTIF / BCA</t>
  </si>
  <si>
    <t>PEMBYR ACC MOBIL BNI / OVI</t>
  </si>
  <si>
    <t>PEMBYR BAN MOBIL</t>
  </si>
  <si>
    <t>1 DES</t>
  </si>
  <si>
    <t xml:space="preserve">TF KE OVI / MANDIRI </t>
  </si>
  <si>
    <t>2 DES</t>
  </si>
  <si>
    <t>3 DES</t>
  </si>
  <si>
    <t>4 DES</t>
  </si>
  <si>
    <t>LAPORAN BULAN DESEMBER  2023</t>
  </si>
  <si>
    <t>PENDAPATAN BERSIH DESEMBER  2023</t>
  </si>
  <si>
    <t>5 DES</t>
  </si>
  <si>
    <t>6 DES</t>
  </si>
  <si>
    <t>7 DES</t>
  </si>
  <si>
    <t>8 DES</t>
  </si>
  <si>
    <t>9 DES</t>
  </si>
  <si>
    <t>10 DES</t>
  </si>
  <si>
    <t>BYR KUR / INDIHOME</t>
  </si>
  <si>
    <t>11 DES</t>
  </si>
  <si>
    <t>12 DES</t>
  </si>
  <si>
    <t>13 DES</t>
  </si>
  <si>
    <t>TRANSFER KE BANK MEGA DAYAN</t>
  </si>
  <si>
    <t>KARANGAN BUNGA</t>
  </si>
  <si>
    <t>14 DES</t>
  </si>
  <si>
    <t>FEE FEBRI FEMIL</t>
  </si>
  <si>
    <t>15 DES</t>
  </si>
  <si>
    <t>16 DES</t>
  </si>
  <si>
    <t>17 DES</t>
  </si>
  <si>
    <t>18 DES</t>
  </si>
  <si>
    <t>20 DES</t>
  </si>
  <si>
    <t>19 DES</t>
  </si>
  <si>
    <t>21 DES</t>
  </si>
  <si>
    <t>BYR INDIHOME</t>
  </si>
  <si>
    <t>FEE FERI SETIA / MANDIRI</t>
  </si>
  <si>
    <t>22 DES</t>
  </si>
  <si>
    <t>23 DES</t>
  </si>
  <si>
    <t>24 DES</t>
  </si>
  <si>
    <t>25 DES</t>
  </si>
  <si>
    <t>TF KE CV ARAW / BNI</t>
  </si>
  <si>
    <t>TF KE OVI /BNI</t>
  </si>
  <si>
    <t>26 DES</t>
  </si>
  <si>
    <t>27 DES</t>
  </si>
  <si>
    <t>TRANSFER KE MANDIRI / OVI</t>
  </si>
  <si>
    <t>FEE MUHAMMAD JUNAIDI / BNI</t>
  </si>
  <si>
    <t>28 DES</t>
  </si>
  <si>
    <t>BELI LEM 3 M</t>
  </si>
  <si>
    <t>TRANSFER KE BNI / OVI + TGL 28</t>
  </si>
  <si>
    <t>29 DES</t>
  </si>
  <si>
    <t>30 DES</t>
  </si>
  <si>
    <t>31 DES</t>
  </si>
  <si>
    <t>BIAYA COR TOKO</t>
  </si>
  <si>
    <t>TRANFER KE OTOPROJEK</t>
  </si>
  <si>
    <t>BLJ OVI + ARISA + DLL</t>
  </si>
</sst>
</file>

<file path=xl/styles.xml><?xml version="1.0" encoding="utf-8"?>
<styleSheet xmlns="http://schemas.openxmlformats.org/spreadsheetml/2006/main">
  <numFmts count="4">
    <numFmt numFmtId="164" formatCode="_-&quot;£&quot;* #,##0_-;\-&quot;£&quot;* #,##0_-;_-&quot;£&quot;* &quot;-&quot;_-;_-@_-"/>
    <numFmt numFmtId="165" formatCode="_-* #,##0.00_-;\-* #,##0.00_-;_-* &quot;-&quot;??_-;_-@_-"/>
    <numFmt numFmtId="166" formatCode="_(&quot;Rp&quot;* #,##0_);_(&quot;Rp&quot;* \(#,##0\);_(&quot;Rp&quot;* &quot;-&quot;_);_(@_)"/>
    <numFmt numFmtId="167" formatCode="dd/mm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b/>
      <sz val="12"/>
      <color rgb="FFC00000"/>
      <name val="Calibri"/>
      <family val="2"/>
      <scheme val="minor"/>
    </font>
    <font>
      <u/>
      <sz val="11"/>
      <name val="Calibri"/>
      <family val="2"/>
      <charset val="1"/>
      <scheme val="minor"/>
    </font>
    <font>
      <b/>
      <u val="singleAccounting"/>
      <sz val="12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21"/>
    <xf numFmtId="166" fontId="6" fillId="0" borderId="0" xfId="22" applyNumberFormat="1" applyFont="1" applyFill="1" applyBorder="1" applyAlignment="1">
      <alignment horizontal="center" vertical="center" wrapText="1"/>
    </xf>
    <xf numFmtId="166" fontId="7" fillId="0" borderId="0" xfId="22" applyNumberFormat="1" applyFont="1" applyFill="1" applyAlignment="1">
      <alignment horizontal="center" vertical="center"/>
    </xf>
    <xf numFmtId="0" fontId="8" fillId="0" borderId="0" xfId="21" applyFont="1" applyFill="1" applyAlignment="1"/>
    <xf numFmtId="166" fontId="7" fillId="0" borderId="0" xfId="21" applyNumberFormat="1" applyFont="1" applyFill="1"/>
    <xf numFmtId="166" fontId="7" fillId="0" borderId="0" xfId="22" applyNumberFormat="1" applyFont="1" applyFill="1"/>
    <xf numFmtId="166" fontId="6" fillId="2" borderId="6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7" fontId="7" fillId="0" borderId="6" xfId="21" applyNumberFormat="1" applyFont="1" applyFill="1" applyBorder="1" applyAlignment="1">
      <alignment horizontal="center"/>
    </xf>
    <xf numFmtId="166" fontId="7" fillId="0" borderId="6" xfId="21" applyNumberFormat="1" applyFont="1" applyFill="1" applyBorder="1" applyAlignment="1">
      <alignment horizontal="center"/>
    </xf>
    <xf numFmtId="166" fontId="7" fillId="0" borderId="6" xfId="22" applyNumberFormat="1" applyFont="1" applyFill="1" applyBorder="1" applyAlignment="1">
      <alignment horizontal="center"/>
    </xf>
    <xf numFmtId="16" fontId="7" fillId="0" borderId="6" xfId="21" applyNumberFormat="1" applyFont="1" applyFill="1" applyBorder="1" applyAlignment="1">
      <alignment horizontal="center" vertical="center"/>
    </xf>
    <xf numFmtId="166" fontId="7" fillId="0" borderId="6" xfId="22" applyNumberFormat="1" applyFont="1" applyFill="1" applyBorder="1" applyAlignment="1">
      <alignment horizontal="center" vertical="center"/>
    </xf>
    <xf numFmtId="166" fontId="7" fillId="0" borderId="0" xfId="22" applyNumberFormat="1" applyFont="1" applyFill="1" applyBorder="1" applyAlignment="1">
      <alignment horizontal="center" vertical="center"/>
    </xf>
    <xf numFmtId="0" fontId="7" fillId="0" borderId="6" xfId="21" applyFont="1" applyFill="1" applyBorder="1" applyAlignment="1">
      <alignment horizontal="left" vertical="center" wrapText="1"/>
    </xf>
    <xf numFmtId="166" fontId="4" fillId="0" borderId="6" xfId="22" applyNumberFormat="1" applyFont="1" applyFill="1" applyBorder="1" applyAlignment="1">
      <alignment horizontal="center" vertical="center" wrapText="1"/>
    </xf>
    <xf numFmtId="16" fontId="1" fillId="0" borderId="6" xfId="21" applyNumberFormat="1" applyBorder="1" applyAlignment="1">
      <alignment horizontal="center"/>
    </xf>
    <xf numFmtId="166" fontId="4" fillId="0" borderId="6" xfId="22" applyNumberFormat="1" applyFont="1" applyFill="1" applyBorder="1" applyAlignment="1">
      <alignment wrapText="1"/>
    </xf>
    <xf numFmtId="166" fontId="7" fillId="0" borderId="0" xfId="22" applyNumberFormat="1" applyFont="1" applyFill="1" applyAlignment="1">
      <alignment horizontal="right" vertical="center" wrapText="1"/>
    </xf>
    <xf numFmtId="16" fontId="7" fillId="0" borderId="6" xfId="21" applyNumberFormat="1" applyFont="1" applyFill="1" applyBorder="1" applyAlignment="1">
      <alignment horizontal="center" vertical="center" wrapText="1"/>
    </xf>
    <xf numFmtId="0" fontId="7" fillId="0" borderId="6" xfId="21" applyFont="1" applyFill="1" applyBorder="1" applyAlignment="1">
      <alignment horizontal="left" vertical="center"/>
    </xf>
    <xf numFmtId="166" fontId="7" fillId="0" borderId="0" xfId="22" applyNumberFormat="1" applyFont="1" applyFill="1" applyAlignment="1">
      <alignment vertical="center"/>
    </xf>
    <xf numFmtId="0" fontId="7" fillId="0" borderId="6" xfId="21" applyFont="1" applyFill="1" applyBorder="1" applyAlignment="1">
      <alignment vertical="center" wrapText="1"/>
    </xf>
    <xf numFmtId="166" fontId="7" fillId="0" borderId="0" xfId="22" applyNumberFormat="1" applyFont="1" applyFill="1" applyBorder="1" applyAlignment="1">
      <alignment horizontal="left" vertical="center"/>
    </xf>
    <xf numFmtId="0" fontId="7" fillId="0" borderId="6" xfId="21" applyFont="1" applyFill="1" applyBorder="1" applyAlignment="1">
      <alignment wrapText="1"/>
    </xf>
    <xf numFmtId="0" fontId="1" fillId="0" borderId="0" xfId="21" applyFill="1" applyAlignment="1"/>
    <xf numFmtId="16" fontId="7" fillId="0" borderId="6" xfId="21" applyNumberFormat="1" applyFont="1" applyFill="1" applyBorder="1" applyAlignment="1">
      <alignment horizontal="center"/>
    </xf>
    <xf numFmtId="0" fontId="1" fillId="0" borderId="0" xfId="21" applyAlignment="1"/>
    <xf numFmtId="0" fontId="1" fillId="0" borderId="0" xfId="21" applyFill="1"/>
    <xf numFmtId="0" fontId="7" fillId="0" borderId="6" xfId="21" applyFont="1" applyFill="1" applyBorder="1"/>
    <xf numFmtId="0" fontId="1" fillId="0" borderId="0" xfId="21" applyFill="1" applyAlignment="1">
      <alignment wrapText="1"/>
    </xf>
    <xf numFmtId="16" fontId="7" fillId="0" borderId="6" xfId="21" applyNumberFormat="1" applyFont="1" applyFill="1" applyBorder="1" applyAlignment="1">
      <alignment horizontal="center" wrapText="1"/>
    </xf>
    <xf numFmtId="0" fontId="1" fillId="0" borderId="0" xfId="21" applyAlignment="1">
      <alignment wrapText="1"/>
    </xf>
    <xf numFmtId="166" fontId="4" fillId="0" borderId="0" xfId="22" applyNumberFormat="1" applyFont="1" applyFill="1" applyBorder="1" applyAlignment="1">
      <alignment horizontal="center" vertical="center"/>
    </xf>
    <xf numFmtId="16" fontId="7" fillId="0" borderId="6" xfId="21" applyNumberFormat="1" applyFont="1" applyFill="1" applyBorder="1" applyAlignment="1">
      <alignment vertical="center"/>
    </xf>
    <xf numFmtId="167" fontId="7" fillId="0" borderId="0" xfId="21" applyNumberFormat="1" applyFont="1" applyFill="1" applyAlignment="1"/>
    <xf numFmtId="14" fontId="7" fillId="0" borderId="0" xfId="21" applyNumberFormat="1" applyFont="1" applyFill="1"/>
    <xf numFmtId="166" fontId="6" fillId="0" borderId="0" xfId="22" applyNumberFormat="1" applyFont="1" applyFill="1"/>
    <xf numFmtId="0" fontId="2" fillId="0" borderId="0" xfId="21" applyFont="1" applyFill="1"/>
    <xf numFmtId="0" fontId="7" fillId="0" borderId="0" xfId="21" applyFont="1" applyFill="1" applyAlignment="1"/>
    <xf numFmtId="0" fontId="10" fillId="0" borderId="0" xfId="21" applyFont="1" applyFill="1"/>
    <xf numFmtId="166" fontId="11" fillId="0" borderId="0" xfId="22" applyNumberFormat="1" applyFont="1" applyFill="1"/>
    <xf numFmtId="0" fontId="2" fillId="0" borderId="0" xfId="21" applyFont="1"/>
    <xf numFmtId="0" fontId="7" fillId="0" borderId="0" xfId="21" applyFont="1" applyFill="1"/>
    <xf numFmtId="166" fontId="13" fillId="0" borderId="0" xfId="22" applyNumberFormat="1" applyFont="1" applyFill="1"/>
    <xf numFmtId="166" fontId="2" fillId="0" borderId="6" xfId="22" applyNumberFormat="1" applyFont="1" applyBorder="1" applyAlignment="1">
      <alignment horizontal="center" vertical="center"/>
    </xf>
    <xf numFmtId="166" fontId="1" fillId="0" borderId="0" xfId="21" applyNumberFormat="1"/>
    <xf numFmtId="16" fontId="7" fillId="3" borderId="6" xfId="21" applyNumberFormat="1" applyFont="1" applyFill="1" applyBorder="1" applyAlignment="1">
      <alignment horizontal="center" vertical="center"/>
    </xf>
    <xf numFmtId="0" fontId="1" fillId="3" borderId="6" xfId="21" applyFill="1" applyBorder="1"/>
    <xf numFmtId="0" fontId="7" fillId="0" borderId="6" xfId="21" applyFont="1" applyFill="1" applyBorder="1" applyAlignment="1">
      <alignment vertical="center"/>
    </xf>
    <xf numFmtId="0" fontId="7" fillId="0" borderId="6" xfId="21" applyFont="1" applyFill="1" applyBorder="1" applyAlignment="1">
      <alignment horizontal="left" wrapText="1"/>
    </xf>
    <xf numFmtId="166" fontId="4" fillId="0" borderId="6" xfId="22" applyNumberFormat="1" applyFont="1" applyFill="1" applyBorder="1" applyAlignment="1">
      <alignment vertical="center" wrapText="1"/>
    </xf>
    <xf numFmtId="16" fontId="7" fillId="4" borderId="6" xfId="21" applyNumberFormat="1" applyFont="1" applyFill="1" applyBorder="1" applyAlignment="1">
      <alignment horizontal="center" vertical="center"/>
    </xf>
    <xf numFmtId="166" fontId="7" fillId="4" borderId="6" xfId="22" applyNumberFormat="1" applyFont="1" applyFill="1" applyBorder="1" applyAlignment="1">
      <alignment horizontal="center" vertical="center"/>
    </xf>
    <xf numFmtId="166" fontId="7" fillId="4" borderId="0" xfId="22" applyNumberFormat="1" applyFont="1" applyFill="1" applyBorder="1" applyAlignment="1">
      <alignment horizontal="center" vertical="center"/>
    </xf>
    <xf numFmtId="166" fontId="7" fillId="4" borderId="0" xfId="22" applyNumberFormat="1" applyFont="1" applyFill="1" applyBorder="1" applyAlignment="1">
      <alignment horizontal="left" vertical="center"/>
    </xf>
    <xf numFmtId="166" fontId="14" fillId="4" borderId="6" xfId="22" applyNumberFormat="1" applyFont="1" applyFill="1" applyBorder="1" applyAlignment="1">
      <alignment horizontal="center" vertical="center"/>
    </xf>
    <xf numFmtId="166" fontId="7" fillId="7" borderId="6" xfId="22" applyNumberFormat="1" applyFont="1" applyFill="1" applyBorder="1" applyAlignment="1">
      <alignment horizontal="center" vertical="center"/>
    </xf>
    <xf numFmtId="166" fontId="14" fillId="7" borderId="6" xfId="22" applyNumberFormat="1" applyFont="1" applyFill="1" applyBorder="1" applyAlignment="1">
      <alignment horizontal="center" vertical="center"/>
    </xf>
    <xf numFmtId="166" fontId="7" fillId="6" borderId="6" xfId="22" applyNumberFormat="1" applyFont="1" applyFill="1" applyBorder="1" applyAlignment="1">
      <alignment horizontal="center" vertical="center"/>
    </xf>
    <xf numFmtId="166" fontId="14" fillId="6" borderId="6" xfId="22" applyNumberFormat="1" applyFont="1" applyFill="1" applyBorder="1" applyAlignment="1">
      <alignment horizontal="center" vertical="center"/>
    </xf>
    <xf numFmtId="166" fontId="7" fillId="5" borderId="6" xfId="22" applyNumberFormat="1" applyFont="1" applyFill="1" applyBorder="1" applyAlignment="1">
      <alignment horizontal="center" vertical="center"/>
    </xf>
    <xf numFmtId="166" fontId="14" fillId="5" borderId="6" xfId="22" applyNumberFormat="1" applyFont="1" applyFill="1" applyBorder="1" applyAlignment="1">
      <alignment horizontal="center" vertical="center"/>
    </xf>
    <xf numFmtId="166" fontId="6" fillId="7" borderId="0" xfId="22" applyNumberFormat="1" applyFont="1" applyFill="1"/>
    <xf numFmtId="166" fontId="11" fillId="6" borderId="0" xfId="22" applyNumberFormat="1" applyFont="1" applyFill="1"/>
    <xf numFmtId="166" fontId="9" fillId="6" borderId="6" xfId="22" applyNumberFormat="1" applyFont="1" applyFill="1" applyBorder="1" applyAlignment="1">
      <alignment vertical="center"/>
    </xf>
    <xf numFmtId="166" fontId="6" fillId="2" borderId="4" xfId="22" applyNumberFormat="1" applyFont="1" applyFill="1" applyBorder="1" applyAlignment="1">
      <alignment horizontal="center" vertical="center"/>
    </xf>
    <xf numFmtId="0" fontId="0" fillId="0" borderId="6" xfId="21" applyFont="1" applyBorder="1"/>
    <xf numFmtId="0" fontId="1" fillId="4" borderId="6" xfId="21" applyFill="1" applyBorder="1"/>
    <xf numFmtId="0" fontId="1" fillId="6" borderId="6" xfId="21" applyFill="1" applyBorder="1"/>
    <xf numFmtId="0" fontId="1" fillId="7" borderId="6" xfId="21" applyFill="1" applyBorder="1"/>
    <xf numFmtId="0" fontId="1" fillId="5" borderId="6" xfId="21" applyFill="1" applyBorder="1"/>
    <xf numFmtId="166" fontId="7" fillId="3" borderId="6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" fontId="0" fillId="0" borderId="6" xfId="21" applyNumberFormat="1" applyFont="1" applyBorder="1" applyAlignment="1">
      <alignment horizontal="center"/>
    </xf>
    <xf numFmtId="166" fontId="6" fillId="2" borderId="4" xfId="22" applyNumberFormat="1" applyFont="1" applyFill="1" applyBorder="1" applyAlignment="1">
      <alignment horizontal="center" vertical="center"/>
    </xf>
    <xf numFmtId="166" fontId="9" fillId="4" borderId="6" xfId="22" applyNumberFormat="1" applyFont="1" applyFill="1" applyBorder="1" applyAlignment="1">
      <alignment vertical="center"/>
    </xf>
    <xf numFmtId="166" fontId="7" fillId="6" borderId="6" xfId="21" applyNumberFormat="1" applyFont="1" applyFill="1" applyBorder="1" applyAlignment="1">
      <alignment vertical="center" wrapText="1"/>
    </xf>
    <xf numFmtId="166" fontId="7" fillId="8" borderId="6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 wrapText="1"/>
    </xf>
    <xf numFmtId="166" fontId="6" fillId="2" borderId="5" xfId="22" applyNumberFormat="1" applyFont="1" applyFill="1" applyBorder="1" applyAlignment="1">
      <alignment horizontal="center" vertical="center" wrapText="1"/>
    </xf>
    <xf numFmtId="0" fontId="12" fillId="0" borderId="0" xfId="21" applyFont="1" applyFill="1" applyAlignment="1">
      <alignment horizontal="center"/>
    </xf>
    <xf numFmtId="0" fontId="5" fillId="0" borderId="0" xfId="21" applyFont="1" applyAlignment="1">
      <alignment horizontal="left" vertical="center"/>
    </xf>
    <xf numFmtId="0" fontId="1" fillId="0" borderId="0" xfId="21" applyAlignment="1">
      <alignment horizontal="left" vertical="center"/>
    </xf>
    <xf numFmtId="0" fontId="1" fillId="0" borderId="1" xfId="21" applyBorder="1" applyAlignment="1">
      <alignment horizontal="left" vertical="center"/>
    </xf>
    <xf numFmtId="0" fontId="6" fillId="2" borderId="2" xfId="21" applyFont="1" applyFill="1" applyBorder="1" applyAlignment="1">
      <alignment horizontal="center" vertical="center"/>
    </xf>
    <xf numFmtId="0" fontId="6" fillId="2" borderId="5" xfId="21" applyFont="1" applyFill="1" applyBorder="1" applyAlignment="1">
      <alignment horizontal="center" vertical="center"/>
    </xf>
    <xf numFmtId="166" fontId="6" fillId="2" borderId="3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/>
    </xf>
    <xf numFmtId="166" fontId="6" fillId="2" borderId="5" xfId="22" applyNumberFormat="1" applyFont="1" applyFill="1" applyBorder="1" applyAlignment="1">
      <alignment horizontal="center" vertical="center"/>
    </xf>
    <xf numFmtId="0" fontId="5" fillId="0" borderId="1" xfId="21" applyFont="1" applyBorder="1" applyAlignment="1">
      <alignment horizontal="left" vertical="center"/>
    </xf>
  </cellXfs>
  <cellStyles count="23">
    <cellStyle name="Comma 10" xfId="18"/>
    <cellStyle name="Currency [0] 10" xfId="17"/>
    <cellStyle name="Currency [0] 11" xfId="20"/>
    <cellStyle name="Currency [0] 12" xfId="22"/>
    <cellStyle name="Currency [0] 2" xfId="3"/>
    <cellStyle name="Currency [0] 3" xfId="5"/>
    <cellStyle name="Currency [0] 4" xfId="7"/>
    <cellStyle name="Currency [0] 5" xfId="9"/>
    <cellStyle name="Currency [0] 8" xfId="13"/>
    <cellStyle name="Currency [0] 9" xfId="15"/>
    <cellStyle name="Normal" xfId="0" builtinId="0"/>
    <cellStyle name="Normal 10" xfId="16"/>
    <cellStyle name="Normal 11" xfId="19"/>
    <cellStyle name="Normal 12" xfId="21"/>
    <cellStyle name="Normal 13" xfId="1"/>
    <cellStyle name="Normal 2" xfId="2"/>
    <cellStyle name="Normal 3" xfId="4"/>
    <cellStyle name="Normal 4" xfId="6"/>
    <cellStyle name="Normal 5" xfId="8"/>
    <cellStyle name="Normal 6" xfId="10"/>
    <cellStyle name="Normal 7" xfId="11"/>
    <cellStyle name="Normal 8" xfId="12"/>
    <cellStyle name="Normal 9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50"/>
  <sheetViews>
    <sheetView topLeftCell="B28" workbookViewId="0">
      <selection activeCell="I15" sqref="I15"/>
    </sheetView>
  </sheetViews>
  <sheetFormatPr defaultRowHeight="15"/>
  <cols>
    <col min="2" max="2" width="15.140625" customWidth="1"/>
    <col min="3" max="3" width="13.7109375" customWidth="1"/>
    <col min="4" max="4" width="15.28515625" customWidth="1"/>
    <col min="5" max="5" width="14.28515625" customWidth="1"/>
    <col min="6" max="6" width="15.5703125" customWidth="1"/>
    <col min="7" max="7" width="15.140625" customWidth="1"/>
    <col min="11" max="11" width="51.28515625" customWidth="1"/>
    <col min="12" max="12" width="17.42578125" customWidth="1"/>
  </cols>
  <sheetData>
    <row r="2" spans="1:13">
      <c r="A2" s="83" t="s">
        <v>0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  <c r="M2" s="1"/>
    </row>
    <row r="3" spans="1:13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  <c r="M3" s="1"/>
    </row>
    <row r="4" spans="1:13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  <c r="M4" s="1"/>
    </row>
    <row r="5" spans="1:13" ht="15.75">
      <c r="A5" s="87"/>
      <c r="B5" s="7" t="s">
        <v>8</v>
      </c>
      <c r="C5" s="8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  <c r="M5" s="1"/>
    </row>
    <row r="6" spans="1:13" ht="16.5" customHeight="1">
      <c r="A6" s="48">
        <v>44562</v>
      </c>
      <c r="B6" s="49"/>
      <c r="C6" s="49"/>
      <c r="D6" s="49"/>
      <c r="E6" s="49"/>
      <c r="F6" s="49"/>
      <c r="G6" s="49"/>
      <c r="H6" s="55"/>
      <c r="I6" s="6"/>
      <c r="J6" s="12">
        <v>44930</v>
      </c>
      <c r="K6" s="15" t="s">
        <v>12</v>
      </c>
      <c r="L6" s="16">
        <v>600000</v>
      </c>
      <c r="M6" s="1"/>
    </row>
    <row r="7" spans="1:13">
      <c r="A7" s="53">
        <v>44563</v>
      </c>
      <c r="B7" s="54">
        <v>5200000</v>
      </c>
      <c r="C7" s="54">
        <v>1050000</v>
      </c>
      <c r="D7" s="58">
        <v>6250000</v>
      </c>
      <c r="E7" s="60">
        <v>3185000</v>
      </c>
      <c r="F7" s="54">
        <v>3065000</v>
      </c>
      <c r="G7" s="62">
        <v>-2135000</v>
      </c>
      <c r="H7" s="55"/>
      <c r="I7" s="6"/>
      <c r="J7" s="17">
        <v>44930</v>
      </c>
      <c r="K7" s="68" t="s">
        <v>13</v>
      </c>
      <c r="L7" s="18">
        <v>28000000</v>
      </c>
      <c r="M7" s="1"/>
    </row>
    <row r="8" spans="1:13">
      <c r="A8" s="12">
        <v>44564</v>
      </c>
      <c r="B8" s="13">
        <v>16380000</v>
      </c>
      <c r="C8" s="13">
        <v>2500000</v>
      </c>
      <c r="D8" s="58">
        <v>18880000</v>
      </c>
      <c r="E8" s="60">
        <v>3955000</v>
      </c>
      <c r="F8" s="13">
        <v>14925000</v>
      </c>
      <c r="G8" s="62">
        <v>-1455000</v>
      </c>
      <c r="H8" s="14"/>
      <c r="I8" s="19"/>
      <c r="J8" s="17">
        <v>44933</v>
      </c>
      <c r="K8" s="68" t="s">
        <v>20</v>
      </c>
      <c r="L8" s="18">
        <v>800000</v>
      </c>
      <c r="M8" s="1"/>
    </row>
    <row r="9" spans="1:13">
      <c r="A9" s="12">
        <v>44565</v>
      </c>
      <c r="B9" s="13">
        <v>4250000</v>
      </c>
      <c r="C9" s="13">
        <v>425000</v>
      </c>
      <c r="D9" s="58">
        <v>4675000</v>
      </c>
      <c r="E9" s="60">
        <v>2315000</v>
      </c>
      <c r="F9" s="13">
        <v>2360000</v>
      </c>
      <c r="G9" s="62">
        <v>-1890000</v>
      </c>
      <c r="H9" s="14"/>
      <c r="I9" s="6"/>
      <c r="J9" s="20">
        <v>44935</v>
      </c>
      <c r="K9" s="21" t="s">
        <v>36</v>
      </c>
      <c r="L9" s="18">
        <v>800000</v>
      </c>
      <c r="M9" s="1"/>
    </row>
    <row r="10" spans="1:13">
      <c r="A10" s="12">
        <v>44566</v>
      </c>
      <c r="B10" s="13"/>
      <c r="C10" s="13">
        <v>500000</v>
      </c>
      <c r="D10" s="58">
        <v>500000</v>
      </c>
      <c r="E10" s="60">
        <v>2925000</v>
      </c>
      <c r="F10" s="13">
        <v>-2425000</v>
      </c>
      <c r="G10" s="62">
        <v>-2425000</v>
      </c>
      <c r="H10" s="14"/>
      <c r="I10" s="22"/>
      <c r="J10" s="20">
        <v>44936</v>
      </c>
      <c r="K10" s="50" t="s">
        <v>37</v>
      </c>
      <c r="L10" s="18">
        <v>1000000</v>
      </c>
      <c r="M10" s="1"/>
    </row>
    <row r="11" spans="1:13">
      <c r="A11" s="12">
        <v>44567</v>
      </c>
      <c r="B11" s="13">
        <v>2800000</v>
      </c>
      <c r="C11" s="13">
        <v>450000</v>
      </c>
      <c r="D11" s="58">
        <v>3250000</v>
      </c>
      <c r="E11" s="60">
        <v>1365000</v>
      </c>
      <c r="F11" s="13">
        <v>1885000</v>
      </c>
      <c r="G11" s="62">
        <v>-915000</v>
      </c>
      <c r="H11" s="14"/>
      <c r="I11" s="22"/>
      <c r="J11" s="12">
        <v>44937</v>
      </c>
      <c r="K11" s="68" t="s">
        <v>38</v>
      </c>
      <c r="L11" s="18">
        <v>4500000</v>
      </c>
      <c r="M11" s="1"/>
    </row>
    <row r="12" spans="1:13">
      <c r="A12" s="12">
        <v>44568</v>
      </c>
      <c r="B12" s="13">
        <v>6010000</v>
      </c>
      <c r="C12" s="13">
        <v>5125000</v>
      </c>
      <c r="D12" s="58">
        <f>B12+C12</f>
        <v>11135000</v>
      </c>
      <c r="E12" s="60">
        <v>2060000</v>
      </c>
      <c r="F12" s="13">
        <f>D12-E12</f>
        <v>9075000</v>
      </c>
      <c r="G12" s="62">
        <f>C12-E12</f>
        <v>3065000</v>
      </c>
      <c r="H12" s="14"/>
      <c r="I12" s="6"/>
      <c r="J12" s="12">
        <v>44938</v>
      </c>
      <c r="K12" s="21" t="s">
        <v>39</v>
      </c>
      <c r="L12" s="18">
        <v>530000</v>
      </c>
      <c r="M12" s="1"/>
    </row>
    <row r="13" spans="1:13">
      <c r="A13" s="48">
        <v>44569</v>
      </c>
      <c r="B13" s="73"/>
      <c r="C13" s="73"/>
      <c r="D13" s="73"/>
      <c r="E13" s="73"/>
      <c r="F13" s="73"/>
      <c r="G13" s="73"/>
      <c r="H13" s="14"/>
      <c r="I13" s="6"/>
      <c r="J13" s="12">
        <v>44942</v>
      </c>
      <c r="K13" s="15" t="s">
        <v>40</v>
      </c>
      <c r="L13" s="18">
        <v>3100000</v>
      </c>
      <c r="M13" s="1"/>
    </row>
    <row r="14" spans="1:13">
      <c r="A14" s="53">
        <v>44570</v>
      </c>
      <c r="B14" s="54">
        <v>1000000</v>
      </c>
      <c r="C14" s="54">
        <v>3045000</v>
      </c>
      <c r="D14" s="58">
        <f>B14+C14</f>
        <v>4045000</v>
      </c>
      <c r="E14" s="60">
        <v>2495000</v>
      </c>
      <c r="F14" s="54">
        <f t="shared" ref="F14:F19" si="0">D14-E14</f>
        <v>1550000</v>
      </c>
      <c r="G14" s="62">
        <f t="shared" ref="G14:G19" si="1">C14-E14</f>
        <v>550000</v>
      </c>
      <c r="H14" s="56"/>
      <c r="I14" s="6"/>
      <c r="J14" s="12">
        <v>44942</v>
      </c>
      <c r="K14" s="25" t="s">
        <v>41</v>
      </c>
      <c r="L14" s="18">
        <v>8800000</v>
      </c>
      <c r="M14" s="1"/>
    </row>
    <row r="15" spans="1:13">
      <c r="A15" s="12">
        <v>44571</v>
      </c>
      <c r="B15" s="13">
        <v>700000</v>
      </c>
      <c r="C15" s="13">
        <v>1050000</v>
      </c>
      <c r="D15" s="58">
        <f>B15+C15</f>
        <v>1750000</v>
      </c>
      <c r="E15" s="60">
        <v>3915000</v>
      </c>
      <c r="F15" s="13">
        <f t="shared" si="0"/>
        <v>-2165000</v>
      </c>
      <c r="G15" s="62">
        <f t="shared" si="1"/>
        <v>-2865000</v>
      </c>
      <c r="H15" s="24"/>
      <c r="I15" s="22"/>
      <c r="J15" s="12">
        <v>44944</v>
      </c>
      <c r="K15" s="25" t="s">
        <v>42</v>
      </c>
      <c r="L15" s="18">
        <v>750000</v>
      </c>
      <c r="M15" s="1"/>
    </row>
    <row r="16" spans="1:13">
      <c r="A16" s="12">
        <v>44572</v>
      </c>
      <c r="B16" s="13">
        <v>5850000</v>
      </c>
      <c r="C16" s="13">
        <v>5600000</v>
      </c>
      <c r="D16" s="58">
        <f>B16+C16</f>
        <v>11450000</v>
      </c>
      <c r="E16" s="60">
        <v>2680000</v>
      </c>
      <c r="F16" s="13">
        <f t="shared" si="0"/>
        <v>8770000</v>
      </c>
      <c r="G16" s="62">
        <f t="shared" si="1"/>
        <v>2920000</v>
      </c>
      <c r="H16" s="24"/>
      <c r="I16" s="26"/>
      <c r="J16" s="27">
        <v>44946</v>
      </c>
      <c r="K16" s="51" t="s">
        <v>43</v>
      </c>
      <c r="L16" s="52">
        <v>820000</v>
      </c>
      <c r="M16" s="28"/>
    </row>
    <row r="17" spans="1:13">
      <c r="A17" s="12">
        <v>44573</v>
      </c>
      <c r="B17" s="13">
        <v>7400000</v>
      </c>
      <c r="C17" s="13">
        <v>2200000</v>
      </c>
      <c r="D17" s="58">
        <f>B17+C17</f>
        <v>9600000</v>
      </c>
      <c r="E17" s="60">
        <v>1450000</v>
      </c>
      <c r="F17" s="13">
        <f t="shared" si="0"/>
        <v>8150000</v>
      </c>
      <c r="G17" s="62">
        <f t="shared" si="1"/>
        <v>750000</v>
      </c>
      <c r="H17" s="24"/>
      <c r="I17" s="26"/>
      <c r="J17" s="12">
        <v>44946</v>
      </c>
      <c r="K17" s="25" t="s">
        <v>44</v>
      </c>
      <c r="L17" s="18">
        <v>750000</v>
      </c>
      <c r="M17" s="28"/>
    </row>
    <row r="18" spans="1:13">
      <c r="A18" s="12">
        <v>44574</v>
      </c>
      <c r="B18" s="13"/>
      <c r="C18" s="13">
        <v>1300000</v>
      </c>
      <c r="D18" s="58">
        <v>1300000</v>
      </c>
      <c r="E18" s="60">
        <v>1300000</v>
      </c>
      <c r="F18" s="13">
        <f t="shared" si="0"/>
        <v>0</v>
      </c>
      <c r="G18" s="62">
        <f t="shared" si="1"/>
        <v>0</v>
      </c>
      <c r="H18" s="24"/>
      <c r="I18" s="29"/>
      <c r="J18" s="12">
        <v>44946</v>
      </c>
      <c r="K18" s="23" t="s">
        <v>45</v>
      </c>
      <c r="L18" s="18">
        <v>1000000</v>
      </c>
      <c r="M18" s="1"/>
    </row>
    <row r="19" spans="1:13">
      <c r="A19" s="12">
        <v>44575</v>
      </c>
      <c r="B19" s="13">
        <v>17450000</v>
      </c>
      <c r="C19" s="13">
        <v>2650000</v>
      </c>
      <c r="D19" s="58">
        <f>B19+C19</f>
        <v>20100000</v>
      </c>
      <c r="E19" s="60">
        <v>980000</v>
      </c>
      <c r="F19" s="13">
        <f t="shared" si="0"/>
        <v>19120000</v>
      </c>
      <c r="G19" s="62">
        <f t="shared" si="1"/>
        <v>1670000</v>
      </c>
      <c r="H19" s="24"/>
      <c r="I19" s="29"/>
      <c r="J19" s="27">
        <v>44946</v>
      </c>
      <c r="K19" s="30" t="s">
        <v>46</v>
      </c>
      <c r="L19" s="18">
        <v>500000</v>
      </c>
      <c r="M19" s="1"/>
    </row>
    <row r="20" spans="1:13">
      <c r="A20" s="48">
        <v>44576</v>
      </c>
      <c r="B20" s="73"/>
      <c r="C20" s="73"/>
      <c r="D20" s="73"/>
      <c r="E20" s="73"/>
      <c r="F20" s="73"/>
      <c r="G20" s="73"/>
      <c r="H20" s="24"/>
      <c r="I20" s="31"/>
      <c r="J20" s="32">
        <v>44946</v>
      </c>
      <c r="K20" s="23" t="s">
        <v>47</v>
      </c>
      <c r="L20" s="18">
        <v>1300000</v>
      </c>
      <c r="M20" s="1"/>
    </row>
    <row r="21" spans="1:13">
      <c r="A21" s="53">
        <v>44577</v>
      </c>
      <c r="B21" s="54">
        <v>10450000</v>
      </c>
      <c r="C21" s="54">
        <v>750000</v>
      </c>
      <c r="D21" s="58">
        <f t="shared" ref="D21:D26" si="2">B21+C21</f>
        <v>11200000</v>
      </c>
      <c r="E21" s="60">
        <v>3820000</v>
      </c>
      <c r="F21" s="54">
        <f t="shared" ref="F21:F26" si="3">D21-E21</f>
        <v>7380000</v>
      </c>
      <c r="G21" s="62">
        <f t="shared" ref="G21:G26" si="4">C21-E21</f>
        <v>-3070000</v>
      </c>
      <c r="H21" s="55"/>
      <c r="I21" s="29"/>
      <c r="J21" s="27">
        <v>44947</v>
      </c>
      <c r="K21" s="30" t="s">
        <v>48</v>
      </c>
      <c r="L21" s="18">
        <v>1300000</v>
      </c>
      <c r="M21" s="1"/>
    </row>
    <row r="22" spans="1:13">
      <c r="A22" s="12">
        <v>44578</v>
      </c>
      <c r="B22" s="13">
        <v>175000</v>
      </c>
      <c r="C22" s="13">
        <v>850000</v>
      </c>
      <c r="D22" s="58">
        <f t="shared" si="2"/>
        <v>1025000</v>
      </c>
      <c r="E22" s="60">
        <v>1785000</v>
      </c>
      <c r="F22" s="13">
        <f t="shared" si="3"/>
        <v>-760000</v>
      </c>
      <c r="G22" s="62">
        <f t="shared" si="4"/>
        <v>-935000</v>
      </c>
      <c r="H22" s="14"/>
      <c r="I22" s="29"/>
      <c r="J22" s="27">
        <v>44948</v>
      </c>
      <c r="K22" s="30" t="s">
        <v>49</v>
      </c>
      <c r="L22" s="18">
        <v>1550000</v>
      </c>
      <c r="M22" s="1"/>
    </row>
    <row r="23" spans="1:13">
      <c r="A23" s="12">
        <v>44579</v>
      </c>
      <c r="B23" s="13">
        <v>3375000</v>
      </c>
      <c r="C23" s="13">
        <v>2350000</v>
      </c>
      <c r="D23" s="58">
        <f t="shared" si="2"/>
        <v>5725000</v>
      </c>
      <c r="E23" s="60">
        <v>1825000</v>
      </c>
      <c r="F23" s="13">
        <f t="shared" si="3"/>
        <v>3900000</v>
      </c>
      <c r="G23" s="62">
        <f t="shared" si="4"/>
        <v>525000</v>
      </c>
      <c r="H23" s="14"/>
      <c r="I23" s="31"/>
      <c r="J23" s="27">
        <v>44951</v>
      </c>
      <c r="K23" s="30" t="s">
        <v>53</v>
      </c>
      <c r="L23" s="18">
        <v>40000000</v>
      </c>
      <c r="M23" s="33"/>
    </row>
    <row r="24" spans="1:13">
      <c r="A24" s="12">
        <v>44580</v>
      </c>
      <c r="B24" s="13">
        <v>9200000</v>
      </c>
      <c r="C24" s="13">
        <v>3800000</v>
      </c>
      <c r="D24" s="58">
        <f t="shared" si="2"/>
        <v>13000000</v>
      </c>
      <c r="E24" s="60">
        <v>1115000</v>
      </c>
      <c r="F24" s="13">
        <f t="shared" si="3"/>
        <v>11885000</v>
      </c>
      <c r="G24" s="62">
        <f t="shared" si="4"/>
        <v>2685000</v>
      </c>
      <c r="H24" s="14"/>
      <c r="I24" s="29"/>
      <c r="J24" s="27">
        <v>44951</v>
      </c>
      <c r="K24" s="30" t="s">
        <v>50</v>
      </c>
      <c r="L24" s="18">
        <v>1500000</v>
      </c>
      <c r="M24" s="1"/>
    </row>
    <row r="25" spans="1:13">
      <c r="A25" s="12">
        <v>44581</v>
      </c>
      <c r="B25" s="13">
        <v>6060000</v>
      </c>
      <c r="C25" s="13">
        <v>5500000</v>
      </c>
      <c r="D25" s="58">
        <f t="shared" si="2"/>
        <v>11560000</v>
      </c>
      <c r="E25" s="60">
        <v>1535000</v>
      </c>
      <c r="F25" s="13">
        <f t="shared" si="3"/>
        <v>10025000</v>
      </c>
      <c r="G25" s="62">
        <f t="shared" si="4"/>
        <v>3965000</v>
      </c>
      <c r="H25" s="34"/>
      <c r="I25" s="29"/>
      <c r="J25" s="27">
        <v>44951</v>
      </c>
      <c r="K25" s="30" t="s">
        <v>51</v>
      </c>
      <c r="L25" s="18">
        <v>10000000</v>
      </c>
      <c r="M25" s="1"/>
    </row>
    <row r="26" spans="1:13">
      <c r="A26" s="12">
        <v>44582</v>
      </c>
      <c r="B26" s="13">
        <v>5200000</v>
      </c>
      <c r="C26" s="13">
        <v>3225000</v>
      </c>
      <c r="D26" s="58">
        <f t="shared" si="2"/>
        <v>8425000</v>
      </c>
      <c r="E26" s="60">
        <v>2285000</v>
      </c>
      <c r="F26" s="13">
        <f t="shared" si="3"/>
        <v>6140000</v>
      </c>
      <c r="G26" s="62">
        <f t="shared" si="4"/>
        <v>940000</v>
      </c>
      <c r="H26" s="14"/>
      <c r="I26" s="29"/>
      <c r="J26" s="27">
        <v>44953</v>
      </c>
      <c r="K26" s="30" t="s">
        <v>52</v>
      </c>
      <c r="L26" s="18">
        <v>2067000</v>
      </c>
      <c r="M26" s="1"/>
    </row>
    <row r="27" spans="1:13">
      <c r="A27" s="48">
        <v>44583</v>
      </c>
      <c r="B27" s="73"/>
      <c r="C27" s="73"/>
      <c r="D27" s="73"/>
      <c r="E27" s="73"/>
      <c r="F27" s="73"/>
      <c r="G27" s="73"/>
      <c r="H27" s="14"/>
      <c r="I27" s="29"/>
      <c r="J27" s="27">
        <v>44954</v>
      </c>
      <c r="K27" s="30" t="s">
        <v>53</v>
      </c>
      <c r="L27" s="18">
        <v>50000000</v>
      </c>
      <c r="M27" s="1"/>
    </row>
    <row r="28" spans="1:13">
      <c r="A28" s="53">
        <v>44584</v>
      </c>
      <c r="B28" s="54">
        <v>1800000</v>
      </c>
      <c r="C28" s="54">
        <v>850000</v>
      </c>
      <c r="D28" s="58">
        <f t="shared" ref="D28:D33" si="5">B28+C28</f>
        <v>2650000</v>
      </c>
      <c r="E28" s="60">
        <v>845000</v>
      </c>
      <c r="F28" s="54">
        <f t="shared" ref="F28:F33" si="6">D28-E28</f>
        <v>1805000</v>
      </c>
      <c r="G28" s="62">
        <f t="shared" ref="G28:G33" si="7">C28-E28</f>
        <v>5000</v>
      </c>
      <c r="H28" s="55"/>
      <c r="I28" s="29"/>
      <c r="J28" s="27">
        <v>44955</v>
      </c>
      <c r="K28" s="30" t="s">
        <v>53</v>
      </c>
      <c r="L28" s="18">
        <v>30000000</v>
      </c>
      <c r="M28" s="1"/>
    </row>
    <row r="29" spans="1:13">
      <c r="A29" s="53">
        <v>44950</v>
      </c>
      <c r="B29" s="54">
        <v>18700000</v>
      </c>
      <c r="C29" s="54">
        <v>4750000</v>
      </c>
      <c r="D29" s="58">
        <f t="shared" si="5"/>
        <v>23450000</v>
      </c>
      <c r="E29" s="60">
        <v>2240000</v>
      </c>
      <c r="F29" s="54">
        <f t="shared" si="6"/>
        <v>21210000</v>
      </c>
      <c r="G29" s="62">
        <f t="shared" si="7"/>
        <v>2510000</v>
      </c>
      <c r="H29" s="55"/>
      <c r="I29" s="29"/>
      <c r="J29" s="27">
        <v>44956</v>
      </c>
      <c r="K29" s="30" t="s">
        <v>54</v>
      </c>
      <c r="L29" s="18">
        <v>300000</v>
      </c>
      <c r="M29" s="1"/>
    </row>
    <row r="30" spans="1:13">
      <c r="A30" s="53">
        <v>44951</v>
      </c>
      <c r="B30" s="54">
        <v>1600000</v>
      </c>
      <c r="C30" s="54">
        <v>3840000</v>
      </c>
      <c r="D30" s="58">
        <f t="shared" si="5"/>
        <v>5440000</v>
      </c>
      <c r="E30" s="60">
        <v>1330000</v>
      </c>
      <c r="F30" s="54">
        <f t="shared" si="6"/>
        <v>4110000</v>
      </c>
      <c r="G30" s="62">
        <f t="shared" si="7"/>
        <v>2510000</v>
      </c>
      <c r="H30" s="55"/>
      <c r="I30" s="29"/>
      <c r="J30" s="27">
        <v>44957</v>
      </c>
      <c r="K30" s="30" t="s">
        <v>55</v>
      </c>
      <c r="L30" s="18">
        <v>9452500</v>
      </c>
      <c r="M30" s="1"/>
    </row>
    <row r="31" spans="1:13">
      <c r="A31" s="53">
        <v>44952</v>
      </c>
      <c r="B31" s="54">
        <v>2100000</v>
      </c>
      <c r="C31" s="54">
        <v>3945000</v>
      </c>
      <c r="D31" s="58">
        <f t="shared" si="5"/>
        <v>6045000</v>
      </c>
      <c r="E31" s="60">
        <v>1285000</v>
      </c>
      <c r="F31" s="54">
        <f t="shared" si="6"/>
        <v>4760000</v>
      </c>
      <c r="G31" s="62">
        <f t="shared" si="7"/>
        <v>2660000</v>
      </c>
      <c r="H31" s="55"/>
      <c r="I31" s="29"/>
      <c r="J31" s="27"/>
      <c r="K31" s="30"/>
      <c r="L31" s="18"/>
      <c r="M31" s="1"/>
    </row>
    <row r="32" spans="1:13">
      <c r="A32" s="53">
        <v>44953</v>
      </c>
      <c r="B32" s="54">
        <v>2710000</v>
      </c>
      <c r="C32" s="54">
        <v>500000</v>
      </c>
      <c r="D32" s="58">
        <f t="shared" si="5"/>
        <v>3210000</v>
      </c>
      <c r="E32" s="60">
        <v>1545000</v>
      </c>
      <c r="F32" s="54">
        <f t="shared" si="6"/>
        <v>1665000</v>
      </c>
      <c r="G32" s="62">
        <f t="shared" si="7"/>
        <v>-1045000</v>
      </c>
      <c r="H32" s="55"/>
      <c r="I32" s="29"/>
      <c r="J32" s="27"/>
      <c r="K32" s="30"/>
      <c r="L32" s="18"/>
      <c r="M32" s="1"/>
    </row>
    <row r="33" spans="1:13">
      <c r="A33" s="53">
        <v>44954</v>
      </c>
      <c r="B33" s="54">
        <v>2550000</v>
      </c>
      <c r="C33" s="54">
        <v>2150000</v>
      </c>
      <c r="D33" s="58">
        <f t="shared" si="5"/>
        <v>4700000</v>
      </c>
      <c r="E33" s="60">
        <v>1445000</v>
      </c>
      <c r="F33" s="54">
        <f t="shared" si="6"/>
        <v>3255000</v>
      </c>
      <c r="G33" s="62">
        <f t="shared" si="7"/>
        <v>705000</v>
      </c>
      <c r="H33" s="55"/>
      <c r="I33" s="29"/>
      <c r="J33" s="27"/>
      <c r="K33" s="30"/>
      <c r="L33" s="18"/>
      <c r="M33" s="1"/>
    </row>
    <row r="34" spans="1:13">
      <c r="A34" s="48">
        <v>44955</v>
      </c>
      <c r="B34" s="73"/>
      <c r="C34" s="73"/>
      <c r="D34" s="73"/>
      <c r="E34" s="73"/>
      <c r="F34" s="73"/>
      <c r="G34" s="73"/>
      <c r="H34" s="55"/>
      <c r="I34" s="29"/>
      <c r="J34" s="27"/>
      <c r="K34" s="30"/>
      <c r="L34" s="18"/>
      <c r="M34" s="1"/>
    </row>
    <row r="35" spans="1:13">
      <c r="A35" s="53">
        <v>44956</v>
      </c>
      <c r="B35" s="54">
        <v>1100000</v>
      </c>
      <c r="C35" s="54">
        <v>980000</v>
      </c>
      <c r="D35" s="58">
        <f>B35+C35</f>
        <v>2080000</v>
      </c>
      <c r="E35" s="60">
        <v>1615000</v>
      </c>
      <c r="F35" s="54">
        <f>D35-E35</f>
        <v>465000</v>
      </c>
      <c r="G35" s="62">
        <f>C35-E35</f>
        <v>-635000</v>
      </c>
      <c r="H35" s="55"/>
      <c r="I35" s="29"/>
      <c r="J35" s="27"/>
      <c r="K35" s="30"/>
      <c r="L35" s="18"/>
      <c r="M35" s="1"/>
    </row>
    <row r="36" spans="1:13">
      <c r="A36" s="53">
        <v>44957</v>
      </c>
      <c r="B36" s="54">
        <v>6050000</v>
      </c>
      <c r="C36" s="54">
        <v>850000</v>
      </c>
      <c r="D36" s="58">
        <f>B36+C36</f>
        <v>6900000</v>
      </c>
      <c r="E36" s="60">
        <v>1295000</v>
      </c>
      <c r="F36" s="54">
        <f>D36-E36</f>
        <v>5605000</v>
      </c>
      <c r="G36" s="62">
        <f>C36-E36</f>
        <v>-445000</v>
      </c>
      <c r="H36" s="55"/>
      <c r="I36" s="29"/>
      <c r="J36" s="27"/>
      <c r="K36" s="30"/>
      <c r="L36" s="18"/>
      <c r="M36" s="1"/>
    </row>
    <row r="37" spans="1:13">
      <c r="A37" s="53"/>
      <c r="B37" s="54"/>
      <c r="C37" s="54"/>
      <c r="D37" s="58"/>
      <c r="E37" s="60"/>
      <c r="F37" s="54"/>
      <c r="G37" s="62"/>
      <c r="H37" s="55"/>
      <c r="I37" s="29"/>
      <c r="J37" s="27"/>
      <c r="K37" s="30"/>
      <c r="L37" s="18"/>
      <c r="M37" s="1"/>
    </row>
    <row r="38" spans="1:13">
      <c r="A38" s="12"/>
      <c r="B38" s="13"/>
      <c r="C38" s="13"/>
      <c r="D38" s="58"/>
      <c r="E38" s="60"/>
      <c r="F38" s="13"/>
      <c r="G38" s="62"/>
      <c r="H38" s="14"/>
      <c r="I38" s="29"/>
      <c r="J38" s="27"/>
      <c r="K38" s="30"/>
      <c r="L38" s="18"/>
      <c r="M38" s="1"/>
    </row>
    <row r="39" spans="1:13">
      <c r="A39" s="12"/>
      <c r="B39" s="13"/>
      <c r="C39" s="13"/>
      <c r="D39" s="58"/>
      <c r="E39" s="60"/>
      <c r="F39" s="13"/>
      <c r="G39" s="62"/>
      <c r="H39" s="14"/>
      <c r="I39" s="29"/>
      <c r="J39" s="35"/>
      <c r="K39" s="23"/>
      <c r="L39" s="66">
        <f>SUM(L6:L38)</f>
        <v>199419500</v>
      </c>
      <c r="M39" s="1"/>
    </row>
    <row r="40" spans="1:13">
      <c r="A40" s="12"/>
      <c r="B40" s="13"/>
      <c r="C40" s="13"/>
      <c r="D40" s="58"/>
      <c r="E40" s="60"/>
      <c r="F40" s="13"/>
      <c r="G40" s="62"/>
      <c r="H40" s="14"/>
      <c r="I40" s="29"/>
      <c r="J40" s="28"/>
      <c r="K40" s="1"/>
      <c r="L40" s="1"/>
      <c r="M40" s="1"/>
    </row>
    <row r="41" spans="1:13" ht="15.75">
      <c r="A41" s="12"/>
      <c r="B41" s="13"/>
      <c r="C41" s="13"/>
      <c r="D41" s="58"/>
      <c r="E41" s="60"/>
      <c r="F41" s="13"/>
      <c r="G41" s="62"/>
      <c r="H41" s="14"/>
      <c r="I41" s="29"/>
      <c r="J41" s="36" t="s">
        <v>14</v>
      </c>
      <c r="K41" s="37" t="s">
        <v>15</v>
      </c>
      <c r="L41" s="64">
        <f>B48+C48</f>
        <v>198345000</v>
      </c>
      <c r="M41" s="1"/>
    </row>
    <row r="42" spans="1:13" ht="15.75">
      <c r="A42" s="12"/>
      <c r="B42" s="13"/>
      <c r="C42" s="13"/>
      <c r="D42" s="58"/>
      <c r="E42" s="60"/>
      <c r="F42" s="13"/>
      <c r="G42" s="62"/>
      <c r="H42" s="14"/>
      <c r="I42" s="39"/>
      <c r="J42" s="40"/>
      <c r="K42" s="41" t="s">
        <v>16</v>
      </c>
      <c r="L42" s="65">
        <v>52590000</v>
      </c>
      <c r="M42" s="43"/>
    </row>
    <row r="43" spans="1:13" ht="15.75">
      <c r="A43" s="12"/>
      <c r="B43" s="13"/>
      <c r="C43" s="13"/>
      <c r="D43" s="58"/>
      <c r="E43" s="60"/>
      <c r="F43" s="13"/>
      <c r="G43" s="62"/>
      <c r="H43" s="14"/>
      <c r="I43" s="29"/>
      <c r="J43" s="40"/>
      <c r="K43" s="41" t="s">
        <v>17</v>
      </c>
      <c r="L43" s="65">
        <v>199419500</v>
      </c>
    </row>
    <row r="44" spans="1:13" ht="15.75">
      <c r="A44" s="53"/>
      <c r="B44" s="54"/>
      <c r="C44" s="54"/>
      <c r="D44" s="58"/>
      <c r="E44" s="60"/>
      <c r="F44" s="54"/>
      <c r="G44" s="62"/>
      <c r="H44" s="55"/>
      <c r="I44" s="29"/>
      <c r="J44" s="40"/>
      <c r="K44" s="41" t="s">
        <v>18</v>
      </c>
      <c r="L44" s="42">
        <f>L42+L43</f>
        <v>252009500</v>
      </c>
    </row>
    <row r="45" spans="1:13" ht="15.75">
      <c r="A45" s="12"/>
      <c r="B45" s="13"/>
      <c r="C45" s="13"/>
      <c r="D45" s="58"/>
      <c r="E45" s="60"/>
      <c r="F45" s="13"/>
      <c r="G45" s="62"/>
      <c r="H45" s="14"/>
      <c r="I45" s="29"/>
      <c r="J45" s="40"/>
      <c r="K45" s="44"/>
      <c r="L45" s="38"/>
    </row>
    <row r="46" spans="1:13" ht="18">
      <c r="A46" s="12"/>
      <c r="B46" s="13"/>
      <c r="C46" s="13"/>
      <c r="D46" s="58"/>
      <c r="E46" s="60"/>
      <c r="F46" s="13"/>
      <c r="G46" s="62"/>
      <c r="H46" s="14"/>
      <c r="I46" s="29"/>
      <c r="J46" s="82" t="s">
        <v>19</v>
      </c>
      <c r="K46" s="82"/>
      <c r="L46" s="45">
        <f>L41-L44</f>
        <v>-53664500</v>
      </c>
    </row>
    <row r="47" spans="1:13">
      <c r="A47" s="12"/>
      <c r="B47" s="13"/>
      <c r="C47" s="13"/>
      <c r="D47" s="58"/>
      <c r="E47" s="60"/>
      <c r="F47" s="13"/>
      <c r="G47" s="62"/>
      <c r="H47" s="14"/>
      <c r="I47" s="1"/>
      <c r="J47" s="29"/>
      <c r="K47" s="29"/>
      <c r="L47" s="1"/>
    </row>
    <row r="48" spans="1:13">
      <c r="A48" s="12"/>
      <c r="B48" s="46">
        <f t="shared" ref="B48:G48" si="8">SUM(B6:B47)</f>
        <v>138110000</v>
      </c>
      <c r="C48" s="46">
        <f t="shared" si="8"/>
        <v>60235000</v>
      </c>
      <c r="D48" s="59">
        <f t="shared" si="8"/>
        <v>198345000</v>
      </c>
      <c r="E48" s="61">
        <f t="shared" si="8"/>
        <v>52590000</v>
      </c>
      <c r="F48" s="57">
        <f t="shared" si="8"/>
        <v>145755000</v>
      </c>
      <c r="G48" s="63">
        <f t="shared" si="8"/>
        <v>7645000</v>
      </c>
      <c r="H48" s="29"/>
      <c r="I48" s="1"/>
      <c r="J48" s="1"/>
      <c r="K48" s="1"/>
      <c r="L48" s="1"/>
    </row>
    <row r="49" spans="1:12">
      <c r="A49" s="1"/>
      <c r="B49" s="1"/>
      <c r="C49" s="1"/>
      <c r="D49" s="47"/>
      <c r="E49" s="1"/>
      <c r="F49" s="1"/>
      <c r="G49" s="1"/>
      <c r="H49" s="29"/>
      <c r="I49" s="27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29"/>
      <c r="I50" s="1"/>
      <c r="J50" s="1"/>
      <c r="K50" s="1"/>
      <c r="L50" s="47"/>
    </row>
  </sheetData>
  <mergeCells count="8">
    <mergeCell ref="G4:G5"/>
    <mergeCell ref="J46:K46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7"/>
  <sheetViews>
    <sheetView topLeftCell="A31" workbookViewId="0">
      <selection activeCell="H38" sqref="H38"/>
    </sheetView>
  </sheetViews>
  <sheetFormatPr defaultRowHeight="15"/>
  <cols>
    <col min="1" max="1" width="7.42578125" customWidth="1"/>
    <col min="2" max="2" width="15" customWidth="1"/>
    <col min="3" max="3" width="14" customWidth="1"/>
    <col min="4" max="4" width="15.28515625" customWidth="1"/>
    <col min="5" max="5" width="13.7109375" customWidth="1"/>
    <col min="6" max="6" width="15.28515625" customWidth="1"/>
    <col min="7" max="7" width="14" customWidth="1"/>
    <col min="11" max="11" width="47.140625" customWidth="1"/>
    <col min="12" max="12" width="19.42578125" customWidth="1"/>
  </cols>
  <sheetData>
    <row r="1" spans="1:12" ht="15" customHeight="1">
      <c r="A1" s="1"/>
    </row>
    <row r="2" spans="1:12" ht="15.75" customHeight="1">
      <c r="A2" s="83" t="s">
        <v>57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 ht="15.75" customHeight="1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4.25" customHeight="1">
      <c r="A5" s="87"/>
      <c r="B5" s="7" t="s">
        <v>8</v>
      </c>
      <c r="C5" s="74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>
        <v>44958</v>
      </c>
      <c r="B6" s="54">
        <v>10225000</v>
      </c>
      <c r="C6" s="54">
        <v>2470000</v>
      </c>
      <c r="D6" s="58">
        <f>B6+C6</f>
        <v>12695000</v>
      </c>
      <c r="E6" s="60">
        <v>2995000</v>
      </c>
      <c r="F6" s="54">
        <f>D6-E6</f>
        <v>9700000</v>
      </c>
      <c r="G6" s="62">
        <f>C6-E6</f>
        <v>-525000</v>
      </c>
      <c r="H6" s="55"/>
      <c r="I6" s="6"/>
      <c r="J6" s="17">
        <v>44958</v>
      </c>
      <c r="K6" s="68" t="s">
        <v>56</v>
      </c>
      <c r="L6" s="18">
        <v>1200000</v>
      </c>
    </row>
    <row r="7" spans="1:12">
      <c r="A7" s="12">
        <v>44959</v>
      </c>
      <c r="B7" s="13">
        <v>8000000</v>
      </c>
      <c r="C7" s="13">
        <v>1100000</v>
      </c>
      <c r="D7" s="58">
        <f>B7+C7</f>
        <v>9100000</v>
      </c>
      <c r="E7" s="60">
        <v>2620000</v>
      </c>
      <c r="F7" s="13">
        <f>D7-E7</f>
        <v>6480000</v>
      </c>
      <c r="G7" s="62">
        <f>C7-E7</f>
        <v>-1520000</v>
      </c>
      <c r="H7" s="14"/>
      <c r="I7" s="19"/>
      <c r="J7" s="17">
        <v>44963</v>
      </c>
      <c r="K7" s="68" t="s">
        <v>60</v>
      </c>
      <c r="L7" s="18">
        <v>450000</v>
      </c>
    </row>
    <row r="8" spans="1:12">
      <c r="A8" s="12">
        <v>44960</v>
      </c>
      <c r="B8" s="13">
        <v>4990000</v>
      </c>
      <c r="C8" s="13"/>
      <c r="D8" s="58">
        <v>4990000</v>
      </c>
      <c r="E8" s="60">
        <v>835000</v>
      </c>
      <c r="F8" s="13">
        <f>D8-E8</f>
        <v>4155000</v>
      </c>
      <c r="G8" s="62">
        <f>C8-E8</f>
        <v>-835000</v>
      </c>
      <c r="H8" s="14"/>
      <c r="I8" s="6"/>
      <c r="J8" s="20">
        <v>44964</v>
      </c>
      <c r="K8" s="21" t="s">
        <v>61</v>
      </c>
      <c r="L8" s="18">
        <v>1000000</v>
      </c>
    </row>
    <row r="9" spans="1:12">
      <c r="A9" s="12">
        <v>44961</v>
      </c>
      <c r="B9" s="13">
        <v>6500000</v>
      </c>
      <c r="C9" s="13">
        <v>8800000</v>
      </c>
      <c r="D9" s="58">
        <f>B9+C9</f>
        <v>15300000</v>
      </c>
      <c r="E9" s="60">
        <v>3235000</v>
      </c>
      <c r="F9" s="13">
        <f>D9-E9</f>
        <v>12065000</v>
      </c>
      <c r="G9" s="62">
        <f>C9-E9</f>
        <v>5565000</v>
      </c>
      <c r="H9" s="14"/>
      <c r="I9" s="22"/>
      <c r="J9" s="20">
        <v>44968</v>
      </c>
      <c r="K9" s="50" t="s">
        <v>62</v>
      </c>
      <c r="L9" s="18">
        <v>10000000</v>
      </c>
    </row>
    <row r="10" spans="1:12">
      <c r="A10" s="48">
        <v>44962</v>
      </c>
      <c r="B10" s="73"/>
      <c r="C10" s="73"/>
      <c r="D10" s="73"/>
      <c r="E10" s="73"/>
      <c r="F10" s="73"/>
      <c r="G10" s="73"/>
      <c r="H10" s="14"/>
      <c r="I10" s="22"/>
      <c r="J10" s="12">
        <v>44968</v>
      </c>
      <c r="K10" s="68" t="s">
        <v>63</v>
      </c>
      <c r="L10" s="18">
        <v>4500000</v>
      </c>
    </row>
    <row r="11" spans="1:12">
      <c r="A11" s="12">
        <v>44963</v>
      </c>
      <c r="B11" s="13">
        <v>5100000</v>
      </c>
      <c r="C11" s="13">
        <v>900000</v>
      </c>
      <c r="D11" s="58">
        <f t="shared" ref="D11:D16" si="0">B11+C11</f>
        <v>6000000</v>
      </c>
      <c r="E11" s="60">
        <v>1610000</v>
      </c>
      <c r="F11" s="13">
        <f t="shared" ref="F11:F16" si="1">D11-E11</f>
        <v>4390000</v>
      </c>
      <c r="G11" s="62">
        <f t="shared" ref="G11:G16" si="2">C11-E11</f>
        <v>-710000</v>
      </c>
      <c r="H11" s="14"/>
      <c r="I11" s="6"/>
      <c r="J11" s="12">
        <v>44972</v>
      </c>
      <c r="K11" s="21" t="s">
        <v>47</v>
      </c>
      <c r="L11" s="18">
        <v>1300000</v>
      </c>
    </row>
    <row r="12" spans="1:12">
      <c r="A12" s="53">
        <v>44964</v>
      </c>
      <c r="B12" s="54">
        <v>8600000</v>
      </c>
      <c r="C12" s="54">
        <v>7180000</v>
      </c>
      <c r="D12" s="58">
        <f t="shared" si="0"/>
        <v>15780000</v>
      </c>
      <c r="E12" s="60">
        <v>2115000</v>
      </c>
      <c r="F12" s="54">
        <f t="shared" si="1"/>
        <v>13665000</v>
      </c>
      <c r="G12" s="62">
        <f t="shared" si="2"/>
        <v>5065000</v>
      </c>
      <c r="H12" s="14"/>
      <c r="I12" s="6"/>
      <c r="J12" s="12">
        <v>44974</v>
      </c>
      <c r="K12" s="15" t="s">
        <v>64</v>
      </c>
      <c r="L12" s="18">
        <v>155000</v>
      </c>
    </row>
    <row r="13" spans="1:12" ht="15" customHeight="1">
      <c r="A13" s="53">
        <v>44965</v>
      </c>
      <c r="B13" s="54">
        <v>350000</v>
      </c>
      <c r="C13" s="54">
        <v>1150000</v>
      </c>
      <c r="D13" s="58">
        <f t="shared" si="0"/>
        <v>1500000</v>
      </c>
      <c r="E13" s="60">
        <v>1065000</v>
      </c>
      <c r="F13" s="54">
        <f t="shared" si="1"/>
        <v>435000</v>
      </c>
      <c r="G13" s="62">
        <f t="shared" si="2"/>
        <v>85000</v>
      </c>
      <c r="H13" s="56"/>
      <c r="I13" s="6"/>
      <c r="J13" s="12">
        <v>44975</v>
      </c>
      <c r="K13" s="25" t="s">
        <v>65</v>
      </c>
      <c r="L13" s="18">
        <v>1550000</v>
      </c>
    </row>
    <row r="14" spans="1:12">
      <c r="A14" s="12">
        <v>44966</v>
      </c>
      <c r="B14" s="13">
        <v>8420000</v>
      </c>
      <c r="C14" s="13">
        <v>2800000</v>
      </c>
      <c r="D14" s="58">
        <f t="shared" si="0"/>
        <v>11220000</v>
      </c>
      <c r="E14" s="60">
        <v>1690000</v>
      </c>
      <c r="F14" s="13">
        <f t="shared" si="1"/>
        <v>9530000</v>
      </c>
      <c r="G14" s="62">
        <f t="shared" si="2"/>
        <v>1110000</v>
      </c>
      <c r="H14" s="24"/>
      <c r="I14" s="22"/>
      <c r="J14" s="12">
        <v>44978</v>
      </c>
      <c r="K14" s="25" t="s">
        <v>66</v>
      </c>
      <c r="L14" s="18">
        <v>1300000</v>
      </c>
    </row>
    <row r="15" spans="1:12" ht="15.75" customHeight="1">
      <c r="A15" s="12">
        <v>44967</v>
      </c>
      <c r="B15" s="13">
        <v>11200000</v>
      </c>
      <c r="C15" s="13">
        <v>800000</v>
      </c>
      <c r="D15" s="58">
        <f t="shared" si="0"/>
        <v>12000000</v>
      </c>
      <c r="E15" s="60">
        <v>2335000</v>
      </c>
      <c r="F15" s="13">
        <f t="shared" si="1"/>
        <v>9665000</v>
      </c>
      <c r="G15" s="62">
        <f t="shared" si="2"/>
        <v>-1535000</v>
      </c>
      <c r="H15" s="24"/>
      <c r="I15" s="26"/>
      <c r="J15" s="27">
        <v>44978</v>
      </c>
      <c r="K15" s="51" t="s">
        <v>53</v>
      </c>
      <c r="L15" s="52">
        <v>40000000</v>
      </c>
    </row>
    <row r="16" spans="1:12">
      <c r="A16" s="12">
        <v>44968</v>
      </c>
      <c r="B16" s="13">
        <v>2250000</v>
      </c>
      <c r="C16" s="13">
        <v>2225000</v>
      </c>
      <c r="D16" s="58">
        <f t="shared" si="0"/>
        <v>4475000</v>
      </c>
      <c r="E16" s="60">
        <v>1840000</v>
      </c>
      <c r="F16" s="13">
        <f t="shared" si="1"/>
        <v>2635000</v>
      </c>
      <c r="G16" s="62">
        <f t="shared" si="2"/>
        <v>385000</v>
      </c>
      <c r="H16" s="24"/>
      <c r="I16" s="26"/>
      <c r="J16" s="12">
        <v>44980</v>
      </c>
      <c r="K16" s="25" t="s">
        <v>67</v>
      </c>
      <c r="L16" s="18">
        <v>1500000</v>
      </c>
    </row>
    <row r="17" spans="1:12">
      <c r="A17" s="48">
        <v>44969</v>
      </c>
      <c r="B17" s="73"/>
      <c r="C17" s="73"/>
      <c r="D17" s="73"/>
      <c r="E17" s="73"/>
      <c r="F17" s="73"/>
      <c r="G17" s="73"/>
      <c r="H17" s="24"/>
      <c r="I17" s="29"/>
      <c r="J17" s="12">
        <v>44980</v>
      </c>
      <c r="K17" s="23" t="s">
        <v>68</v>
      </c>
      <c r="L17" s="18">
        <v>9000000</v>
      </c>
    </row>
    <row r="18" spans="1:12">
      <c r="A18" s="12">
        <v>44970</v>
      </c>
      <c r="B18" s="13">
        <v>800000</v>
      </c>
      <c r="C18" s="13">
        <v>2600000</v>
      </c>
      <c r="D18" s="58">
        <f t="shared" ref="D18:D23" si="3">B18+C18</f>
        <v>3400000</v>
      </c>
      <c r="E18" s="60">
        <v>1000000</v>
      </c>
      <c r="F18" s="13">
        <f t="shared" ref="F18:F23" si="4">D18-E18</f>
        <v>2400000</v>
      </c>
      <c r="G18" s="62">
        <f t="shared" ref="G18:G23" si="5">C18-E18</f>
        <v>1600000</v>
      </c>
      <c r="H18" s="24"/>
      <c r="I18" s="29"/>
      <c r="J18" s="27">
        <v>44981</v>
      </c>
      <c r="K18" s="30" t="s">
        <v>69</v>
      </c>
      <c r="L18" s="18">
        <v>20000000</v>
      </c>
    </row>
    <row r="19" spans="1:12">
      <c r="A19" s="53">
        <v>44971</v>
      </c>
      <c r="B19" s="54">
        <v>2340000</v>
      </c>
      <c r="C19" s="54">
        <v>3000000</v>
      </c>
      <c r="D19" s="58">
        <f t="shared" si="3"/>
        <v>5340000</v>
      </c>
      <c r="E19" s="60">
        <v>1660000</v>
      </c>
      <c r="F19" s="54">
        <f t="shared" si="4"/>
        <v>3680000</v>
      </c>
      <c r="G19" s="62">
        <f t="shared" si="5"/>
        <v>1340000</v>
      </c>
      <c r="H19" s="24"/>
      <c r="I19" s="31"/>
      <c r="J19" s="32">
        <v>44983</v>
      </c>
      <c r="K19" s="23" t="s">
        <v>69</v>
      </c>
      <c r="L19" s="18">
        <v>18500000</v>
      </c>
    </row>
    <row r="20" spans="1:12">
      <c r="A20" s="53">
        <v>44972</v>
      </c>
      <c r="B20" s="54">
        <v>2740000</v>
      </c>
      <c r="C20" s="54">
        <v>420000</v>
      </c>
      <c r="D20" s="58">
        <f t="shared" si="3"/>
        <v>3160000</v>
      </c>
      <c r="E20" s="60">
        <v>755000</v>
      </c>
      <c r="F20" s="54">
        <f t="shared" si="4"/>
        <v>2405000</v>
      </c>
      <c r="G20" s="62">
        <f t="shared" si="5"/>
        <v>-335000</v>
      </c>
      <c r="H20" s="55"/>
      <c r="I20" s="29"/>
      <c r="J20" s="27">
        <v>44984</v>
      </c>
      <c r="K20" s="30" t="s">
        <v>56</v>
      </c>
      <c r="L20" s="18">
        <v>1550000</v>
      </c>
    </row>
    <row r="21" spans="1:12">
      <c r="A21" s="12">
        <v>44973</v>
      </c>
      <c r="B21" s="13">
        <v>200000</v>
      </c>
      <c r="C21" s="13">
        <v>150000</v>
      </c>
      <c r="D21" s="58">
        <f t="shared" si="3"/>
        <v>350000</v>
      </c>
      <c r="E21" s="60">
        <v>1365000</v>
      </c>
      <c r="F21" s="13">
        <f t="shared" si="4"/>
        <v>-1015000</v>
      </c>
      <c r="G21" s="62">
        <f t="shared" si="5"/>
        <v>-1215000</v>
      </c>
      <c r="H21" s="14"/>
      <c r="I21" s="29"/>
      <c r="J21" s="27">
        <v>44984</v>
      </c>
      <c r="K21" s="30" t="s">
        <v>70</v>
      </c>
      <c r="L21" s="18">
        <v>300000</v>
      </c>
    </row>
    <row r="22" spans="1:12">
      <c r="A22" s="12">
        <v>44974</v>
      </c>
      <c r="B22" s="13">
        <v>17100000</v>
      </c>
      <c r="C22" s="13">
        <v>700000</v>
      </c>
      <c r="D22" s="58">
        <f t="shared" si="3"/>
        <v>17800000</v>
      </c>
      <c r="E22" s="60">
        <v>1395000</v>
      </c>
      <c r="F22" s="13">
        <f t="shared" si="4"/>
        <v>16405000</v>
      </c>
      <c r="G22" s="62">
        <f t="shared" si="5"/>
        <v>-695000</v>
      </c>
      <c r="H22" s="14"/>
      <c r="I22" s="31"/>
      <c r="J22" s="27">
        <v>44985</v>
      </c>
      <c r="K22" s="30" t="s">
        <v>71</v>
      </c>
      <c r="L22" s="18">
        <v>6550000</v>
      </c>
    </row>
    <row r="23" spans="1:12">
      <c r="A23" s="12">
        <v>44975</v>
      </c>
      <c r="B23" s="13">
        <v>5530000</v>
      </c>
      <c r="C23" s="13">
        <v>5200000</v>
      </c>
      <c r="D23" s="58">
        <f t="shared" si="3"/>
        <v>10730000</v>
      </c>
      <c r="E23" s="60">
        <v>2370000</v>
      </c>
      <c r="F23" s="13">
        <f t="shared" si="4"/>
        <v>8360000</v>
      </c>
      <c r="G23" s="62">
        <f t="shared" si="5"/>
        <v>2830000</v>
      </c>
      <c r="H23" s="14"/>
      <c r="I23" s="29"/>
      <c r="J23" s="27"/>
      <c r="K23" s="30"/>
      <c r="L23" s="18"/>
    </row>
    <row r="24" spans="1:12">
      <c r="A24" s="48">
        <v>44976</v>
      </c>
      <c r="B24" s="73"/>
      <c r="C24" s="73"/>
      <c r="D24" s="73"/>
      <c r="E24" s="73"/>
      <c r="F24" s="73"/>
      <c r="G24" s="73"/>
      <c r="H24" s="34"/>
      <c r="I24" s="29"/>
      <c r="J24" s="27"/>
      <c r="K24" s="30"/>
      <c r="L24" s="18"/>
    </row>
    <row r="25" spans="1:12">
      <c r="A25" s="12">
        <v>44977</v>
      </c>
      <c r="B25" s="13">
        <v>3125000</v>
      </c>
      <c r="C25" s="13">
        <v>1500000</v>
      </c>
      <c r="D25" s="58">
        <f>B25+C25</f>
        <v>4625000</v>
      </c>
      <c r="E25" s="60">
        <v>1370000</v>
      </c>
      <c r="F25" s="13">
        <f t="shared" ref="F25:F30" si="6">D25-E25</f>
        <v>3255000</v>
      </c>
      <c r="G25" s="62">
        <f t="shared" ref="G25:G30" si="7">C25-E25</f>
        <v>130000</v>
      </c>
      <c r="H25" s="14"/>
      <c r="I25" s="29"/>
      <c r="J25" s="27"/>
      <c r="K25" s="30"/>
      <c r="L25" s="18"/>
    </row>
    <row r="26" spans="1:12">
      <c r="A26" s="53">
        <v>44978</v>
      </c>
      <c r="B26" s="54">
        <v>2650000</v>
      </c>
      <c r="C26" s="54">
        <v>6500000</v>
      </c>
      <c r="D26" s="58">
        <f>B26+C26</f>
        <v>9150000</v>
      </c>
      <c r="E26" s="60">
        <v>3880000</v>
      </c>
      <c r="F26" s="54">
        <f t="shared" si="6"/>
        <v>5270000</v>
      </c>
      <c r="G26" s="62">
        <f t="shared" si="7"/>
        <v>2620000</v>
      </c>
      <c r="H26" s="14"/>
      <c r="I26" s="29"/>
      <c r="J26" s="27"/>
      <c r="K26" s="30"/>
      <c r="L26" s="18"/>
    </row>
    <row r="27" spans="1:12">
      <c r="A27" s="53">
        <v>44979</v>
      </c>
      <c r="B27" s="54">
        <v>8200000</v>
      </c>
      <c r="C27" s="54">
        <v>8175000</v>
      </c>
      <c r="D27" s="58">
        <f>B27+C27</f>
        <v>16375000</v>
      </c>
      <c r="E27" s="60">
        <v>2360000</v>
      </c>
      <c r="F27" s="54">
        <f t="shared" si="6"/>
        <v>14015000</v>
      </c>
      <c r="G27" s="62">
        <f t="shared" si="7"/>
        <v>5815000</v>
      </c>
      <c r="H27" s="55"/>
      <c r="I27" s="29"/>
      <c r="J27" s="27"/>
      <c r="K27" s="30"/>
      <c r="L27" s="18"/>
    </row>
    <row r="28" spans="1:12">
      <c r="A28" s="53">
        <v>44980</v>
      </c>
      <c r="B28" s="54"/>
      <c r="C28" s="54">
        <v>4625000</v>
      </c>
      <c r="D28" s="58">
        <v>4625000</v>
      </c>
      <c r="E28" s="60">
        <v>1275000</v>
      </c>
      <c r="F28" s="54">
        <f t="shared" si="6"/>
        <v>3350000</v>
      </c>
      <c r="G28" s="62">
        <f t="shared" si="7"/>
        <v>3350000</v>
      </c>
      <c r="H28" s="55"/>
      <c r="I28" s="29"/>
      <c r="J28" s="27"/>
      <c r="K28" s="30"/>
      <c r="L28" s="18"/>
    </row>
    <row r="29" spans="1:12">
      <c r="A29" s="53">
        <v>44981</v>
      </c>
      <c r="B29" s="54">
        <v>3200000</v>
      </c>
      <c r="C29" s="54">
        <v>4075000</v>
      </c>
      <c r="D29" s="58">
        <f>B29+C29</f>
        <v>7275000</v>
      </c>
      <c r="E29" s="60">
        <v>1770000</v>
      </c>
      <c r="F29" s="54">
        <f t="shared" si="6"/>
        <v>5505000</v>
      </c>
      <c r="G29" s="62">
        <f t="shared" si="7"/>
        <v>2305000</v>
      </c>
      <c r="H29" s="55"/>
      <c r="I29" s="29"/>
      <c r="J29" s="27"/>
      <c r="K29" s="30"/>
      <c r="L29" s="18"/>
    </row>
    <row r="30" spans="1:12">
      <c r="A30" s="53">
        <v>44982</v>
      </c>
      <c r="B30" s="54">
        <v>2000000</v>
      </c>
      <c r="C30" s="54">
        <v>7900000</v>
      </c>
      <c r="D30" s="58">
        <f>B30+C30</f>
        <v>9900000</v>
      </c>
      <c r="E30" s="60">
        <v>1470000</v>
      </c>
      <c r="F30" s="54">
        <f t="shared" si="6"/>
        <v>8430000</v>
      </c>
      <c r="G30" s="62">
        <f t="shared" si="7"/>
        <v>6430000</v>
      </c>
      <c r="H30" s="55"/>
      <c r="I30" s="29"/>
      <c r="J30" s="27"/>
      <c r="K30" s="30"/>
      <c r="L30" s="18"/>
    </row>
    <row r="31" spans="1:12">
      <c r="A31" s="48">
        <v>44983</v>
      </c>
      <c r="B31" s="73"/>
      <c r="C31" s="73"/>
      <c r="D31" s="73"/>
      <c r="E31" s="73"/>
      <c r="F31" s="73"/>
      <c r="G31" s="73"/>
      <c r="H31" s="55"/>
      <c r="I31" s="29"/>
      <c r="J31" s="27"/>
      <c r="K31" s="30"/>
      <c r="L31" s="18"/>
    </row>
    <row r="32" spans="1:12">
      <c r="A32" s="53">
        <v>44984</v>
      </c>
      <c r="B32" s="54">
        <v>200000</v>
      </c>
      <c r="C32" s="54">
        <v>8205000</v>
      </c>
      <c r="D32" s="58">
        <f>B32+C32</f>
        <v>8405000</v>
      </c>
      <c r="E32" s="60">
        <v>1110000</v>
      </c>
      <c r="F32" s="54">
        <f>D32-E32</f>
        <v>7295000</v>
      </c>
      <c r="G32" s="62">
        <f>C32-E32</f>
        <v>7095000</v>
      </c>
      <c r="H32" s="55"/>
      <c r="I32" s="29"/>
      <c r="J32" s="27"/>
      <c r="K32" s="30"/>
      <c r="L32" s="18"/>
    </row>
    <row r="33" spans="1:12">
      <c r="A33" s="53">
        <v>44985</v>
      </c>
      <c r="B33" s="54">
        <v>8600000</v>
      </c>
      <c r="C33" s="54">
        <v>2830000</v>
      </c>
      <c r="D33" s="58">
        <f>B33+C33</f>
        <v>11430000</v>
      </c>
      <c r="E33" s="60">
        <v>2765000</v>
      </c>
      <c r="F33" s="54">
        <f>D33-E33</f>
        <v>8665000</v>
      </c>
      <c r="G33" s="62">
        <f>C33-E33</f>
        <v>65000</v>
      </c>
      <c r="H33" s="55"/>
      <c r="I33" s="29"/>
      <c r="J33" s="27"/>
      <c r="K33" s="30"/>
      <c r="L33" s="18"/>
    </row>
    <row r="34" spans="1:12">
      <c r="A34" s="53"/>
      <c r="B34" s="54"/>
      <c r="C34" s="54"/>
      <c r="D34" s="58"/>
      <c r="E34" s="60"/>
      <c r="F34" s="54"/>
      <c r="G34" s="62"/>
      <c r="H34" s="55"/>
      <c r="I34" s="29"/>
      <c r="J34" s="27"/>
      <c r="K34" s="30"/>
      <c r="L34" s="18"/>
    </row>
    <row r="35" spans="1:12">
      <c r="A35" s="53"/>
      <c r="B35" s="54"/>
      <c r="C35" s="54"/>
      <c r="D35" s="58"/>
      <c r="E35" s="60"/>
      <c r="F35" s="54"/>
      <c r="G35" s="62"/>
      <c r="H35" s="55"/>
      <c r="I35" s="29"/>
      <c r="J35" s="27"/>
      <c r="K35" s="30"/>
      <c r="L35" s="18"/>
    </row>
    <row r="36" spans="1:12">
      <c r="A36" s="53"/>
      <c r="B36" s="54"/>
      <c r="C36" s="54"/>
      <c r="D36" s="58"/>
      <c r="E36" s="60"/>
      <c r="F36" s="54"/>
      <c r="G36" s="62"/>
      <c r="H36" s="55"/>
      <c r="I36" s="29"/>
      <c r="J36" s="27"/>
      <c r="K36" s="30"/>
      <c r="L36" s="18"/>
    </row>
    <row r="37" spans="1:12">
      <c r="A37" s="12"/>
      <c r="B37" s="13"/>
      <c r="C37" s="13"/>
      <c r="D37" s="58"/>
      <c r="E37" s="60"/>
      <c r="F37" s="13"/>
      <c r="G37" s="62"/>
      <c r="H37" s="14"/>
      <c r="I37" s="29"/>
      <c r="J37" s="27"/>
      <c r="K37" s="30"/>
      <c r="L37" s="18"/>
    </row>
    <row r="38" spans="1:12">
      <c r="A38" s="12"/>
      <c r="B38" s="13"/>
      <c r="C38" s="13"/>
      <c r="D38" s="58"/>
      <c r="E38" s="60"/>
      <c r="F38" s="13"/>
      <c r="G38" s="62"/>
      <c r="H38" s="14"/>
      <c r="I38" s="29"/>
      <c r="J38" s="35"/>
      <c r="K38" s="23"/>
      <c r="L38" s="66">
        <f>SUM(L6:L37)</f>
        <v>118855000</v>
      </c>
    </row>
    <row r="39" spans="1:12">
      <c r="A39" s="12"/>
      <c r="B39" s="13"/>
      <c r="C39" s="13"/>
      <c r="D39" s="58"/>
      <c r="E39" s="60"/>
      <c r="F39" s="13"/>
      <c r="G39" s="62"/>
      <c r="H39" s="14"/>
      <c r="I39" s="29"/>
      <c r="J39" s="28"/>
      <c r="K39" s="1"/>
      <c r="L39" s="1"/>
    </row>
    <row r="40" spans="1:12" ht="15.75">
      <c r="A40" s="12"/>
      <c r="B40" s="13"/>
      <c r="C40" s="13"/>
      <c r="D40" s="58"/>
      <c r="E40" s="60"/>
      <c r="F40" s="13"/>
      <c r="G40" s="62"/>
      <c r="H40" s="14"/>
      <c r="I40" s="29"/>
      <c r="J40" s="36" t="s">
        <v>14</v>
      </c>
      <c r="K40" s="37" t="s">
        <v>15</v>
      </c>
      <c r="L40" s="64">
        <f>B47+C47</f>
        <v>205625000</v>
      </c>
    </row>
    <row r="41" spans="1:12" ht="15.75">
      <c r="A41" s="12"/>
      <c r="B41" s="13"/>
      <c r="C41" s="13"/>
      <c r="D41" s="58"/>
      <c r="E41" s="60"/>
      <c r="F41" s="13"/>
      <c r="G41" s="62"/>
      <c r="H41" s="14"/>
      <c r="I41" s="39"/>
      <c r="J41" s="40"/>
      <c r="K41" s="41" t="s">
        <v>16</v>
      </c>
      <c r="L41" s="65">
        <v>44885000</v>
      </c>
    </row>
    <row r="42" spans="1:12" ht="15.75">
      <c r="A42" s="12"/>
      <c r="B42" s="13"/>
      <c r="C42" s="13"/>
      <c r="D42" s="58"/>
      <c r="E42" s="60"/>
      <c r="F42" s="13"/>
      <c r="G42" s="62"/>
      <c r="H42" s="14"/>
      <c r="I42" s="29"/>
      <c r="J42" s="40"/>
      <c r="K42" s="41" t="s">
        <v>17</v>
      </c>
      <c r="L42" s="65">
        <v>118855000</v>
      </c>
    </row>
    <row r="43" spans="1:12" ht="15.75">
      <c r="A43" s="53"/>
      <c r="B43" s="54"/>
      <c r="C43" s="54"/>
      <c r="D43" s="58"/>
      <c r="E43" s="60"/>
      <c r="F43" s="54"/>
      <c r="G43" s="62"/>
      <c r="H43" s="55"/>
      <c r="I43" s="29"/>
      <c r="J43" s="40"/>
      <c r="K43" s="41" t="s">
        <v>18</v>
      </c>
      <c r="L43" s="42">
        <f>L41+L42</f>
        <v>163740000</v>
      </c>
    </row>
    <row r="44" spans="1:12" ht="15.75">
      <c r="A44" s="12"/>
      <c r="B44" s="13"/>
      <c r="C44" s="13"/>
      <c r="D44" s="58"/>
      <c r="E44" s="60"/>
      <c r="F44" s="13"/>
      <c r="G44" s="62"/>
      <c r="H44" s="14"/>
      <c r="I44" s="29"/>
      <c r="J44" s="40"/>
      <c r="K44" s="44"/>
      <c r="L44" s="38"/>
    </row>
    <row r="45" spans="1:12" ht="18">
      <c r="A45" s="12"/>
      <c r="B45" s="13"/>
      <c r="C45" s="13"/>
      <c r="D45" s="58"/>
      <c r="E45" s="60"/>
      <c r="F45" s="13"/>
      <c r="G45" s="62"/>
      <c r="H45" s="14"/>
      <c r="I45" s="29"/>
      <c r="J45" s="82" t="s">
        <v>21</v>
      </c>
      <c r="K45" s="82"/>
      <c r="L45" s="45">
        <f>L40-L43</f>
        <v>41885000</v>
      </c>
    </row>
    <row r="46" spans="1:12">
      <c r="A46" s="12"/>
      <c r="B46" s="13"/>
      <c r="C46" s="13"/>
      <c r="D46" s="58"/>
      <c r="E46" s="60"/>
      <c r="F46" s="13"/>
      <c r="G46" s="62"/>
      <c r="H46" s="14"/>
      <c r="I46" s="1"/>
      <c r="J46" s="29"/>
      <c r="K46" s="29"/>
      <c r="L46" s="1"/>
    </row>
    <row r="47" spans="1:12">
      <c r="A47" s="12"/>
      <c r="B47" s="46">
        <f t="shared" ref="B47:G47" si="8">SUM(B6:B46)</f>
        <v>122320000</v>
      </c>
      <c r="C47" s="46">
        <f t="shared" si="8"/>
        <v>83305000</v>
      </c>
      <c r="D47" s="59">
        <f t="shared" si="8"/>
        <v>205625000</v>
      </c>
      <c r="E47" s="61">
        <f t="shared" si="8"/>
        <v>44885000</v>
      </c>
      <c r="F47" s="57">
        <f t="shared" si="8"/>
        <v>160740000</v>
      </c>
      <c r="G47" s="63">
        <f t="shared" si="8"/>
        <v>38420000</v>
      </c>
      <c r="H47" s="29"/>
      <c r="I47" s="1"/>
      <c r="J47" s="1"/>
      <c r="K47" s="1"/>
      <c r="L47" s="1"/>
    </row>
    <row r="48" spans="1:12">
      <c r="A48" s="1"/>
      <c r="B48" s="1"/>
      <c r="C48" s="1"/>
      <c r="D48" s="47"/>
      <c r="E48" s="1"/>
      <c r="F48" s="1"/>
      <c r="G48" s="1"/>
      <c r="H48" s="29"/>
      <c r="I48" s="27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29"/>
      <c r="I49" s="1"/>
      <c r="J49" s="1"/>
      <c r="K49" s="1"/>
      <c r="L49" s="47"/>
    </row>
    <row r="55" spans="1:12" ht="15" customHeight="1"/>
    <row r="56" spans="1:12" ht="15" customHeight="1"/>
    <row r="57" spans="1:12" ht="15.75" customHeight="1"/>
  </sheetData>
  <mergeCells count="8">
    <mergeCell ref="F4:F5"/>
    <mergeCell ref="G4:G5"/>
    <mergeCell ref="J45:K45"/>
    <mergeCell ref="A2:E3"/>
    <mergeCell ref="A4:A5"/>
    <mergeCell ref="B4:C4"/>
    <mergeCell ref="D4:D5"/>
    <mergeCell ref="E4:E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7"/>
  <sheetViews>
    <sheetView topLeftCell="A25" workbookViewId="0">
      <selection activeCell="K28" sqref="K28"/>
    </sheetView>
  </sheetViews>
  <sheetFormatPr defaultRowHeight="15"/>
  <cols>
    <col min="1" max="1" width="7.85546875" customWidth="1"/>
    <col min="2" max="2" width="15.42578125" customWidth="1"/>
    <col min="3" max="4" width="14.7109375" customWidth="1"/>
    <col min="5" max="5" width="15.7109375" customWidth="1"/>
    <col min="6" max="6" width="16.42578125" customWidth="1"/>
    <col min="7" max="7" width="15" customWidth="1"/>
    <col min="10" max="10" width="7.5703125" customWidth="1"/>
    <col min="11" max="11" width="44.28515625" customWidth="1"/>
    <col min="12" max="12" width="17.7109375" customWidth="1"/>
  </cols>
  <sheetData>
    <row r="1" spans="1:12">
      <c r="A1" s="83" t="s">
        <v>58</v>
      </c>
      <c r="B1" s="84"/>
      <c r="C1" s="84"/>
      <c r="D1" s="84"/>
      <c r="E1" s="84"/>
      <c r="F1" s="1"/>
      <c r="G1" s="1"/>
      <c r="H1" s="1"/>
      <c r="I1" s="1"/>
      <c r="J1" s="1"/>
      <c r="K1" s="1"/>
      <c r="L1" s="1"/>
    </row>
    <row r="2" spans="1:12">
      <c r="A2" s="85"/>
      <c r="B2" s="85"/>
      <c r="C2" s="85"/>
      <c r="D2" s="85"/>
      <c r="E2" s="85"/>
      <c r="F2" s="1"/>
      <c r="G2" s="1"/>
      <c r="H2" s="1"/>
      <c r="I2" s="1"/>
      <c r="J2" s="1"/>
      <c r="K2" s="1"/>
      <c r="L2" s="1"/>
    </row>
    <row r="3" spans="1:12" ht="15" customHeight="1">
      <c r="A3" s="86" t="s">
        <v>1</v>
      </c>
      <c r="B3" s="88" t="s">
        <v>2</v>
      </c>
      <c r="C3" s="89"/>
      <c r="D3" s="90" t="s">
        <v>3</v>
      </c>
      <c r="E3" s="80" t="s">
        <v>4</v>
      </c>
      <c r="F3" s="90" t="s">
        <v>5</v>
      </c>
      <c r="G3" s="80" t="s">
        <v>6</v>
      </c>
      <c r="H3" s="2"/>
      <c r="I3" s="3"/>
      <c r="J3" s="4" t="s">
        <v>7</v>
      </c>
      <c r="K3" s="5"/>
      <c r="L3" s="6"/>
    </row>
    <row r="4" spans="1:12" ht="15.75">
      <c r="A4" s="87"/>
      <c r="B4" s="7" t="s">
        <v>8</v>
      </c>
      <c r="C4" s="74" t="s">
        <v>9</v>
      </c>
      <c r="D4" s="91"/>
      <c r="E4" s="81"/>
      <c r="F4" s="91"/>
      <c r="G4" s="81"/>
      <c r="H4" s="2"/>
      <c r="I4" s="3"/>
      <c r="J4" s="9" t="s">
        <v>1</v>
      </c>
      <c r="K4" s="10" t="s">
        <v>10</v>
      </c>
      <c r="L4" s="11" t="s">
        <v>11</v>
      </c>
    </row>
    <row r="5" spans="1:12">
      <c r="A5" s="53">
        <v>44986</v>
      </c>
      <c r="B5" s="54">
        <v>2550000</v>
      </c>
      <c r="C5" s="54">
        <v>285000</v>
      </c>
      <c r="D5" s="58">
        <f>B5+C5</f>
        <v>2835000</v>
      </c>
      <c r="E5" s="60">
        <v>1255000</v>
      </c>
      <c r="F5" s="54">
        <f>D5-E5</f>
        <v>1580000</v>
      </c>
      <c r="G5" s="62">
        <f>C5-E5</f>
        <v>-970000</v>
      </c>
      <c r="H5" s="55"/>
      <c r="I5" s="6"/>
      <c r="J5" s="17">
        <v>44987</v>
      </c>
      <c r="K5" s="68" t="s">
        <v>72</v>
      </c>
      <c r="L5" s="18">
        <v>250000</v>
      </c>
    </row>
    <row r="6" spans="1:12">
      <c r="A6" s="12">
        <v>44987</v>
      </c>
      <c r="B6" s="13">
        <v>6145000</v>
      </c>
      <c r="C6" s="13">
        <v>2400000</v>
      </c>
      <c r="D6" s="58">
        <f>B6+C6</f>
        <v>8545000</v>
      </c>
      <c r="E6" s="60">
        <v>2135000</v>
      </c>
      <c r="F6" s="13">
        <f>D6-E6</f>
        <v>6410000</v>
      </c>
      <c r="G6" s="62">
        <f>C6-E6</f>
        <v>265000</v>
      </c>
      <c r="H6" s="14"/>
      <c r="I6" s="19"/>
      <c r="J6" s="17">
        <v>44987</v>
      </c>
      <c r="K6" s="68" t="s">
        <v>73</v>
      </c>
      <c r="L6" s="18">
        <v>3500000</v>
      </c>
    </row>
    <row r="7" spans="1:12">
      <c r="A7" s="12">
        <v>44988</v>
      </c>
      <c r="B7" s="13"/>
      <c r="C7" s="13">
        <v>330000</v>
      </c>
      <c r="D7" s="58">
        <v>330000</v>
      </c>
      <c r="E7" s="60">
        <v>1800000</v>
      </c>
      <c r="F7" s="13">
        <f>D7-E7</f>
        <v>-1470000</v>
      </c>
      <c r="G7" s="62">
        <f>C7-E7</f>
        <v>-1470000</v>
      </c>
      <c r="H7" s="14"/>
      <c r="I7" s="6"/>
      <c r="J7" s="20">
        <v>44989</v>
      </c>
      <c r="K7" s="21" t="s">
        <v>74</v>
      </c>
      <c r="L7" s="18">
        <v>20250000</v>
      </c>
    </row>
    <row r="8" spans="1:12">
      <c r="A8" s="12">
        <v>44989</v>
      </c>
      <c r="B8" s="13">
        <v>11700000</v>
      </c>
      <c r="C8" s="13">
        <v>850000</v>
      </c>
      <c r="D8" s="58">
        <f>B8+C8</f>
        <v>12550000</v>
      </c>
      <c r="E8" s="60">
        <v>3215000</v>
      </c>
      <c r="F8" s="13">
        <f>D8-E8</f>
        <v>9335000</v>
      </c>
      <c r="G8" s="62">
        <f>C8-E8</f>
        <v>-2365000</v>
      </c>
      <c r="H8" s="14"/>
      <c r="I8" s="22"/>
      <c r="J8" s="20">
        <v>44989</v>
      </c>
      <c r="K8" s="50" t="s">
        <v>75</v>
      </c>
      <c r="L8" s="18">
        <v>335000</v>
      </c>
    </row>
    <row r="9" spans="1:12">
      <c r="A9" s="48">
        <v>44990</v>
      </c>
      <c r="B9" s="73"/>
      <c r="C9" s="73"/>
      <c r="D9" s="73"/>
      <c r="E9" s="73"/>
      <c r="F9" s="73"/>
      <c r="G9" s="73"/>
      <c r="H9" s="14"/>
      <c r="I9" s="22"/>
      <c r="J9" s="12">
        <v>44990</v>
      </c>
      <c r="K9" s="68" t="s">
        <v>76</v>
      </c>
      <c r="L9" s="18">
        <v>1000000</v>
      </c>
    </row>
    <row r="10" spans="1:12">
      <c r="A10" s="12">
        <v>44991</v>
      </c>
      <c r="B10" s="13">
        <v>2600000</v>
      </c>
      <c r="C10" s="13">
        <v>7100000</v>
      </c>
      <c r="D10" s="58">
        <f t="shared" ref="D10:D15" si="0">B10+C10</f>
        <v>9700000</v>
      </c>
      <c r="E10" s="60">
        <v>1395000</v>
      </c>
      <c r="F10" s="13">
        <f t="shared" ref="F10:F15" si="1">D10-E10</f>
        <v>8305000</v>
      </c>
      <c r="G10" s="62">
        <f t="shared" ref="G10:G22" si="2">C10-E10</f>
        <v>5705000</v>
      </c>
      <c r="H10" s="14"/>
      <c r="I10" s="6"/>
      <c r="J10" s="12">
        <v>44994</v>
      </c>
      <c r="K10" s="21" t="s">
        <v>77</v>
      </c>
      <c r="L10" s="18">
        <v>1200000</v>
      </c>
    </row>
    <row r="11" spans="1:12">
      <c r="A11" s="53">
        <v>44992</v>
      </c>
      <c r="B11" s="54">
        <v>1300000</v>
      </c>
      <c r="C11" s="54">
        <v>385000</v>
      </c>
      <c r="D11" s="58">
        <f t="shared" si="0"/>
        <v>1685000</v>
      </c>
      <c r="E11" s="60">
        <v>965000</v>
      </c>
      <c r="F11" s="54">
        <f t="shared" si="1"/>
        <v>720000</v>
      </c>
      <c r="G11" s="62">
        <f t="shared" si="2"/>
        <v>-580000</v>
      </c>
      <c r="H11" s="14"/>
      <c r="I11" s="6"/>
      <c r="J11" s="12">
        <v>44996</v>
      </c>
      <c r="K11" s="15" t="s">
        <v>78</v>
      </c>
      <c r="L11" s="18">
        <v>5000000</v>
      </c>
    </row>
    <row r="12" spans="1:12">
      <c r="A12" s="53">
        <v>44993</v>
      </c>
      <c r="B12" s="54">
        <v>350000</v>
      </c>
      <c r="C12" s="54">
        <v>1000000</v>
      </c>
      <c r="D12" s="58">
        <f t="shared" si="0"/>
        <v>1350000</v>
      </c>
      <c r="E12" s="60">
        <v>1445000</v>
      </c>
      <c r="F12" s="54">
        <f t="shared" si="1"/>
        <v>-95000</v>
      </c>
      <c r="G12" s="62">
        <f t="shared" si="2"/>
        <v>-445000</v>
      </c>
      <c r="H12" s="56"/>
      <c r="I12" s="6"/>
      <c r="J12" s="12">
        <v>44998</v>
      </c>
      <c r="K12" s="25" t="s">
        <v>79</v>
      </c>
      <c r="L12" s="18">
        <v>500000</v>
      </c>
    </row>
    <row r="13" spans="1:12">
      <c r="A13" s="12">
        <v>44994</v>
      </c>
      <c r="B13" s="13">
        <v>1840000</v>
      </c>
      <c r="C13" s="13">
        <v>3490000</v>
      </c>
      <c r="D13" s="58">
        <f t="shared" si="0"/>
        <v>5330000</v>
      </c>
      <c r="E13" s="60">
        <v>1165000</v>
      </c>
      <c r="F13" s="13">
        <f t="shared" si="1"/>
        <v>4165000</v>
      </c>
      <c r="G13" s="62">
        <f t="shared" si="2"/>
        <v>2325000</v>
      </c>
      <c r="H13" s="24"/>
      <c r="I13" s="22"/>
      <c r="J13" s="12">
        <v>44998</v>
      </c>
      <c r="K13" s="25" t="s">
        <v>80</v>
      </c>
      <c r="L13" s="18">
        <v>1300000</v>
      </c>
    </row>
    <row r="14" spans="1:12">
      <c r="A14" s="12">
        <v>44995</v>
      </c>
      <c r="B14" s="13">
        <v>1525000</v>
      </c>
      <c r="C14" s="13">
        <v>7350000</v>
      </c>
      <c r="D14" s="58">
        <f t="shared" si="0"/>
        <v>8875000</v>
      </c>
      <c r="E14" s="60">
        <v>2385000</v>
      </c>
      <c r="F14" s="13">
        <f t="shared" si="1"/>
        <v>6490000</v>
      </c>
      <c r="G14" s="62">
        <f t="shared" si="2"/>
        <v>4965000</v>
      </c>
      <c r="H14" s="24"/>
      <c r="I14" s="26"/>
      <c r="J14" s="27">
        <v>45000</v>
      </c>
      <c r="K14" s="51" t="s">
        <v>81</v>
      </c>
      <c r="L14" s="52">
        <v>1300000</v>
      </c>
    </row>
    <row r="15" spans="1:12" ht="15" customHeight="1">
      <c r="A15" s="12">
        <v>44996</v>
      </c>
      <c r="B15" s="13">
        <v>2750000</v>
      </c>
      <c r="C15" s="13">
        <v>8900000</v>
      </c>
      <c r="D15" s="58">
        <f t="shared" si="0"/>
        <v>11650000</v>
      </c>
      <c r="E15" s="60">
        <v>2265000</v>
      </c>
      <c r="F15" s="13">
        <f t="shared" si="1"/>
        <v>9385000</v>
      </c>
      <c r="G15" s="62">
        <f t="shared" si="2"/>
        <v>6635000</v>
      </c>
      <c r="H15" s="24"/>
      <c r="I15" s="26"/>
      <c r="J15" s="12">
        <v>45000</v>
      </c>
      <c r="K15" s="25" t="s">
        <v>82</v>
      </c>
      <c r="L15" s="18">
        <v>700000</v>
      </c>
    </row>
    <row r="16" spans="1:12">
      <c r="A16" s="12">
        <v>44997</v>
      </c>
      <c r="B16" s="13"/>
      <c r="C16" s="13">
        <v>8500000</v>
      </c>
      <c r="D16" s="58">
        <v>8500000</v>
      </c>
      <c r="E16" s="60">
        <v>450000</v>
      </c>
      <c r="F16" s="13">
        <f>C16-E16</f>
        <v>8050000</v>
      </c>
      <c r="G16" s="62">
        <f t="shared" si="2"/>
        <v>8050000</v>
      </c>
      <c r="H16" s="24"/>
      <c r="I16" s="29"/>
      <c r="J16" s="12">
        <v>45001</v>
      </c>
      <c r="K16" s="23" t="s">
        <v>83</v>
      </c>
      <c r="L16" s="18">
        <v>1850000</v>
      </c>
    </row>
    <row r="17" spans="1:12" ht="15.75" customHeight="1">
      <c r="A17" s="12">
        <v>44998</v>
      </c>
      <c r="B17" s="13">
        <v>3850000</v>
      </c>
      <c r="C17" s="13">
        <v>550000</v>
      </c>
      <c r="D17" s="58">
        <f t="shared" ref="D17:D22" si="3">B17+C17</f>
        <v>4400000</v>
      </c>
      <c r="E17" s="60">
        <v>3265000</v>
      </c>
      <c r="F17" s="13">
        <f t="shared" ref="F17:F23" si="4">D17-E17</f>
        <v>1135000</v>
      </c>
      <c r="G17" s="62">
        <f t="shared" si="2"/>
        <v>-2715000</v>
      </c>
      <c r="H17" s="24"/>
      <c r="I17" s="29"/>
      <c r="J17" s="27">
        <v>45003</v>
      </c>
      <c r="K17" s="30" t="s">
        <v>84</v>
      </c>
      <c r="L17" s="18">
        <v>550000</v>
      </c>
    </row>
    <row r="18" spans="1:12">
      <c r="A18" s="53">
        <v>44999</v>
      </c>
      <c r="B18" s="54">
        <v>6825000</v>
      </c>
      <c r="C18" s="54">
        <v>5950000</v>
      </c>
      <c r="D18" s="58">
        <f t="shared" si="3"/>
        <v>12775000</v>
      </c>
      <c r="E18" s="60">
        <v>1200000</v>
      </c>
      <c r="F18" s="54">
        <f t="shared" si="4"/>
        <v>11575000</v>
      </c>
      <c r="G18" s="62">
        <f t="shared" si="2"/>
        <v>4750000</v>
      </c>
      <c r="H18" s="24"/>
      <c r="I18" s="31"/>
      <c r="J18" s="32">
        <v>45006</v>
      </c>
      <c r="K18" s="23" t="s">
        <v>85</v>
      </c>
      <c r="L18" s="18">
        <v>9200000</v>
      </c>
    </row>
    <row r="19" spans="1:12">
      <c r="A19" s="53">
        <v>45000</v>
      </c>
      <c r="B19" s="54">
        <v>6620000</v>
      </c>
      <c r="C19" s="54">
        <v>4700000</v>
      </c>
      <c r="D19" s="58">
        <f t="shared" si="3"/>
        <v>11320000</v>
      </c>
      <c r="E19" s="60">
        <v>2180000</v>
      </c>
      <c r="F19" s="54">
        <f t="shared" si="4"/>
        <v>9140000</v>
      </c>
      <c r="G19" s="62">
        <f t="shared" si="2"/>
        <v>2520000</v>
      </c>
      <c r="H19" s="55"/>
      <c r="I19" s="29"/>
      <c r="J19" s="27">
        <v>45006</v>
      </c>
      <c r="K19" s="30" t="s">
        <v>69</v>
      </c>
      <c r="L19" s="18">
        <v>40000000</v>
      </c>
    </row>
    <row r="20" spans="1:12">
      <c r="A20" s="12">
        <v>45001</v>
      </c>
      <c r="B20" s="13">
        <v>4600000</v>
      </c>
      <c r="C20" s="13">
        <v>1850000</v>
      </c>
      <c r="D20" s="58">
        <f t="shared" si="3"/>
        <v>6450000</v>
      </c>
      <c r="E20" s="60">
        <v>1775000</v>
      </c>
      <c r="F20" s="13">
        <f t="shared" si="4"/>
        <v>4675000</v>
      </c>
      <c r="G20" s="62">
        <f t="shared" si="2"/>
        <v>75000</v>
      </c>
      <c r="H20" s="14"/>
      <c r="I20" s="29"/>
      <c r="J20" s="27">
        <v>45006</v>
      </c>
      <c r="K20" s="30" t="s">
        <v>86</v>
      </c>
      <c r="L20" s="18">
        <v>1000000</v>
      </c>
    </row>
    <row r="21" spans="1:12">
      <c r="A21" s="12">
        <v>45002</v>
      </c>
      <c r="B21" s="13">
        <v>5700000</v>
      </c>
      <c r="C21" s="13">
        <v>4400000</v>
      </c>
      <c r="D21" s="58">
        <f t="shared" si="3"/>
        <v>10100000</v>
      </c>
      <c r="E21" s="60">
        <v>1300000</v>
      </c>
      <c r="F21" s="13">
        <f t="shared" si="4"/>
        <v>8800000</v>
      </c>
      <c r="G21" s="62">
        <f t="shared" si="2"/>
        <v>3100000</v>
      </c>
      <c r="H21" s="14"/>
      <c r="I21" s="31"/>
      <c r="J21" s="27">
        <v>45006</v>
      </c>
      <c r="K21" s="30" t="s">
        <v>90</v>
      </c>
      <c r="L21" s="18">
        <v>1550000</v>
      </c>
    </row>
    <row r="22" spans="1:12">
      <c r="A22" s="12">
        <v>45003</v>
      </c>
      <c r="B22" s="13">
        <v>3200000</v>
      </c>
      <c r="C22" s="13">
        <v>2115000</v>
      </c>
      <c r="D22" s="58">
        <f t="shared" si="3"/>
        <v>5315000</v>
      </c>
      <c r="E22" s="60">
        <v>2675000</v>
      </c>
      <c r="F22" s="13">
        <f t="shared" si="4"/>
        <v>2640000</v>
      </c>
      <c r="G22" s="62">
        <f t="shared" si="2"/>
        <v>-560000</v>
      </c>
      <c r="H22" s="14"/>
      <c r="I22" s="29"/>
      <c r="J22" s="27">
        <v>45006</v>
      </c>
      <c r="K22" s="30" t="s">
        <v>87</v>
      </c>
      <c r="L22" s="18">
        <v>2000000</v>
      </c>
    </row>
    <row r="23" spans="1:12">
      <c r="A23" s="12">
        <v>45004</v>
      </c>
      <c r="B23" s="13">
        <v>29500000</v>
      </c>
      <c r="C23" s="13"/>
      <c r="D23" s="58">
        <v>29500000</v>
      </c>
      <c r="E23" s="60">
        <v>700000</v>
      </c>
      <c r="F23" s="13">
        <f t="shared" si="4"/>
        <v>28800000</v>
      </c>
      <c r="G23" s="62">
        <f>C23-E23</f>
        <v>-700000</v>
      </c>
      <c r="H23" s="34"/>
      <c r="I23" s="29"/>
      <c r="J23" s="27">
        <v>45008</v>
      </c>
      <c r="K23" s="30" t="s">
        <v>88</v>
      </c>
      <c r="L23" s="18">
        <v>1550000</v>
      </c>
    </row>
    <row r="24" spans="1:12">
      <c r="A24" s="12">
        <v>45005</v>
      </c>
      <c r="B24" s="13">
        <v>1950000</v>
      </c>
      <c r="C24" s="13">
        <v>2615000</v>
      </c>
      <c r="D24" s="58">
        <f>B24+C24</f>
        <v>4565000</v>
      </c>
      <c r="E24" s="60">
        <v>3245000</v>
      </c>
      <c r="F24" s="13">
        <f>D24-E24</f>
        <v>1320000</v>
      </c>
      <c r="G24" s="62">
        <f>C24-E24</f>
        <v>-630000</v>
      </c>
      <c r="H24" s="14"/>
      <c r="I24" s="29"/>
      <c r="J24" s="27">
        <v>45010</v>
      </c>
      <c r="K24" s="30" t="s">
        <v>89</v>
      </c>
      <c r="L24" s="18">
        <v>1500000</v>
      </c>
    </row>
    <row r="25" spans="1:12">
      <c r="A25" s="53">
        <v>45006</v>
      </c>
      <c r="B25" s="54">
        <v>13050000</v>
      </c>
      <c r="C25" s="54"/>
      <c r="D25" s="58">
        <v>13050000</v>
      </c>
      <c r="E25" s="60">
        <v>3565000</v>
      </c>
      <c r="F25" s="54">
        <f>D25-E25</f>
        <v>9485000</v>
      </c>
      <c r="G25" s="62">
        <f>C25-E25</f>
        <v>-3565000</v>
      </c>
      <c r="H25" s="14"/>
      <c r="I25" s="29"/>
      <c r="J25" s="27">
        <v>45010</v>
      </c>
      <c r="K25" s="30" t="s">
        <v>69</v>
      </c>
      <c r="L25" s="18">
        <v>14400000</v>
      </c>
    </row>
    <row r="26" spans="1:12">
      <c r="A26" s="53">
        <v>45007</v>
      </c>
      <c r="B26" s="54">
        <v>10200000</v>
      </c>
      <c r="C26" s="54">
        <v>5175000</v>
      </c>
      <c r="D26" s="58">
        <f>B26+C26</f>
        <v>15375000</v>
      </c>
      <c r="E26" s="60">
        <v>3395000</v>
      </c>
      <c r="F26" s="54">
        <f>D26-E26</f>
        <v>11980000</v>
      </c>
      <c r="G26" s="62">
        <f>C26-E26</f>
        <v>1780000</v>
      </c>
      <c r="H26" s="55"/>
      <c r="I26" s="29"/>
      <c r="J26" s="27">
        <v>45012</v>
      </c>
      <c r="K26" s="30" t="s">
        <v>55</v>
      </c>
      <c r="L26" s="18">
        <v>5200000</v>
      </c>
    </row>
    <row r="27" spans="1:12">
      <c r="A27" s="48">
        <v>45008</v>
      </c>
      <c r="B27" s="73"/>
      <c r="C27" s="73"/>
      <c r="D27" s="73"/>
      <c r="E27" s="73"/>
      <c r="F27" s="73"/>
      <c r="G27" s="73"/>
      <c r="H27" s="55"/>
      <c r="I27" s="29"/>
      <c r="J27" s="27">
        <v>45012</v>
      </c>
      <c r="K27" s="30" t="s">
        <v>98</v>
      </c>
      <c r="L27" s="18">
        <v>10000000</v>
      </c>
    </row>
    <row r="28" spans="1:12">
      <c r="A28" s="53">
        <v>45009</v>
      </c>
      <c r="B28" s="54">
        <v>2970000</v>
      </c>
      <c r="C28" s="54">
        <v>450000</v>
      </c>
      <c r="D28" s="58">
        <f>B28+C28</f>
        <v>3420000</v>
      </c>
      <c r="E28" s="60">
        <v>2405000</v>
      </c>
      <c r="F28" s="54">
        <f>D28-E28</f>
        <v>1015000</v>
      </c>
      <c r="G28" s="62">
        <f>C28-E28</f>
        <v>-1955000</v>
      </c>
      <c r="H28" s="55"/>
      <c r="I28" s="29"/>
      <c r="J28" s="27">
        <v>45012</v>
      </c>
      <c r="K28" s="30" t="s">
        <v>91</v>
      </c>
      <c r="L28" s="18">
        <v>18800000</v>
      </c>
    </row>
    <row r="29" spans="1:12">
      <c r="A29" s="53">
        <v>45010</v>
      </c>
      <c r="B29" s="54">
        <v>1270000</v>
      </c>
      <c r="C29" s="54">
        <v>4350000</v>
      </c>
      <c r="D29" s="58">
        <f>B29+C29</f>
        <v>5620000</v>
      </c>
      <c r="E29" s="60">
        <v>1640000</v>
      </c>
      <c r="F29" s="54">
        <f>D29-E29</f>
        <v>3980000</v>
      </c>
      <c r="G29" s="62">
        <f>C29-E29</f>
        <v>2710000</v>
      </c>
      <c r="H29" s="55"/>
      <c r="I29" s="29"/>
      <c r="J29" s="27"/>
      <c r="K29" s="30"/>
      <c r="L29" s="18"/>
    </row>
    <row r="30" spans="1:12">
      <c r="A30" s="48">
        <v>45011</v>
      </c>
      <c r="B30" s="73"/>
      <c r="C30" s="73"/>
      <c r="D30" s="73"/>
      <c r="E30" s="73"/>
      <c r="F30" s="73"/>
      <c r="G30" s="73"/>
      <c r="H30" s="55"/>
      <c r="I30" s="29"/>
      <c r="J30" s="27"/>
      <c r="K30" s="30"/>
      <c r="L30" s="18"/>
    </row>
    <row r="31" spans="1:12">
      <c r="A31" s="53">
        <v>45012</v>
      </c>
      <c r="B31" s="54">
        <v>850000</v>
      </c>
      <c r="C31" s="54">
        <v>1700000</v>
      </c>
      <c r="D31" s="58">
        <f>B31+C31</f>
        <v>2550000</v>
      </c>
      <c r="E31" s="60">
        <v>1400000</v>
      </c>
      <c r="F31" s="54">
        <f>D31-E31</f>
        <v>1150000</v>
      </c>
      <c r="G31" s="62">
        <f>C31-E31</f>
        <v>300000</v>
      </c>
      <c r="H31" s="55"/>
      <c r="I31" s="29"/>
      <c r="J31" s="27"/>
      <c r="K31" s="30"/>
      <c r="L31" s="18"/>
    </row>
    <row r="32" spans="1:12">
      <c r="A32" s="53">
        <v>45013</v>
      </c>
      <c r="B32" s="54">
        <v>1870000</v>
      </c>
      <c r="C32" s="54">
        <v>2680000</v>
      </c>
      <c r="D32" s="58">
        <f>B32+C32</f>
        <v>4550000</v>
      </c>
      <c r="E32" s="60">
        <v>1405000</v>
      </c>
      <c r="F32" s="54">
        <f>D32-E32</f>
        <v>3145000</v>
      </c>
      <c r="G32" s="62">
        <f>C32-E32</f>
        <v>1275000</v>
      </c>
      <c r="H32" s="55"/>
      <c r="I32" s="29"/>
      <c r="J32" s="27"/>
      <c r="K32" s="30"/>
      <c r="L32" s="18"/>
    </row>
    <row r="33" spans="1:12">
      <c r="A33" s="53">
        <v>45014</v>
      </c>
      <c r="B33" s="54">
        <v>300000</v>
      </c>
      <c r="C33" s="54">
        <v>6090000</v>
      </c>
      <c r="D33" s="58">
        <f>B33+C33</f>
        <v>6390000</v>
      </c>
      <c r="E33" s="60">
        <v>1330000</v>
      </c>
      <c r="F33" s="54">
        <f>D33-E33</f>
        <v>5060000</v>
      </c>
      <c r="G33" s="62">
        <f>C33-E33</f>
        <v>4760000</v>
      </c>
      <c r="H33" s="55"/>
      <c r="I33" s="29"/>
      <c r="J33" s="27"/>
      <c r="K33" s="30"/>
      <c r="L33" s="18"/>
    </row>
    <row r="34" spans="1:12">
      <c r="A34" s="53">
        <v>45015</v>
      </c>
      <c r="B34" s="54"/>
      <c r="C34" s="54">
        <v>150000</v>
      </c>
      <c r="D34" s="58">
        <v>150000</v>
      </c>
      <c r="E34" s="60">
        <v>930000</v>
      </c>
      <c r="F34" s="54">
        <f>D34-E34</f>
        <v>-780000</v>
      </c>
      <c r="G34" s="62">
        <f>C34-E34</f>
        <v>-780000</v>
      </c>
      <c r="H34" s="55"/>
      <c r="I34" s="29"/>
      <c r="J34" s="27"/>
      <c r="K34" s="30"/>
      <c r="L34" s="18"/>
    </row>
    <row r="35" spans="1:12">
      <c r="A35" s="53">
        <v>45016</v>
      </c>
      <c r="B35" s="54">
        <v>850000</v>
      </c>
      <c r="C35" s="54">
        <v>4825000</v>
      </c>
      <c r="D35" s="58">
        <f>B35+C35</f>
        <v>5675000</v>
      </c>
      <c r="E35" s="60">
        <v>3405000</v>
      </c>
      <c r="F35" s="54">
        <f>D35-E35</f>
        <v>2270000</v>
      </c>
      <c r="G35" s="62">
        <f>C35-E35</f>
        <v>1420000</v>
      </c>
      <c r="H35" s="55"/>
      <c r="I35" s="29"/>
      <c r="J35" s="27"/>
      <c r="K35" s="30"/>
      <c r="L35" s="18"/>
    </row>
    <row r="36" spans="1:12">
      <c r="A36" s="12"/>
      <c r="B36" s="13"/>
      <c r="C36" s="13"/>
      <c r="D36" s="58"/>
      <c r="E36" s="60"/>
      <c r="F36" s="13"/>
      <c r="G36" s="62"/>
      <c r="H36" s="14"/>
      <c r="I36" s="29"/>
      <c r="J36" s="27"/>
      <c r="K36" s="30"/>
      <c r="L36" s="18"/>
    </row>
    <row r="37" spans="1:12">
      <c r="A37" s="12"/>
      <c r="B37" s="13"/>
      <c r="C37" s="13"/>
      <c r="D37" s="58"/>
      <c r="E37" s="60"/>
      <c r="F37" s="13"/>
      <c r="G37" s="62"/>
      <c r="H37" s="14"/>
      <c r="I37" s="29"/>
      <c r="J37" s="35"/>
      <c r="K37" s="23"/>
      <c r="L37" s="66">
        <f>SUM(L5:L36)</f>
        <v>142935000</v>
      </c>
    </row>
    <row r="38" spans="1:12">
      <c r="A38" s="12"/>
      <c r="B38" s="13"/>
      <c r="C38" s="13"/>
      <c r="D38" s="58"/>
      <c r="E38" s="60"/>
      <c r="F38" s="13"/>
      <c r="G38" s="62"/>
      <c r="H38" s="14"/>
      <c r="I38" s="29"/>
      <c r="J38" s="28"/>
      <c r="K38" s="1"/>
      <c r="L38" s="1"/>
    </row>
    <row r="39" spans="1:12" ht="15.75">
      <c r="A39" s="12"/>
      <c r="B39" s="13"/>
      <c r="C39" s="13"/>
      <c r="D39" s="58"/>
      <c r="E39" s="60"/>
      <c r="F39" s="13"/>
      <c r="G39" s="62"/>
      <c r="H39" s="14"/>
      <c r="I39" s="29"/>
      <c r="J39" s="36" t="s">
        <v>14</v>
      </c>
      <c r="K39" s="37" t="s">
        <v>15</v>
      </c>
      <c r="L39" s="64">
        <f>B46+C46</f>
        <v>212555000</v>
      </c>
    </row>
    <row r="40" spans="1:12" ht="15.75">
      <c r="A40" s="12"/>
      <c r="B40" s="13"/>
      <c r="C40" s="13"/>
      <c r="D40" s="58"/>
      <c r="E40" s="60"/>
      <c r="F40" s="13"/>
      <c r="G40" s="62"/>
      <c r="H40" s="14"/>
      <c r="I40" s="39"/>
      <c r="J40" s="40"/>
      <c r="K40" s="41" t="s">
        <v>16</v>
      </c>
      <c r="L40" s="65">
        <v>54290000</v>
      </c>
    </row>
    <row r="41" spans="1:12" ht="15.75">
      <c r="A41" s="12"/>
      <c r="B41" s="13"/>
      <c r="C41" s="13"/>
      <c r="D41" s="58"/>
      <c r="E41" s="60"/>
      <c r="F41" s="13"/>
      <c r="G41" s="62"/>
      <c r="H41" s="14"/>
      <c r="I41" s="29"/>
      <c r="J41" s="40"/>
      <c r="K41" s="41" t="s">
        <v>17</v>
      </c>
      <c r="L41" s="65">
        <v>142935000</v>
      </c>
    </row>
    <row r="42" spans="1:12" ht="15.75">
      <c r="A42" s="53"/>
      <c r="B42" s="54"/>
      <c r="C42" s="54"/>
      <c r="D42" s="58"/>
      <c r="E42" s="60"/>
      <c r="F42" s="54"/>
      <c r="G42" s="62"/>
      <c r="H42" s="55"/>
      <c r="I42" s="29"/>
      <c r="J42" s="40"/>
      <c r="K42" s="41" t="s">
        <v>18</v>
      </c>
      <c r="L42" s="42">
        <f>L40+L41</f>
        <v>197225000</v>
      </c>
    </row>
    <row r="43" spans="1:12" ht="15.75">
      <c r="A43" s="12"/>
      <c r="B43" s="13"/>
      <c r="C43" s="13"/>
      <c r="D43" s="58"/>
      <c r="E43" s="60"/>
      <c r="F43" s="13"/>
      <c r="G43" s="62"/>
      <c r="H43" s="14"/>
      <c r="I43" s="29"/>
      <c r="J43" s="40"/>
      <c r="K43" s="44"/>
      <c r="L43" s="38"/>
    </row>
    <row r="44" spans="1:12" ht="18">
      <c r="A44" s="12"/>
      <c r="B44" s="13"/>
      <c r="C44" s="13"/>
      <c r="D44" s="58"/>
      <c r="E44" s="60"/>
      <c r="F44" s="13"/>
      <c r="G44" s="62"/>
      <c r="H44" s="14"/>
      <c r="I44" s="29"/>
      <c r="J44" s="82" t="s">
        <v>59</v>
      </c>
      <c r="K44" s="82"/>
      <c r="L44" s="45">
        <f>L39-L42</f>
        <v>15330000</v>
      </c>
    </row>
    <row r="45" spans="1:12">
      <c r="A45" s="12"/>
      <c r="B45" s="13"/>
      <c r="C45" s="13"/>
      <c r="D45" s="58"/>
      <c r="E45" s="60"/>
      <c r="F45" s="13"/>
      <c r="G45" s="62"/>
      <c r="H45" s="14"/>
      <c r="I45" s="1"/>
      <c r="J45" s="29"/>
      <c r="K45" s="29"/>
      <c r="L45" s="1"/>
    </row>
    <row r="46" spans="1:12">
      <c r="A46" s="12"/>
      <c r="B46" s="46">
        <f t="shared" ref="B46:G46" si="5">SUM(B5:B45)</f>
        <v>124365000</v>
      </c>
      <c r="C46" s="46">
        <f t="shared" si="5"/>
        <v>88190000</v>
      </c>
      <c r="D46" s="59">
        <f t="shared" si="5"/>
        <v>212555000</v>
      </c>
      <c r="E46" s="61">
        <f t="shared" si="5"/>
        <v>54290000</v>
      </c>
      <c r="F46" s="57">
        <f t="shared" si="5"/>
        <v>158265000</v>
      </c>
      <c r="G46" s="63">
        <f t="shared" si="5"/>
        <v>33900000</v>
      </c>
      <c r="H46" s="29"/>
      <c r="I46" s="1"/>
      <c r="J46" s="1"/>
      <c r="K46" s="1"/>
      <c r="L46" s="1"/>
    </row>
    <row r="47" spans="1:12">
      <c r="A47" s="1"/>
      <c r="B47" s="1"/>
      <c r="C47" s="1"/>
      <c r="D47" s="47"/>
      <c r="E47" s="1"/>
      <c r="F47" s="1"/>
      <c r="G47" s="1"/>
      <c r="H47" s="29"/>
      <c r="I47" s="27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29"/>
      <c r="I48" s="1"/>
      <c r="J48" s="1"/>
      <c r="K48" s="1"/>
      <c r="L48" s="47"/>
    </row>
    <row r="55" ht="15" customHeight="1"/>
    <row r="57" ht="15.75" customHeight="1"/>
  </sheetData>
  <mergeCells count="8">
    <mergeCell ref="F3:F4"/>
    <mergeCell ref="G3:G4"/>
    <mergeCell ref="J44:K44"/>
    <mergeCell ref="A1:E2"/>
    <mergeCell ref="A3:A4"/>
    <mergeCell ref="B3:C3"/>
    <mergeCell ref="D3:D4"/>
    <mergeCell ref="E3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L49"/>
  <sheetViews>
    <sheetView topLeftCell="A28" workbookViewId="0">
      <selection activeCell="C55" sqref="C55"/>
    </sheetView>
  </sheetViews>
  <sheetFormatPr defaultRowHeight="15"/>
  <cols>
    <col min="1" max="1" width="7.42578125" customWidth="1"/>
    <col min="2" max="2" width="15.5703125" customWidth="1"/>
    <col min="3" max="3" width="15.42578125" customWidth="1"/>
    <col min="4" max="4" width="14.5703125" customWidth="1"/>
    <col min="5" max="5" width="14" customWidth="1"/>
    <col min="6" max="6" width="14.7109375" customWidth="1"/>
    <col min="7" max="7" width="14.140625" customWidth="1"/>
    <col min="11" max="11" width="44.42578125" customWidth="1"/>
    <col min="12" max="12" width="18.7109375" customWidth="1"/>
  </cols>
  <sheetData>
    <row r="2" spans="1:12" ht="15" customHeight="1">
      <c r="A2" s="83" t="s">
        <v>23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 customHeight="1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74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>
        <v>45017</v>
      </c>
      <c r="B6" s="54">
        <v>9225000</v>
      </c>
      <c r="C6" s="54">
        <v>8950000</v>
      </c>
      <c r="D6" s="58">
        <f>B6+C6</f>
        <v>18175000</v>
      </c>
      <c r="E6" s="60">
        <v>4620000</v>
      </c>
      <c r="F6" s="54">
        <f t="shared" ref="F6:F13" si="0">D6-E6</f>
        <v>13555000</v>
      </c>
      <c r="G6" s="62">
        <f t="shared" ref="G6:G13" si="1">C6-E6</f>
        <v>4330000</v>
      </c>
      <c r="H6" s="55"/>
      <c r="I6" s="6"/>
      <c r="J6" s="17">
        <v>45018</v>
      </c>
      <c r="K6" s="68" t="s">
        <v>92</v>
      </c>
      <c r="L6" s="18">
        <v>230000</v>
      </c>
    </row>
    <row r="7" spans="1:12">
      <c r="A7" s="12">
        <v>45018</v>
      </c>
      <c r="B7" s="13"/>
      <c r="C7" s="13">
        <v>4000000</v>
      </c>
      <c r="D7" s="58">
        <v>4000000</v>
      </c>
      <c r="E7" s="60">
        <v>500000</v>
      </c>
      <c r="F7" s="13">
        <f t="shared" si="0"/>
        <v>3500000</v>
      </c>
      <c r="G7" s="62">
        <f t="shared" si="1"/>
        <v>3500000</v>
      </c>
      <c r="H7" s="14"/>
      <c r="I7" s="19"/>
      <c r="J7" s="17">
        <v>45018</v>
      </c>
      <c r="K7" s="68" t="s">
        <v>93</v>
      </c>
      <c r="L7" s="18">
        <v>2500000</v>
      </c>
    </row>
    <row r="8" spans="1:12">
      <c r="A8" s="12">
        <v>45019</v>
      </c>
      <c r="B8" s="13">
        <v>1800000</v>
      </c>
      <c r="C8" s="13">
        <v>1250000</v>
      </c>
      <c r="D8" s="58">
        <f>B8+C8</f>
        <v>3050000</v>
      </c>
      <c r="E8" s="60">
        <v>1480000</v>
      </c>
      <c r="F8" s="13">
        <f t="shared" si="0"/>
        <v>1570000</v>
      </c>
      <c r="G8" s="62">
        <f t="shared" si="1"/>
        <v>-230000</v>
      </c>
      <c r="H8" s="14"/>
      <c r="I8" s="6"/>
      <c r="J8" s="20">
        <v>45019</v>
      </c>
      <c r="K8" s="21" t="s">
        <v>94</v>
      </c>
      <c r="L8" s="18">
        <v>1600000</v>
      </c>
    </row>
    <row r="9" spans="1:12">
      <c r="A9" s="12">
        <v>45020</v>
      </c>
      <c r="B9" s="13"/>
      <c r="C9" s="13">
        <v>4550000</v>
      </c>
      <c r="D9" s="58">
        <v>4550000</v>
      </c>
      <c r="E9" s="60">
        <v>2425000</v>
      </c>
      <c r="F9" s="13">
        <f t="shared" si="0"/>
        <v>2125000</v>
      </c>
      <c r="G9" s="62">
        <f t="shared" si="1"/>
        <v>2125000</v>
      </c>
      <c r="H9" s="14"/>
      <c r="I9" s="22"/>
      <c r="J9" s="20">
        <v>45019</v>
      </c>
      <c r="K9" s="50" t="s">
        <v>95</v>
      </c>
      <c r="L9" s="18">
        <v>900000</v>
      </c>
    </row>
    <row r="10" spans="1:12">
      <c r="A10" s="12">
        <v>45021</v>
      </c>
      <c r="B10" s="13">
        <v>2500000</v>
      </c>
      <c r="C10" s="13">
        <v>10150000</v>
      </c>
      <c r="D10" s="58">
        <f>B10+C10</f>
        <v>12650000</v>
      </c>
      <c r="E10" s="60">
        <v>1920000</v>
      </c>
      <c r="F10" s="13">
        <f t="shared" si="0"/>
        <v>10730000</v>
      </c>
      <c r="G10" s="62">
        <f t="shared" si="1"/>
        <v>8230000</v>
      </c>
      <c r="H10" s="14"/>
      <c r="I10" s="22"/>
      <c r="J10" s="12">
        <v>45022</v>
      </c>
      <c r="K10" s="68" t="s">
        <v>96</v>
      </c>
      <c r="L10" s="18">
        <v>2400000</v>
      </c>
    </row>
    <row r="11" spans="1:12">
      <c r="A11" s="12">
        <v>45022</v>
      </c>
      <c r="B11" s="13">
        <v>28267000</v>
      </c>
      <c r="C11" s="13">
        <v>1175000</v>
      </c>
      <c r="D11" s="58">
        <f>B11+C11</f>
        <v>29442000</v>
      </c>
      <c r="E11" s="60">
        <v>1635000</v>
      </c>
      <c r="F11" s="13">
        <f t="shared" si="0"/>
        <v>27807000</v>
      </c>
      <c r="G11" s="62">
        <f t="shared" si="1"/>
        <v>-460000</v>
      </c>
      <c r="H11" s="14"/>
      <c r="I11" s="6"/>
      <c r="J11" s="12">
        <v>45024</v>
      </c>
      <c r="K11" s="21" t="s">
        <v>97</v>
      </c>
      <c r="L11" s="18">
        <v>800000</v>
      </c>
    </row>
    <row r="12" spans="1:12">
      <c r="A12" s="53">
        <v>45023</v>
      </c>
      <c r="B12" s="54"/>
      <c r="C12" s="54">
        <v>3380000</v>
      </c>
      <c r="D12" s="58">
        <v>3380000</v>
      </c>
      <c r="E12" s="60">
        <v>2345000</v>
      </c>
      <c r="F12" s="54">
        <f t="shared" si="0"/>
        <v>1035000</v>
      </c>
      <c r="G12" s="62">
        <f t="shared" si="1"/>
        <v>1035000</v>
      </c>
      <c r="H12" s="14"/>
      <c r="I12" s="6"/>
      <c r="J12" s="12">
        <v>45026</v>
      </c>
      <c r="K12" s="15" t="s">
        <v>99</v>
      </c>
      <c r="L12" s="18">
        <v>4500000</v>
      </c>
    </row>
    <row r="13" spans="1:12">
      <c r="A13" s="53">
        <v>45024</v>
      </c>
      <c r="B13" s="54">
        <v>3850000</v>
      </c>
      <c r="C13" s="54">
        <v>8950000</v>
      </c>
      <c r="D13" s="58">
        <f>B13+C13</f>
        <v>12800000</v>
      </c>
      <c r="E13" s="60">
        <v>7620000</v>
      </c>
      <c r="F13" s="54">
        <f t="shared" si="0"/>
        <v>5180000</v>
      </c>
      <c r="G13" s="62">
        <f t="shared" si="1"/>
        <v>1330000</v>
      </c>
      <c r="H13" s="56"/>
      <c r="I13" s="6"/>
      <c r="J13" s="12">
        <v>45028</v>
      </c>
      <c r="K13" s="25" t="s">
        <v>100</v>
      </c>
      <c r="L13" s="18">
        <v>1650000</v>
      </c>
    </row>
    <row r="14" spans="1:12">
      <c r="A14" s="48">
        <v>45025</v>
      </c>
      <c r="B14" s="73"/>
      <c r="C14" s="73"/>
      <c r="D14" s="73"/>
      <c r="E14" s="73"/>
      <c r="F14" s="73"/>
      <c r="G14" s="73"/>
      <c r="H14" s="24"/>
      <c r="I14" s="22"/>
      <c r="J14" s="12">
        <v>45029</v>
      </c>
      <c r="K14" s="25" t="s">
        <v>101</v>
      </c>
      <c r="L14" s="18">
        <v>400000</v>
      </c>
    </row>
    <row r="15" spans="1:12">
      <c r="A15" s="12">
        <v>45026</v>
      </c>
      <c r="B15" s="13">
        <v>2500000</v>
      </c>
      <c r="C15" s="13">
        <v>3300000</v>
      </c>
      <c r="D15" s="58">
        <f t="shared" ref="D15:D20" si="2">B15+C15</f>
        <v>5800000</v>
      </c>
      <c r="E15" s="60">
        <v>1210000</v>
      </c>
      <c r="F15" s="13">
        <f t="shared" ref="F15:F20" si="3">D15-E15</f>
        <v>4590000</v>
      </c>
      <c r="G15" s="62">
        <f t="shared" ref="G15:G20" si="4">C15-E15</f>
        <v>2090000</v>
      </c>
      <c r="H15" s="24"/>
      <c r="I15" s="26"/>
      <c r="J15" s="27">
        <v>45029</v>
      </c>
      <c r="K15" s="51" t="s">
        <v>102</v>
      </c>
      <c r="L15" s="52">
        <v>110000</v>
      </c>
    </row>
    <row r="16" spans="1:12">
      <c r="A16" s="12">
        <v>45027</v>
      </c>
      <c r="B16" s="13">
        <v>600000</v>
      </c>
      <c r="C16" s="13">
        <v>350000</v>
      </c>
      <c r="D16" s="58">
        <f t="shared" si="2"/>
        <v>950000</v>
      </c>
      <c r="E16" s="60">
        <v>1035000</v>
      </c>
      <c r="F16" s="13">
        <f t="shared" si="3"/>
        <v>-85000</v>
      </c>
      <c r="G16" s="62">
        <f t="shared" si="4"/>
        <v>-685000</v>
      </c>
      <c r="H16" s="24"/>
      <c r="I16" s="26"/>
      <c r="J16" s="12">
        <v>45030</v>
      </c>
      <c r="K16" s="25" t="s">
        <v>103</v>
      </c>
      <c r="L16" s="18">
        <v>35000000</v>
      </c>
    </row>
    <row r="17" spans="1:12" ht="15" customHeight="1">
      <c r="A17" s="12">
        <v>45028</v>
      </c>
      <c r="B17" s="13">
        <v>18770000</v>
      </c>
      <c r="C17" s="13">
        <v>500000</v>
      </c>
      <c r="D17" s="58">
        <f t="shared" si="2"/>
        <v>19270000</v>
      </c>
      <c r="E17" s="60">
        <v>2180000</v>
      </c>
      <c r="F17" s="13">
        <f t="shared" si="3"/>
        <v>17090000</v>
      </c>
      <c r="G17" s="62">
        <f t="shared" si="4"/>
        <v>-1680000</v>
      </c>
      <c r="H17" s="24"/>
      <c r="I17" s="29"/>
      <c r="J17" s="12">
        <v>45030</v>
      </c>
      <c r="K17" s="23" t="s">
        <v>104</v>
      </c>
      <c r="L17" s="18">
        <v>250000</v>
      </c>
    </row>
    <row r="18" spans="1:12">
      <c r="A18" s="12">
        <v>45029</v>
      </c>
      <c r="B18" s="13">
        <v>9800000</v>
      </c>
      <c r="C18" s="13">
        <v>1800000</v>
      </c>
      <c r="D18" s="58">
        <f t="shared" si="2"/>
        <v>11600000</v>
      </c>
      <c r="E18" s="60">
        <v>1815000</v>
      </c>
      <c r="F18" s="13">
        <f t="shared" si="3"/>
        <v>9785000</v>
      </c>
      <c r="G18" s="62">
        <f t="shared" si="4"/>
        <v>-15000</v>
      </c>
      <c r="H18" s="24"/>
      <c r="I18" s="29"/>
      <c r="J18" s="27">
        <v>45030</v>
      </c>
      <c r="K18" s="30" t="s">
        <v>105</v>
      </c>
      <c r="L18" s="18">
        <v>2000000</v>
      </c>
    </row>
    <row r="19" spans="1:12" ht="15.75" customHeight="1">
      <c r="A19" s="53">
        <v>45030</v>
      </c>
      <c r="B19" s="54">
        <v>170000</v>
      </c>
      <c r="C19" s="54">
        <v>6200000</v>
      </c>
      <c r="D19" s="58">
        <f t="shared" si="2"/>
        <v>6370000</v>
      </c>
      <c r="E19" s="60">
        <v>2910000</v>
      </c>
      <c r="F19" s="54">
        <f t="shared" si="3"/>
        <v>3460000</v>
      </c>
      <c r="G19" s="62">
        <f t="shared" si="4"/>
        <v>3290000</v>
      </c>
      <c r="H19" s="24"/>
      <c r="I19" s="31"/>
      <c r="J19" s="32">
        <v>45032</v>
      </c>
      <c r="K19" s="23" t="s">
        <v>106</v>
      </c>
      <c r="L19" s="18">
        <v>1000000</v>
      </c>
    </row>
    <row r="20" spans="1:12">
      <c r="A20" s="53">
        <v>45031</v>
      </c>
      <c r="B20" s="54">
        <v>7990000</v>
      </c>
      <c r="C20" s="54">
        <v>10825000</v>
      </c>
      <c r="D20" s="58">
        <f t="shared" si="2"/>
        <v>18815000</v>
      </c>
      <c r="E20" s="60">
        <v>3590000</v>
      </c>
      <c r="F20" s="54">
        <f t="shared" si="3"/>
        <v>15225000</v>
      </c>
      <c r="G20" s="62">
        <f t="shared" si="4"/>
        <v>7235000</v>
      </c>
      <c r="H20" s="55"/>
      <c r="I20" s="29"/>
      <c r="J20" s="27">
        <v>45033</v>
      </c>
      <c r="K20" s="30" t="s">
        <v>107</v>
      </c>
      <c r="L20" s="18">
        <v>4150000</v>
      </c>
    </row>
    <row r="21" spans="1:12">
      <c r="A21" s="48">
        <v>45032</v>
      </c>
      <c r="B21" s="73"/>
      <c r="C21" s="73"/>
      <c r="D21" s="73"/>
      <c r="E21" s="73"/>
      <c r="F21" s="73"/>
      <c r="G21" s="73"/>
      <c r="H21" s="14"/>
      <c r="I21" s="29"/>
      <c r="J21" s="27">
        <v>45033</v>
      </c>
      <c r="K21" s="30" t="s">
        <v>108</v>
      </c>
      <c r="L21" s="18">
        <v>1900000</v>
      </c>
    </row>
    <row r="22" spans="1:12">
      <c r="A22" s="12">
        <v>45033</v>
      </c>
      <c r="B22" s="13">
        <v>4250000</v>
      </c>
      <c r="C22" s="13">
        <v>11750000</v>
      </c>
      <c r="D22" s="58">
        <f>B22+C22</f>
        <v>16000000</v>
      </c>
      <c r="E22" s="60">
        <v>1955000</v>
      </c>
      <c r="F22" s="13">
        <f>D22-E22</f>
        <v>14045000</v>
      </c>
      <c r="G22" s="62">
        <f>C22-E22</f>
        <v>9795000</v>
      </c>
      <c r="H22" s="14"/>
      <c r="I22" s="31"/>
      <c r="J22" s="27" t="s">
        <v>110</v>
      </c>
      <c r="K22" s="30" t="s">
        <v>69</v>
      </c>
      <c r="L22" s="18">
        <v>9200000</v>
      </c>
    </row>
    <row r="23" spans="1:12">
      <c r="A23" s="12" t="s">
        <v>109</v>
      </c>
      <c r="B23" s="13">
        <v>3750000</v>
      </c>
      <c r="C23" s="13">
        <v>2550000</v>
      </c>
      <c r="D23" s="58">
        <f>B23+C23</f>
        <v>6300000</v>
      </c>
      <c r="E23" s="60">
        <v>2540000</v>
      </c>
      <c r="F23" s="13">
        <f>D23-E23</f>
        <v>3760000</v>
      </c>
      <c r="G23" s="62">
        <f>C23-E23</f>
        <v>10000</v>
      </c>
      <c r="H23" s="14"/>
      <c r="I23" s="29"/>
      <c r="J23" s="27" t="s">
        <v>111</v>
      </c>
      <c r="K23" s="30" t="s">
        <v>117</v>
      </c>
      <c r="L23" s="18">
        <v>4300000</v>
      </c>
    </row>
    <row r="24" spans="1:12">
      <c r="A24" s="12" t="s">
        <v>110</v>
      </c>
      <c r="B24" s="13">
        <v>14535000</v>
      </c>
      <c r="C24" s="13">
        <v>2600000</v>
      </c>
      <c r="D24" s="58">
        <f>B24+C24</f>
        <v>17135000</v>
      </c>
      <c r="E24" s="60">
        <v>2015000</v>
      </c>
      <c r="F24" s="13">
        <f>D24-E24</f>
        <v>15120000</v>
      </c>
      <c r="G24" s="62">
        <f>C24-E24</f>
        <v>585000</v>
      </c>
      <c r="H24" s="34"/>
      <c r="I24" s="29"/>
      <c r="J24" s="27" t="s">
        <v>112</v>
      </c>
      <c r="K24" s="30" t="s">
        <v>102</v>
      </c>
      <c r="L24" s="18">
        <v>2500000</v>
      </c>
    </row>
    <row r="25" spans="1:12">
      <c r="A25" s="48" t="s">
        <v>111</v>
      </c>
      <c r="B25" s="73"/>
      <c r="C25" s="73"/>
      <c r="D25" s="73"/>
      <c r="E25" s="73"/>
      <c r="F25" s="73"/>
      <c r="G25" s="73"/>
      <c r="H25" s="14"/>
      <c r="I25" s="29"/>
      <c r="J25" s="27" t="s">
        <v>112</v>
      </c>
      <c r="K25" s="30" t="s">
        <v>118</v>
      </c>
      <c r="L25" s="18">
        <v>1000000</v>
      </c>
    </row>
    <row r="26" spans="1:12">
      <c r="A26" s="48" t="s">
        <v>112</v>
      </c>
      <c r="B26" s="73"/>
      <c r="C26" s="73"/>
      <c r="D26" s="73"/>
      <c r="E26" s="73"/>
      <c r="F26" s="73"/>
      <c r="G26" s="73"/>
      <c r="H26" s="14"/>
      <c r="I26" s="29"/>
      <c r="J26" s="27" t="s">
        <v>116</v>
      </c>
      <c r="K26" s="30" t="s">
        <v>69</v>
      </c>
      <c r="L26" s="18">
        <v>41000000</v>
      </c>
    </row>
    <row r="27" spans="1:12">
      <c r="A27" s="48" t="s">
        <v>113</v>
      </c>
      <c r="B27" s="73"/>
      <c r="C27" s="73"/>
      <c r="D27" s="73"/>
      <c r="E27" s="73"/>
      <c r="F27" s="73"/>
      <c r="G27" s="73"/>
      <c r="H27" s="55"/>
      <c r="I27" s="29"/>
      <c r="J27" s="27" t="s">
        <v>116</v>
      </c>
      <c r="K27" s="30" t="s">
        <v>119</v>
      </c>
      <c r="L27" s="18">
        <v>1700000</v>
      </c>
    </row>
    <row r="28" spans="1:12">
      <c r="A28" s="48" t="s">
        <v>114</v>
      </c>
      <c r="B28" s="73"/>
      <c r="C28" s="73"/>
      <c r="D28" s="73"/>
      <c r="E28" s="73"/>
      <c r="F28" s="73"/>
      <c r="G28" s="73"/>
      <c r="H28" s="55"/>
      <c r="I28" s="29"/>
      <c r="J28" s="27" t="s">
        <v>120</v>
      </c>
      <c r="K28" s="30" t="s">
        <v>121</v>
      </c>
      <c r="L28" s="18">
        <v>9200000</v>
      </c>
    </row>
    <row r="29" spans="1:12">
      <c r="A29" s="48" t="s">
        <v>115</v>
      </c>
      <c r="B29" s="73"/>
      <c r="C29" s="73"/>
      <c r="D29" s="73"/>
      <c r="E29" s="73"/>
      <c r="F29" s="73"/>
      <c r="G29" s="73"/>
      <c r="H29" s="55"/>
      <c r="I29" s="29"/>
      <c r="J29" s="27" t="s">
        <v>120</v>
      </c>
      <c r="K29" s="30" t="s">
        <v>122</v>
      </c>
      <c r="L29" s="18">
        <v>220000</v>
      </c>
    </row>
    <row r="30" spans="1:12">
      <c r="A30" s="53" t="s">
        <v>116</v>
      </c>
      <c r="B30" s="54">
        <v>2150000</v>
      </c>
      <c r="C30" s="54">
        <v>1200000</v>
      </c>
      <c r="D30" s="58">
        <f t="shared" ref="D30:D35" si="5">B30+C30</f>
        <v>3350000</v>
      </c>
      <c r="E30" s="60">
        <v>1075000</v>
      </c>
      <c r="F30" s="54">
        <f t="shared" ref="F30:F35" si="6">D30-E30</f>
        <v>2275000</v>
      </c>
      <c r="G30" s="62">
        <f t="shared" ref="G30:G35" si="7">C30-E30</f>
        <v>125000</v>
      </c>
      <c r="H30" s="55"/>
      <c r="I30" s="29"/>
      <c r="J30" s="27" t="s">
        <v>123</v>
      </c>
      <c r="K30" s="30" t="s">
        <v>69</v>
      </c>
      <c r="L30" s="18">
        <v>20000000</v>
      </c>
    </row>
    <row r="31" spans="1:12">
      <c r="A31" s="53" t="s">
        <v>120</v>
      </c>
      <c r="B31" s="54">
        <v>4200000</v>
      </c>
      <c r="C31" s="54">
        <v>2900000</v>
      </c>
      <c r="D31" s="58">
        <f t="shared" si="5"/>
        <v>7100000</v>
      </c>
      <c r="E31" s="60">
        <v>960000</v>
      </c>
      <c r="F31" s="54">
        <f t="shared" si="6"/>
        <v>6140000</v>
      </c>
      <c r="G31" s="62">
        <f t="shared" si="7"/>
        <v>1940000</v>
      </c>
      <c r="H31" s="55"/>
      <c r="I31" s="29"/>
      <c r="J31" s="27" t="s">
        <v>125</v>
      </c>
      <c r="K31" s="30" t="s">
        <v>69</v>
      </c>
      <c r="L31" s="18">
        <v>15000000</v>
      </c>
    </row>
    <row r="32" spans="1:12">
      <c r="A32" s="53" t="s">
        <v>123</v>
      </c>
      <c r="B32" s="54">
        <v>770000</v>
      </c>
      <c r="C32" s="54">
        <v>1050000</v>
      </c>
      <c r="D32" s="58">
        <f t="shared" si="5"/>
        <v>1820000</v>
      </c>
      <c r="E32" s="60">
        <v>1135000</v>
      </c>
      <c r="F32" s="54">
        <f t="shared" si="6"/>
        <v>685000</v>
      </c>
      <c r="G32" s="62">
        <f t="shared" si="7"/>
        <v>-85000</v>
      </c>
      <c r="H32" s="55"/>
      <c r="I32" s="29"/>
      <c r="J32" s="27" t="s">
        <v>125</v>
      </c>
      <c r="K32" s="30" t="s">
        <v>126</v>
      </c>
      <c r="L32" s="18">
        <v>150000</v>
      </c>
    </row>
    <row r="33" spans="1:12">
      <c r="A33" s="53" t="s">
        <v>124</v>
      </c>
      <c r="B33" s="54">
        <v>5480000</v>
      </c>
      <c r="C33" s="54">
        <v>5975000</v>
      </c>
      <c r="D33" s="58">
        <f t="shared" si="5"/>
        <v>11455000</v>
      </c>
      <c r="E33" s="60">
        <v>3115000</v>
      </c>
      <c r="F33" s="54">
        <f t="shared" si="6"/>
        <v>8340000</v>
      </c>
      <c r="G33" s="62">
        <f t="shared" si="7"/>
        <v>2860000</v>
      </c>
      <c r="H33" s="55"/>
      <c r="I33" s="29"/>
      <c r="J33" s="27" t="s">
        <v>127</v>
      </c>
      <c r="K33" s="30" t="s">
        <v>128</v>
      </c>
      <c r="L33" s="18">
        <v>1200000</v>
      </c>
    </row>
    <row r="34" spans="1:12">
      <c r="A34" s="53" t="s">
        <v>125</v>
      </c>
      <c r="B34" s="54">
        <v>12940000</v>
      </c>
      <c r="C34" s="54">
        <v>5600000</v>
      </c>
      <c r="D34" s="58">
        <f t="shared" si="5"/>
        <v>18540000</v>
      </c>
      <c r="E34" s="60">
        <v>3985000</v>
      </c>
      <c r="F34" s="54">
        <f t="shared" si="6"/>
        <v>14555000</v>
      </c>
      <c r="G34" s="62">
        <f t="shared" si="7"/>
        <v>1615000</v>
      </c>
      <c r="H34" s="55"/>
      <c r="I34" s="29"/>
      <c r="J34" s="27" t="s">
        <v>127</v>
      </c>
      <c r="K34" s="30" t="s">
        <v>129</v>
      </c>
      <c r="L34" s="18">
        <v>7450000</v>
      </c>
    </row>
    <row r="35" spans="1:12">
      <c r="A35" s="53" t="s">
        <v>127</v>
      </c>
      <c r="B35" s="54">
        <v>300000</v>
      </c>
      <c r="C35" s="54">
        <v>9600000</v>
      </c>
      <c r="D35" s="58">
        <f t="shared" si="5"/>
        <v>9900000</v>
      </c>
      <c r="E35" s="60">
        <v>755000</v>
      </c>
      <c r="F35" s="54">
        <f t="shared" si="6"/>
        <v>9145000</v>
      </c>
      <c r="G35" s="62">
        <f t="shared" si="7"/>
        <v>8845000</v>
      </c>
      <c r="H35" s="55"/>
      <c r="I35" s="29"/>
      <c r="J35" s="27"/>
      <c r="K35" s="30"/>
      <c r="L35" s="18"/>
    </row>
    <row r="36" spans="1:12">
      <c r="A36" s="53"/>
      <c r="B36" s="54"/>
      <c r="C36" s="54"/>
      <c r="D36" s="58"/>
      <c r="E36" s="60"/>
      <c r="F36" s="54"/>
      <c r="G36" s="62"/>
      <c r="H36" s="55"/>
      <c r="I36" s="29"/>
      <c r="J36" s="27"/>
      <c r="K36" s="30"/>
      <c r="L36" s="18"/>
    </row>
    <row r="37" spans="1:12">
      <c r="A37" s="12"/>
      <c r="B37" s="13"/>
      <c r="C37" s="13"/>
      <c r="D37" s="58"/>
      <c r="E37" s="60"/>
      <c r="F37" s="13"/>
      <c r="G37" s="62"/>
      <c r="H37" s="14"/>
      <c r="I37" s="29"/>
      <c r="J37" s="27"/>
      <c r="K37" s="30"/>
      <c r="L37" s="18"/>
    </row>
    <row r="38" spans="1:12">
      <c r="A38" s="12"/>
      <c r="B38" s="13"/>
      <c r="C38" s="13"/>
      <c r="D38" s="58"/>
      <c r="E38" s="60"/>
      <c r="F38" s="13"/>
      <c r="G38" s="62"/>
      <c r="H38" s="14"/>
      <c r="I38" s="29"/>
      <c r="J38" s="35"/>
      <c r="K38" s="23"/>
      <c r="L38" s="66">
        <f>SUM(L6:L37)</f>
        <v>172310000</v>
      </c>
    </row>
    <row r="39" spans="1:12">
      <c r="A39" s="12"/>
      <c r="B39" s="13"/>
      <c r="C39" s="13"/>
      <c r="D39" s="58"/>
      <c r="E39" s="60"/>
      <c r="F39" s="13"/>
      <c r="G39" s="62"/>
      <c r="H39" s="14"/>
      <c r="I39" s="29"/>
      <c r="J39" s="28"/>
      <c r="K39" s="1"/>
      <c r="L39" s="1"/>
    </row>
    <row r="40" spans="1:12" ht="15.75">
      <c r="A40" s="12"/>
      <c r="B40" s="13"/>
      <c r="C40" s="13"/>
      <c r="D40" s="58"/>
      <c r="E40" s="60"/>
      <c r="F40" s="13"/>
      <c r="G40" s="62"/>
      <c r="H40" s="14"/>
      <c r="I40" s="29"/>
      <c r="J40" s="36" t="s">
        <v>14</v>
      </c>
      <c r="K40" s="37" t="s">
        <v>15</v>
      </c>
      <c r="L40" s="64">
        <f>B47+C47</f>
        <v>242452000</v>
      </c>
    </row>
    <row r="41" spans="1:12" ht="15.75">
      <c r="A41" s="12"/>
      <c r="B41" s="13"/>
      <c r="C41" s="13"/>
      <c r="D41" s="58"/>
      <c r="E41" s="60"/>
      <c r="F41" s="13"/>
      <c r="G41" s="62"/>
      <c r="H41" s="14"/>
      <c r="I41" s="39"/>
      <c r="J41" s="40"/>
      <c r="K41" s="41" t="s">
        <v>16</v>
      </c>
      <c r="L41" s="65">
        <v>52820000</v>
      </c>
    </row>
    <row r="42" spans="1:12" ht="15.75">
      <c r="A42" s="12"/>
      <c r="B42" s="13"/>
      <c r="C42" s="13"/>
      <c r="D42" s="58"/>
      <c r="E42" s="60"/>
      <c r="F42" s="13"/>
      <c r="G42" s="62"/>
      <c r="H42" s="14"/>
      <c r="I42" s="29"/>
      <c r="J42" s="40"/>
      <c r="K42" s="41" t="s">
        <v>17</v>
      </c>
      <c r="L42" s="65">
        <v>172310000</v>
      </c>
    </row>
    <row r="43" spans="1:12" ht="15.75">
      <c r="A43" s="53"/>
      <c r="B43" s="54"/>
      <c r="C43" s="54"/>
      <c r="D43" s="58"/>
      <c r="E43" s="60"/>
      <c r="F43" s="54"/>
      <c r="G43" s="62"/>
      <c r="H43" s="55"/>
      <c r="I43" s="29"/>
      <c r="J43" s="40"/>
      <c r="K43" s="41" t="s">
        <v>18</v>
      </c>
      <c r="L43" s="42">
        <f>L41+L42</f>
        <v>225130000</v>
      </c>
    </row>
    <row r="44" spans="1:12" ht="15.75">
      <c r="A44" s="12"/>
      <c r="B44" s="13"/>
      <c r="C44" s="13"/>
      <c r="D44" s="58"/>
      <c r="E44" s="60"/>
      <c r="F44" s="13"/>
      <c r="G44" s="62"/>
      <c r="H44" s="14"/>
      <c r="I44" s="29"/>
      <c r="J44" s="40"/>
      <c r="K44" s="44"/>
      <c r="L44" s="38"/>
    </row>
    <row r="45" spans="1:12" ht="18">
      <c r="A45" s="12"/>
      <c r="B45" s="13"/>
      <c r="C45" s="13"/>
      <c r="D45" s="58"/>
      <c r="E45" s="60"/>
      <c r="F45" s="13"/>
      <c r="G45" s="62"/>
      <c r="H45" s="14"/>
      <c r="I45" s="29"/>
      <c r="J45" s="82" t="s">
        <v>24</v>
      </c>
      <c r="K45" s="82"/>
      <c r="L45" s="45">
        <f>L40-L43</f>
        <v>17322000</v>
      </c>
    </row>
    <row r="46" spans="1:12">
      <c r="A46" s="12"/>
      <c r="B46" s="13"/>
      <c r="C46" s="13"/>
      <c r="D46" s="58"/>
      <c r="E46" s="60"/>
      <c r="F46" s="13"/>
      <c r="G46" s="62"/>
      <c r="H46" s="14"/>
      <c r="I46" s="1"/>
      <c r="J46" s="29"/>
      <c r="K46" s="29"/>
      <c r="L46" s="1"/>
    </row>
    <row r="47" spans="1:12">
      <c r="A47" s="12"/>
      <c r="B47" s="46">
        <f t="shared" ref="B47:G47" si="8">SUM(B6:B46)</f>
        <v>133847000</v>
      </c>
      <c r="C47" s="46">
        <f t="shared" si="8"/>
        <v>108605000</v>
      </c>
      <c r="D47" s="59">
        <f t="shared" si="8"/>
        <v>242452000</v>
      </c>
      <c r="E47" s="61">
        <f t="shared" si="8"/>
        <v>52820000</v>
      </c>
      <c r="F47" s="57">
        <f t="shared" si="8"/>
        <v>189632000</v>
      </c>
      <c r="G47" s="63">
        <f t="shared" si="8"/>
        <v>55785000</v>
      </c>
      <c r="H47" s="29"/>
      <c r="I47" s="1"/>
      <c r="J47" s="1"/>
      <c r="K47" s="1"/>
      <c r="L47" s="1"/>
    </row>
    <row r="48" spans="1:12">
      <c r="A48" s="1"/>
      <c r="B48" s="1"/>
      <c r="C48" s="1"/>
      <c r="D48" s="47"/>
      <c r="E48" s="1"/>
      <c r="F48" s="1"/>
      <c r="G48" s="1"/>
      <c r="H48" s="29"/>
      <c r="I48" s="27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29"/>
      <c r="I49" s="1"/>
      <c r="J49" s="1"/>
      <c r="K49" s="1"/>
      <c r="L49" s="47"/>
    </row>
  </sheetData>
  <mergeCells count="8">
    <mergeCell ref="J45:K45"/>
    <mergeCell ref="A2:E3"/>
    <mergeCell ref="A4:A5"/>
    <mergeCell ref="B4:C4"/>
    <mergeCell ref="D4:D5"/>
    <mergeCell ref="E4:E5"/>
    <mergeCell ref="F4:F5"/>
    <mergeCell ref="G4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L39"/>
  <sheetViews>
    <sheetView topLeftCell="A19" workbookViewId="0">
      <selection activeCell="K26" sqref="K26"/>
    </sheetView>
  </sheetViews>
  <sheetFormatPr defaultRowHeight="15"/>
  <cols>
    <col min="1" max="1" width="7" customWidth="1"/>
    <col min="2" max="2" width="15" customWidth="1"/>
    <col min="3" max="4" width="15.28515625" customWidth="1"/>
    <col min="5" max="6" width="14.7109375" customWidth="1"/>
    <col min="7" max="7" width="14.42578125" customWidth="1"/>
    <col min="10" max="10" width="8.140625" customWidth="1"/>
    <col min="11" max="11" width="45.42578125" customWidth="1"/>
    <col min="12" max="12" width="19.85546875" customWidth="1"/>
  </cols>
  <sheetData>
    <row r="2" spans="1:12">
      <c r="A2" s="83" t="s">
        <v>25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 t="s">
        <v>130</v>
      </c>
      <c r="B6" s="54">
        <v>3250000</v>
      </c>
      <c r="C6" s="54">
        <v>2000000</v>
      </c>
      <c r="D6" s="58">
        <f>B6+C6</f>
        <v>5250000</v>
      </c>
      <c r="E6" s="60">
        <v>1245000</v>
      </c>
      <c r="F6" s="54">
        <f t="shared" ref="F6:F12" si="0">D6-E6</f>
        <v>4005000</v>
      </c>
      <c r="G6" s="62">
        <f t="shared" ref="G6:G19" si="1">C6-E6</f>
        <v>755000</v>
      </c>
      <c r="H6" s="55"/>
      <c r="I6" s="6"/>
      <c r="J6" s="75" t="s">
        <v>131</v>
      </c>
      <c r="K6" s="68" t="s">
        <v>56</v>
      </c>
      <c r="L6" s="18">
        <v>2700000</v>
      </c>
    </row>
    <row r="7" spans="1:12">
      <c r="A7" s="12" t="s">
        <v>131</v>
      </c>
      <c r="B7" s="13">
        <v>3050000</v>
      </c>
      <c r="C7" s="13">
        <v>3670000</v>
      </c>
      <c r="D7" s="58">
        <f>B7+C7</f>
        <v>6720000</v>
      </c>
      <c r="E7" s="60">
        <v>2840000</v>
      </c>
      <c r="F7" s="13">
        <f t="shared" si="0"/>
        <v>3880000</v>
      </c>
      <c r="G7" s="62">
        <f t="shared" si="1"/>
        <v>830000</v>
      </c>
      <c r="H7" s="14"/>
      <c r="I7" s="19"/>
      <c r="J7" s="75" t="s">
        <v>132</v>
      </c>
      <c r="K7" s="68" t="s">
        <v>133</v>
      </c>
      <c r="L7" s="18">
        <v>1000000</v>
      </c>
    </row>
    <row r="8" spans="1:12">
      <c r="A8" s="12" t="s">
        <v>132</v>
      </c>
      <c r="B8" s="13">
        <v>3470000</v>
      </c>
      <c r="C8" s="13">
        <v>1475000</v>
      </c>
      <c r="D8" s="58">
        <f>B8+C8</f>
        <v>4945000</v>
      </c>
      <c r="E8" s="60">
        <v>1045000</v>
      </c>
      <c r="F8" s="13">
        <f t="shared" si="0"/>
        <v>3900000</v>
      </c>
      <c r="G8" s="62">
        <f t="shared" si="1"/>
        <v>430000</v>
      </c>
      <c r="H8" s="14"/>
      <c r="I8" s="6"/>
      <c r="J8" s="20" t="s">
        <v>137</v>
      </c>
      <c r="K8" s="21" t="s">
        <v>77</v>
      </c>
      <c r="L8" s="18">
        <v>1500000</v>
      </c>
    </row>
    <row r="9" spans="1:12">
      <c r="A9" s="12" t="s">
        <v>134</v>
      </c>
      <c r="B9" s="13">
        <v>300000</v>
      </c>
      <c r="C9" s="13">
        <v>5170000</v>
      </c>
      <c r="D9" s="58">
        <f>B9+C9</f>
        <v>5470000</v>
      </c>
      <c r="E9" s="60">
        <v>770000</v>
      </c>
      <c r="F9" s="54">
        <f t="shared" si="0"/>
        <v>4700000</v>
      </c>
      <c r="G9" s="62">
        <f t="shared" si="1"/>
        <v>4400000</v>
      </c>
      <c r="H9" s="14"/>
      <c r="I9" s="22"/>
      <c r="J9" s="20" t="s">
        <v>138</v>
      </c>
      <c r="K9" s="50" t="s">
        <v>56</v>
      </c>
      <c r="L9" s="18">
        <v>3750000</v>
      </c>
    </row>
    <row r="10" spans="1:12">
      <c r="A10" s="12" t="s">
        <v>135</v>
      </c>
      <c r="B10" s="13">
        <v>3375000</v>
      </c>
      <c r="C10" s="13"/>
      <c r="D10" s="58">
        <v>3375000</v>
      </c>
      <c r="E10" s="60">
        <v>2405000</v>
      </c>
      <c r="F10" s="54">
        <f t="shared" si="0"/>
        <v>970000</v>
      </c>
      <c r="G10" s="62">
        <f t="shared" si="1"/>
        <v>-2405000</v>
      </c>
      <c r="H10" s="14"/>
      <c r="I10" s="22"/>
      <c r="J10" s="12" t="s">
        <v>138</v>
      </c>
      <c r="K10" s="68" t="s">
        <v>139</v>
      </c>
      <c r="L10" s="18">
        <v>1550000</v>
      </c>
    </row>
    <row r="11" spans="1:12">
      <c r="A11" s="12" t="s">
        <v>136</v>
      </c>
      <c r="B11" s="13">
        <v>3220000</v>
      </c>
      <c r="C11" s="54">
        <v>13650000</v>
      </c>
      <c r="D11" s="58">
        <f>B11+C11</f>
        <v>16870000</v>
      </c>
      <c r="E11" s="60">
        <v>2615000</v>
      </c>
      <c r="F11" s="13">
        <f t="shared" si="0"/>
        <v>14255000</v>
      </c>
      <c r="G11" s="62">
        <f t="shared" si="1"/>
        <v>11035000</v>
      </c>
      <c r="H11" s="14"/>
      <c r="I11" s="6"/>
      <c r="J11" s="12" t="s">
        <v>138</v>
      </c>
      <c r="K11" s="21" t="s">
        <v>140</v>
      </c>
      <c r="L11" s="18">
        <v>13050000</v>
      </c>
    </row>
    <row r="12" spans="1:12">
      <c r="A12" s="12" t="s">
        <v>137</v>
      </c>
      <c r="B12" s="13">
        <v>5300000</v>
      </c>
      <c r="C12" s="13">
        <v>1500000</v>
      </c>
      <c r="D12" s="58">
        <f>B12+C12</f>
        <v>6800000</v>
      </c>
      <c r="E12" s="60">
        <v>700000</v>
      </c>
      <c r="F12" s="13">
        <f t="shared" si="0"/>
        <v>6100000</v>
      </c>
      <c r="G12" s="62">
        <f t="shared" si="1"/>
        <v>800000</v>
      </c>
      <c r="H12" s="14"/>
      <c r="I12" s="6"/>
      <c r="J12" s="12" t="s">
        <v>143</v>
      </c>
      <c r="K12" s="15" t="s">
        <v>38</v>
      </c>
      <c r="L12" s="18">
        <v>4500000</v>
      </c>
    </row>
    <row r="13" spans="1:12">
      <c r="A13" s="53" t="s">
        <v>138</v>
      </c>
      <c r="B13" s="54"/>
      <c r="C13" s="54">
        <v>840000</v>
      </c>
      <c r="D13" s="58">
        <v>840000</v>
      </c>
      <c r="E13" s="60">
        <v>2010000</v>
      </c>
      <c r="F13" s="54">
        <f t="shared" ref="F13:F25" si="2">D13-E13</f>
        <v>-1170000</v>
      </c>
      <c r="G13" s="62">
        <f t="shared" si="1"/>
        <v>-1170000</v>
      </c>
      <c r="H13" s="56"/>
      <c r="I13" s="6"/>
      <c r="J13" s="12" t="s">
        <v>143</v>
      </c>
      <c r="K13" s="25" t="s">
        <v>144</v>
      </c>
      <c r="L13" s="18">
        <v>650000</v>
      </c>
    </row>
    <row r="14" spans="1:12">
      <c r="A14" s="12" t="s">
        <v>141</v>
      </c>
      <c r="B14" s="13">
        <v>5180000</v>
      </c>
      <c r="C14" s="13">
        <v>3350000</v>
      </c>
      <c r="D14" s="58">
        <f t="shared" ref="D14:D25" si="3">B14+C14</f>
        <v>8530000</v>
      </c>
      <c r="E14" s="60">
        <v>1295000</v>
      </c>
      <c r="F14" s="13">
        <f t="shared" si="2"/>
        <v>7235000</v>
      </c>
      <c r="G14" s="62">
        <f t="shared" si="1"/>
        <v>2055000</v>
      </c>
      <c r="H14" s="24"/>
      <c r="I14" s="22"/>
      <c r="J14" s="12" t="s">
        <v>148</v>
      </c>
      <c r="K14" s="25" t="s">
        <v>149</v>
      </c>
      <c r="L14" s="18">
        <v>8200000</v>
      </c>
    </row>
    <row r="15" spans="1:12">
      <c r="A15" s="12" t="s">
        <v>142</v>
      </c>
      <c r="B15" s="13">
        <v>5675000</v>
      </c>
      <c r="C15" s="13">
        <v>150000</v>
      </c>
      <c r="D15" s="58">
        <f t="shared" si="3"/>
        <v>5825000</v>
      </c>
      <c r="E15" s="60">
        <v>2415000</v>
      </c>
      <c r="F15" s="13">
        <f t="shared" si="2"/>
        <v>3410000</v>
      </c>
      <c r="G15" s="62">
        <f t="shared" si="1"/>
        <v>-2265000</v>
      </c>
      <c r="H15" s="24"/>
      <c r="I15" s="26"/>
      <c r="J15" s="27" t="s">
        <v>148</v>
      </c>
      <c r="K15" s="51" t="s">
        <v>47</v>
      </c>
      <c r="L15" s="52">
        <v>1300000</v>
      </c>
    </row>
    <row r="16" spans="1:12">
      <c r="A16" s="12" t="s">
        <v>143</v>
      </c>
      <c r="B16" s="13">
        <v>500000</v>
      </c>
      <c r="C16" s="13">
        <v>5000000</v>
      </c>
      <c r="D16" s="58">
        <f t="shared" si="3"/>
        <v>5500000</v>
      </c>
      <c r="E16" s="60">
        <v>2485000</v>
      </c>
      <c r="F16" s="13">
        <f t="shared" si="2"/>
        <v>3015000</v>
      </c>
      <c r="G16" s="62">
        <f t="shared" si="1"/>
        <v>2515000</v>
      </c>
      <c r="H16" s="24"/>
      <c r="I16" s="26"/>
      <c r="J16" s="12" t="s">
        <v>148</v>
      </c>
      <c r="K16" s="25" t="s">
        <v>150</v>
      </c>
      <c r="L16" s="18">
        <v>750000</v>
      </c>
    </row>
    <row r="17" spans="1:12">
      <c r="A17" s="12" t="s">
        <v>145</v>
      </c>
      <c r="B17" s="13">
        <v>1250000</v>
      </c>
      <c r="C17" s="13">
        <v>3350000</v>
      </c>
      <c r="D17" s="58">
        <f t="shared" si="3"/>
        <v>4600000</v>
      </c>
      <c r="E17" s="60">
        <v>1580000</v>
      </c>
      <c r="F17" s="13">
        <f t="shared" si="2"/>
        <v>3020000</v>
      </c>
      <c r="G17" s="62">
        <f t="shared" si="1"/>
        <v>1770000</v>
      </c>
      <c r="H17" s="24"/>
      <c r="I17" s="29"/>
      <c r="J17" s="12" t="s">
        <v>152</v>
      </c>
      <c r="K17" s="23" t="s">
        <v>153</v>
      </c>
      <c r="L17" s="18">
        <v>20700000</v>
      </c>
    </row>
    <row r="18" spans="1:12">
      <c r="A18" s="12" t="s">
        <v>146</v>
      </c>
      <c r="B18" s="13">
        <v>1825000</v>
      </c>
      <c r="C18" s="13">
        <v>3650000</v>
      </c>
      <c r="D18" s="58">
        <f t="shared" si="3"/>
        <v>5475000</v>
      </c>
      <c r="E18" s="60">
        <v>2515000</v>
      </c>
      <c r="F18" s="13">
        <f t="shared" si="2"/>
        <v>2960000</v>
      </c>
      <c r="G18" s="62">
        <f t="shared" si="1"/>
        <v>1135000</v>
      </c>
      <c r="H18" s="24"/>
      <c r="I18" s="29"/>
      <c r="J18" s="27" t="s">
        <v>159</v>
      </c>
      <c r="K18" s="30" t="s">
        <v>160</v>
      </c>
      <c r="L18" s="18">
        <v>1000000</v>
      </c>
    </row>
    <row r="19" spans="1:12">
      <c r="A19" s="12" t="s">
        <v>147</v>
      </c>
      <c r="B19" s="13">
        <v>900000</v>
      </c>
      <c r="C19" s="13">
        <v>2450000</v>
      </c>
      <c r="D19" s="58">
        <f t="shared" si="3"/>
        <v>3350000</v>
      </c>
      <c r="E19" s="60">
        <v>760000</v>
      </c>
      <c r="F19" s="13">
        <f t="shared" si="2"/>
        <v>2590000</v>
      </c>
      <c r="G19" s="62">
        <f t="shared" si="1"/>
        <v>1690000</v>
      </c>
      <c r="H19" s="24"/>
      <c r="I19" s="31"/>
      <c r="J19" s="32" t="s">
        <v>159</v>
      </c>
      <c r="K19" s="23" t="s">
        <v>66</v>
      </c>
      <c r="L19" s="18">
        <v>1300000</v>
      </c>
    </row>
    <row r="20" spans="1:12">
      <c r="A20" s="53" t="s">
        <v>148</v>
      </c>
      <c r="B20" s="54">
        <v>1450000</v>
      </c>
      <c r="C20" s="54">
        <v>2300000</v>
      </c>
      <c r="D20" s="58">
        <f t="shared" si="3"/>
        <v>3750000</v>
      </c>
      <c r="E20" s="60">
        <v>1470000</v>
      </c>
      <c r="F20" s="54">
        <f t="shared" si="2"/>
        <v>2280000</v>
      </c>
      <c r="G20" s="62">
        <f t="shared" ref="G20:G25" si="4">C20-E20</f>
        <v>830000</v>
      </c>
      <c r="H20" s="55"/>
      <c r="I20" s="29"/>
      <c r="J20" s="27" t="s">
        <v>159</v>
      </c>
      <c r="K20" s="30" t="s">
        <v>161</v>
      </c>
      <c r="L20" s="18">
        <v>9200000</v>
      </c>
    </row>
    <row r="21" spans="1:12">
      <c r="A21" s="12" t="s">
        <v>151</v>
      </c>
      <c r="B21" s="13">
        <v>9750000</v>
      </c>
      <c r="C21" s="13">
        <v>7600000</v>
      </c>
      <c r="D21" s="58">
        <f t="shared" si="3"/>
        <v>17350000</v>
      </c>
      <c r="E21" s="60">
        <v>2155000</v>
      </c>
      <c r="F21" s="13">
        <f t="shared" si="2"/>
        <v>15195000</v>
      </c>
      <c r="G21" s="62">
        <f t="shared" si="4"/>
        <v>5445000</v>
      </c>
      <c r="H21" s="14"/>
      <c r="I21" s="29"/>
      <c r="J21" s="27" t="s">
        <v>162</v>
      </c>
      <c r="K21" s="30" t="s">
        <v>69</v>
      </c>
      <c r="L21" s="18">
        <v>60000000</v>
      </c>
    </row>
    <row r="22" spans="1:12">
      <c r="A22" s="12" t="s">
        <v>152</v>
      </c>
      <c r="B22" s="13">
        <v>8950000</v>
      </c>
      <c r="C22" s="13">
        <v>7250000</v>
      </c>
      <c r="D22" s="58">
        <f t="shared" si="3"/>
        <v>16200000</v>
      </c>
      <c r="E22" s="60">
        <v>2390000</v>
      </c>
      <c r="F22" s="13">
        <f t="shared" si="2"/>
        <v>13810000</v>
      </c>
      <c r="G22" s="62">
        <f t="shared" si="4"/>
        <v>4860000</v>
      </c>
      <c r="H22" s="14"/>
      <c r="I22" s="31"/>
      <c r="J22" s="27" t="s">
        <v>163</v>
      </c>
      <c r="K22" s="30" t="s">
        <v>69</v>
      </c>
      <c r="L22" s="18">
        <v>6000000</v>
      </c>
    </row>
    <row r="23" spans="1:12">
      <c r="A23" s="12" t="s">
        <v>154</v>
      </c>
      <c r="B23" s="13">
        <v>2100000</v>
      </c>
      <c r="C23" s="13">
        <v>2950000</v>
      </c>
      <c r="D23" s="58">
        <f t="shared" si="3"/>
        <v>5050000</v>
      </c>
      <c r="E23" s="60">
        <v>2705000</v>
      </c>
      <c r="F23" s="13">
        <f t="shared" si="2"/>
        <v>2345000</v>
      </c>
      <c r="G23" s="62">
        <f t="shared" si="4"/>
        <v>245000</v>
      </c>
      <c r="H23" s="14"/>
      <c r="I23" s="29"/>
      <c r="J23" s="27" t="s">
        <v>163</v>
      </c>
      <c r="K23" s="30" t="s">
        <v>164</v>
      </c>
      <c r="L23" s="18">
        <v>2500000</v>
      </c>
    </row>
    <row r="24" spans="1:12">
      <c r="A24" s="12" t="s">
        <v>155</v>
      </c>
      <c r="B24" s="13">
        <v>11800000</v>
      </c>
      <c r="C24" s="13">
        <v>5400000</v>
      </c>
      <c r="D24" s="58">
        <f t="shared" si="3"/>
        <v>17200000</v>
      </c>
      <c r="E24" s="60">
        <v>4355000</v>
      </c>
      <c r="F24" s="13">
        <f t="shared" si="2"/>
        <v>12845000</v>
      </c>
      <c r="G24" s="62">
        <f t="shared" si="4"/>
        <v>1045000</v>
      </c>
      <c r="H24" s="34"/>
      <c r="I24" s="29"/>
      <c r="J24" s="27" t="s">
        <v>163</v>
      </c>
      <c r="K24" s="30" t="s">
        <v>119</v>
      </c>
      <c r="L24" s="18">
        <v>1500000</v>
      </c>
    </row>
    <row r="25" spans="1:12">
      <c r="A25" s="12" t="s">
        <v>156</v>
      </c>
      <c r="B25" s="13">
        <v>1800000</v>
      </c>
      <c r="C25" s="13">
        <v>2500000</v>
      </c>
      <c r="D25" s="58">
        <f t="shared" si="3"/>
        <v>4300000</v>
      </c>
      <c r="E25" s="60">
        <v>930000</v>
      </c>
      <c r="F25" s="13">
        <f t="shared" si="2"/>
        <v>3370000</v>
      </c>
      <c r="G25" s="62">
        <f t="shared" si="4"/>
        <v>1570000</v>
      </c>
      <c r="H25" s="14"/>
      <c r="I25" s="29"/>
      <c r="J25" s="27" t="s">
        <v>163</v>
      </c>
      <c r="K25" s="30" t="s">
        <v>165</v>
      </c>
      <c r="L25" s="18">
        <v>210000</v>
      </c>
    </row>
    <row r="26" spans="1:12">
      <c r="A26" s="12" t="s">
        <v>157</v>
      </c>
      <c r="B26" s="13">
        <v>500000</v>
      </c>
      <c r="C26" s="13"/>
      <c r="D26" s="58">
        <v>500000</v>
      </c>
      <c r="E26" s="60">
        <v>720000</v>
      </c>
      <c r="F26" s="13">
        <f>D26-E26</f>
        <v>-220000</v>
      </c>
      <c r="G26" s="62">
        <f>C26-E26</f>
        <v>-720000</v>
      </c>
      <c r="H26" s="14"/>
      <c r="I26" s="29"/>
      <c r="J26" s="27" t="s">
        <v>171</v>
      </c>
      <c r="K26" s="30" t="s">
        <v>172</v>
      </c>
      <c r="L26" s="18">
        <v>30500000</v>
      </c>
    </row>
    <row r="27" spans="1:12">
      <c r="A27" s="53" t="s">
        <v>158</v>
      </c>
      <c r="B27" s="54">
        <v>4200000</v>
      </c>
      <c r="C27" s="54">
        <v>4600000</v>
      </c>
      <c r="D27" s="58">
        <f t="shared" ref="D27:D36" si="5">B27+C27</f>
        <v>8800000</v>
      </c>
      <c r="E27" s="60">
        <v>3285000</v>
      </c>
      <c r="F27" s="54">
        <f t="shared" ref="F27:F36" si="6">D27-E27</f>
        <v>5515000</v>
      </c>
      <c r="G27" s="62">
        <f t="shared" ref="G27:G36" si="7">C27-E27</f>
        <v>1315000</v>
      </c>
      <c r="H27" s="55"/>
      <c r="I27" s="29"/>
      <c r="J27" s="27" t="s">
        <v>171</v>
      </c>
      <c r="K27" s="30" t="s">
        <v>173</v>
      </c>
      <c r="L27" s="18">
        <v>6100000</v>
      </c>
    </row>
    <row r="28" spans="1:12">
      <c r="A28" s="12" t="s">
        <v>159</v>
      </c>
      <c r="B28" s="13">
        <v>4200000</v>
      </c>
      <c r="C28" s="13">
        <v>350000</v>
      </c>
      <c r="D28" s="58">
        <f t="shared" si="5"/>
        <v>4550000</v>
      </c>
      <c r="E28" s="60">
        <v>1675000</v>
      </c>
      <c r="F28" s="13">
        <f t="shared" si="6"/>
        <v>2875000</v>
      </c>
      <c r="G28" s="62">
        <f t="shared" si="7"/>
        <v>-1325000</v>
      </c>
      <c r="H28" s="14"/>
      <c r="I28" s="29"/>
      <c r="J28" s="27"/>
      <c r="K28" s="30"/>
      <c r="L28" s="18"/>
    </row>
    <row r="29" spans="1:12">
      <c r="A29" s="12" t="s">
        <v>162</v>
      </c>
      <c r="B29" s="13">
        <v>20000000</v>
      </c>
      <c r="C29" s="13">
        <v>50000</v>
      </c>
      <c r="D29" s="58">
        <f t="shared" si="5"/>
        <v>20050000</v>
      </c>
      <c r="E29" s="60">
        <v>1865000</v>
      </c>
      <c r="F29" s="13">
        <f t="shared" si="6"/>
        <v>18185000</v>
      </c>
      <c r="G29" s="62">
        <f t="shared" si="7"/>
        <v>-1815000</v>
      </c>
      <c r="H29" s="14"/>
      <c r="I29" s="29"/>
      <c r="J29" s="35"/>
      <c r="K29" s="23"/>
      <c r="L29" s="66">
        <f>SUM(L6:L28)</f>
        <v>177960000</v>
      </c>
    </row>
    <row r="30" spans="1:12">
      <c r="A30" s="12" t="s">
        <v>163</v>
      </c>
      <c r="B30" s="13">
        <v>1800000</v>
      </c>
      <c r="C30" s="13">
        <v>1150000</v>
      </c>
      <c r="D30" s="58">
        <f t="shared" si="5"/>
        <v>2950000</v>
      </c>
      <c r="E30" s="60">
        <v>985000</v>
      </c>
      <c r="F30" s="13">
        <f t="shared" si="6"/>
        <v>1965000</v>
      </c>
      <c r="G30" s="62">
        <f t="shared" si="7"/>
        <v>165000</v>
      </c>
      <c r="H30" s="14"/>
      <c r="I30" s="29"/>
      <c r="J30" s="28"/>
      <c r="K30" s="1"/>
      <c r="L30" s="1"/>
    </row>
    <row r="31" spans="1:12" ht="15.75">
      <c r="A31" s="12" t="s">
        <v>166</v>
      </c>
      <c r="B31" s="13">
        <v>500000</v>
      </c>
      <c r="C31" s="13">
        <v>1000000</v>
      </c>
      <c r="D31" s="58">
        <f t="shared" si="5"/>
        <v>1500000</v>
      </c>
      <c r="E31" s="60">
        <v>1640000</v>
      </c>
      <c r="F31" s="13">
        <f t="shared" si="6"/>
        <v>-140000</v>
      </c>
      <c r="G31" s="62">
        <f t="shared" si="7"/>
        <v>-640000</v>
      </c>
      <c r="H31" s="14"/>
      <c r="I31" s="29"/>
      <c r="J31" s="36" t="s">
        <v>14</v>
      </c>
      <c r="K31" s="37" t="s">
        <v>15</v>
      </c>
      <c r="L31" s="64">
        <f>B38+C38</f>
        <v>242850000</v>
      </c>
    </row>
    <row r="32" spans="1:12" ht="15.75">
      <c r="A32" s="12" t="s">
        <v>167</v>
      </c>
      <c r="B32" s="13">
        <v>2800000</v>
      </c>
      <c r="C32" s="13">
        <v>3940000</v>
      </c>
      <c r="D32" s="58">
        <f t="shared" si="5"/>
        <v>6740000</v>
      </c>
      <c r="E32" s="60">
        <v>3025000</v>
      </c>
      <c r="F32" s="13">
        <f t="shared" si="6"/>
        <v>3715000</v>
      </c>
      <c r="G32" s="62">
        <f>C32-E32</f>
        <v>915000</v>
      </c>
      <c r="H32" s="14"/>
      <c r="I32" s="39"/>
      <c r="J32" s="40"/>
      <c r="K32" s="41" t="s">
        <v>16</v>
      </c>
      <c r="L32" s="65">
        <v>57970000</v>
      </c>
    </row>
    <row r="33" spans="1:12" ht="15.75">
      <c r="A33" s="12" t="s">
        <v>168</v>
      </c>
      <c r="B33" s="13">
        <v>6740000</v>
      </c>
      <c r="C33" s="13">
        <v>700000</v>
      </c>
      <c r="D33" s="58">
        <f t="shared" si="5"/>
        <v>7440000</v>
      </c>
      <c r="E33" s="60">
        <v>740000</v>
      </c>
      <c r="F33" s="13">
        <f t="shared" si="6"/>
        <v>6700000</v>
      </c>
      <c r="G33" s="62">
        <f t="shared" si="7"/>
        <v>-40000</v>
      </c>
      <c r="H33" s="14"/>
      <c r="I33" s="29"/>
      <c r="J33" s="40"/>
      <c r="K33" s="41" t="s">
        <v>17</v>
      </c>
      <c r="L33" s="65">
        <v>177960000</v>
      </c>
    </row>
    <row r="34" spans="1:12" ht="15.75">
      <c r="A34" s="53" t="s">
        <v>169</v>
      </c>
      <c r="B34" s="54">
        <v>2900000</v>
      </c>
      <c r="C34" s="54">
        <v>3250000</v>
      </c>
      <c r="D34" s="58">
        <f t="shared" si="5"/>
        <v>6150000</v>
      </c>
      <c r="E34" s="60">
        <v>1625000</v>
      </c>
      <c r="F34" s="54">
        <f t="shared" si="6"/>
        <v>4525000</v>
      </c>
      <c r="G34" s="62">
        <f t="shared" si="7"/>
        <v>1625000</v>
      </c>
      <c r="H34" s="55"/>
      <c r="I34" s="29"/>
      <c r="J34" s="40"/>
      <c r="K34" s="41" t="s">
        <v>18</v>
      </c>
      <c r="L34" s="42">
        <f>L32+L33</f>
        <v>235930000</v>
      </c>
    </row>
    <row r="35" spans="1:12" ht="15.75">
      <c r="A35" s="12" t="s">
        <v>170</v>
      </c>
      <c r="B35" s="13">
        <v>7020000</v>
      </c>
      <c r="C35" s="13">
        <v>9200000</v>
      </c>
      <c r="D35" s="58">
        <f t="shared" si="5"/>
        <v>16220000</v>
      </c>
      <c r="E35" s="60">
        <v>2010000</v>
      </c>
      <c r="F35" s="13">
        <f t="shared" si="6"/>
        <v>14210000</v>
      </c>
      <c r="G35" s="62">
        <f t="shared" si="7"/>
        <v>7190000</v>
      </c>
      <c r="H35" s="14"/>
      <c r="I35" s="29"/>
      <c r="J35" s="40"/>
      <c r="K35" s="44"/>
      <c r="L35" s="38"/>
    </row>
    <row r="36" spans="1:12" ht="18">
      <c r="A36" s="12" t="s">
        <v>171</v>
      </c>
      <c r="B36" s="13">
        <v>18830000</v>
      </c>
      <c r="C36" s="13">
        <v>1720000</v>
      </c>
      <c r="D36" s="58">
        <f t="shared" si="5"/>
        <v>20550000</v>
      </c>
      <c r="E36" s="60">
        <v>1715000</v>
      </c>
      <c r="F36" s="13">
        <f t="shared" si="6"/>
        <v>18835000</v>
      </c>
      <c r="G36" s="62">
        <f t="shared" si="7"/>
        <v>5000</v>
      </c>
      <c r="H36" s="14"/>
      <c r="I36" s="29"/>
      <c r="J36" s="82" t="s">
        <v>26</v>
      </c>
      <c r="K36" s="82"/>
      <c r="L36" s="45">
        <f>L31-L34</f>
        <v>6920000</v>
      </c>
    </row>
    <row r="37" spans="1:12">
      <c r="A37" s="12"/>
      <c r="B37" s="13"/>
      <c r="C37" s="13"/>
      <c r="D37" s="58"/>
      <c r="E37" s="60"/>
      <c r="F37" s="13"/>
      <c r="G37" s="62"/>
      <c r="H37" s="14"/>
      <c r="I37" s="1"/>
      <c r="J37" s="29"/>
      <c r="K37" s="29"/>
      <c r="L37" s="1"/>
    </row>
    <row r="38" spans="1:12">
      <c r="A38" s="12"/>
      <c r="B38" s="46">
        <f t="shared" ref="B38:G38" si="8">SUM(B6:B37)</f>
        <v>142635000</v>
      </c>
      <c r="C38" s="46">
        <f t="shared" si="8"/>
        <v>100215000</v>
      </c>
      <c r="D38" s="59">
        <f t="shared" si="8"/>
        <v>242850000</v>
      </c>
      <c r="E38" s="61">
        <f t="shared" si="8"/>
        <v>57970000</v>
      </c>
      <c r="F38" s="57">
        <f t="shared" si="8"/>
        <v>184880000</v>
      </c>
      <c r="G38" s="63">
        <f t="shared" si="8"/>
        <v>42245000</v>
      </c>
      <c r="H38" s="29"/>
      <c r="I38" s="1"/>
      <c r="J38" s="1"/>
      <c r="K38" s="1"/>
      <c r="L38" s="1"/>
    </row>
    <row r="39" spans="1:12">
      <c r="A39" s="1"/>
      <c r="B39" s="1"/>
      <c r="C39" s="1"/>
      <c r="D39" s="47"/>
      <c r="E39" s="1"/>
      <c r="F39" s="1"/>
      <c r="G39" s="1"/>
      <c r="H39" s="29"/>
      <c r="I39" s="1"/>
      <c r="J39" s="1"/>
      <c r="K39" s="1"/>
      <c r="L39" s="1"/>
    </row>
  </sheetData>
  <mergeCells count="8">
    <mergeCell ref="G4:G5"/>
    <mergeCell ref="J36:K36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L50"/>
  <sheetViews>
    <sheetView topLeftCell="A34" workbookViewId="0">
      <selection activeCell="J55" sqref="J55"/>
    </sheetView>
  </sheetViews>
  <sheetFormatPr defaultRowHeight="15"/>
  <cols>
    <col min="1" max="1" width="7.140625" customWidth="1"/>
    <col min="2" max="2" width="15.42578125" customWidth="1"/>
    <col min="3" max="3" width="14" customWidth="1"/>
    <col min="4" max="4" width="16.140625" customWidth="1"/>
    <col min="5" max="5" width="13.7109375" customWidth="1"/>
    <col min="6" max="6" width="15.85546875" customWidth="1"/>
    <col min="7" max="7" width="14.28515625" customWidth="1"/>
    <col min="10" max="10" width="7.5703125" customWidth="1"/>
    <col min="11" max="11" width="46.5703125" customWidth="1"/>
    <col min="12" max="12" width="17.42578125" customWidth="1"/>
  </cols>
  <sheetData>
    <row r="2" spans="1:12">
      <c r="A2" s="83" t="s">
        <v>27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 t="s">
        <v>174</v>
      </c>
      <c r="B6" s="54">
        <v>2700000</v>
      </c>
      <c r="C6" s="54">
        <v>3500000</v>
      </c>
      <c r="D6" s="58">
        <f>B6+C6</f>
        <v>6200000</v>
      </c>
      <c r="E6" s="60">
        <v>1890000</v>
      </c>
      <c r="F6" s="54">
        <f>D6-E6</f>
        <v>4310000</v>
      </c>
      <c r="G6" s="62">
        <f>C6-E6</f>
        <v>1610000</v>
      </c>
      <c r="H6" s="55"/>
      <c r="I6" s="6"/>
      <c r="J6" s="75" t="s">
        <v>177</v>
      </c>
      <c r="K6" s="68" t="s">
        <v>178</v>
      </c>
      <c r="L6" s="18">
        <v>1000000</v>
      </c>
    </row>
    <row r="7" spans="1:12">
      <c r="A7" s="12" t="s">
        <v>175</v>
      </c>
      <c r="B7" s="13">
        <v>2100000</v>
      </c>
      <c r="C7" s="13">
        <v>7375000</v>
      </c>
      <c r="D7" s="58">
        <f>B7+C7</f>
        <v>9475000</v>
      </c>
      <c r="E7" s="60">
        <v>2515000</v>
      </c>
      <c r="F7" s="13">
        <f>D7-E7</f>
        <v>6960000</v>
      </c>
      <c r="G7" s="62">
        <f>C7-E7</f>
        <v>4860000</v>
      </c>
      <c r="H7" s="14"/>
      <c r="I7" s="19"/>
      <c r="J7" s="75" t="s">
        <v>179</v>
      </c>
      <c r="K7" s="68" t="s">
        <v>180</v>
      </c>
      <c r="L7" s="18">
        <v>1000000</v>
      </c>
    </row>
    <row r="8" spans="1:12">
      <c r="A8" s="12" t="s">
        <v>176</v>
      </c>
      <c r="B8" s="13">
        <v>20000000</v>
      </c>
      <c r="C8" s="13">
        <v>2500000</v>
      </c>
      <c r="D8" s="58">
        <f>B8+C8</f>
        <v>22500000</v>
      </c>
      <c r="E8" s="60">
        <v>2725000</v>
      </c>
      <c r="F8" s="13">
        <f>D8-E8</f>
        <v>19775000</v>
      </c>
      <c r="G8" s="62">
        <f>C8-E8</f>
        <v>-225000</v>
      </c>
      <c r="H8" s="14"/>
      <c r="I8" s="6"/>
      <c r="J8" s="20" t="s">
        <v>179</v>
      </c>
      <c r="K8" s="21" t="s">
        <v>181</v>
      </c>
      <c r="L8" s="18">
        <v>230000</v>
      </c>
    </row>
    <row r="9" spans="1:12">
      <c r="A9" s="48" t="s">
        <v>177</v>
      </c>
      <c r="B9" s="73"/>
      <c r="C9" s="73"/>
      <c r="D9" s="73"/>
      <c r="E9" s="73"/>
      <c r="F9" s="73"/>
      <c r="G9" s="73"/>
      <c r="H9" s="14"/>
      <c r="I9" s="22"/>
      <c r="J9" s="20" t="s">
        <v>182</v>
      </c>
      <c r="K9" s="50" t="s">
        <v>183</v>
      </c>
      <c r="L9" s="18">
        <v>500000</v>
      </c>
    </row>
    <row r="10" spans="1:12">
      <c r="A10" s="12" t="s">
        <v>179</v>
      </c>
      <c r="B10" s="13">
        <v>5400000</v>
      </c>
      <c r="C10" s="13">
        <v>2775000</v>
      </c>
      <c r="D10" s="58">
        <f>B10+C10</f>
        <v>8175000</v>
      </c>
      <c r="E10" s="60">
        <v>2925000</v>
      </c>
      <c r="F10" s="54">
        <f t="shared" ref="F10:F16" si="0">D10-E10</f>
        <v>5250000</v>
      </c>
      <c r="G10" s="62">
        <f t="shared" ref="G10:G16" si="1">C10-E10</f>
        <v>-150000</v>
      </c>
      <c r="H10" s="14"/>
      <c r="I10" s="22"/>
      <c r="J10" s="12" t="s">
        <v>182</v>
      </c>
      <c r="K10" s="68" t="s">
        <v>184</v>
      </c>
      <c r="L10" s="18">
        <v>1500000</v>
      </c>
    </row>
    <row r="11" spans="1:12">
      <c r="A11" s="12" t="s">
        <v>185</v>
      </c>
      <c r="B11" s="13"/>
      <c r="C11" s="54">
        <v>470000</v>
      </c>
      <c r="D11" s="58">
        <v>470000</v>
      </c>
      <c r="E11" s="60">
        <v>1030000</v>
      </c>
      <c r="F11" s="13">
        <f t="shared" si="0"/>
        <v>-560000</v>
      </c>
      <c r="G11" s="62">
        <f t="shared" si="1"/>
        <v>-560000</v>
      </c>
      <c r="H11" s="14"/>
      <c r="I11" s="6"/>
      <c r="J11" s="12" t="s">
        <v>186</v>
      </c>
      <c r="K11" s="21" t="s">
        <v>184</v>
      </c>
      <c r="L11" s="18">
        <v>1000000</v>
      </c>
    </row>
    <row r="12" spans="1:12">
      <c r="A12" s="12" t="s">
        <v>186</v>
      </c>
      <c r="B12" s="13">
        <v>1975000</v>
      </c>
      <c r="C12" s="13">
        <v>75000</v>
      </c>
      <c r="D12" s="58">
        <f>B12+C12</f>
        <v>2050000</v>
      </c>
      <c r="E12" s="60">
        <v>900000</v>
      </c>
      <c r="F12" s="13">
        <f t="shared" si="0"/>
        <v>1150000</v>
      </c>
      <c r="G12" s="62">
        <f t="shared" si="1"/>
        <v>-825000</v>
      </c>
      <c r="H12" s="14"/>
      <c r="I12" s="6"/>
      <c r="J12" s="12" t="s">
        <v>187</v>
      </c>
      <c r="K12" s="15" t="s">
        <v>188</v>
      </c>
      <c r="L12" s="18">
        <v>1440000</v>
      </c>
    </row>
    <row r="13" spans="1:12">
      <c r="A13" s="12" t="s">
        <v>187</v>
      </c>
      <c r="B13" s="13">
        <v>1750000</v>
      </c>
      <c r="C13" s="13">
        <v>2950000</v>
      </c>
      <c r="D13" s="58">
        <f>B13+C13</f>
        <v>4700000</v>
      </c>
      <c r="E13" s="60">
        <v>2185000</v>
      </c>
      <c r="F13" s="13">
        <f t="shared" si="0"/>
        <v>2515000</v>
      </c>
      <c r="G13" s="62">
        <f t="shared" si="1"/>
        <v>765000</v>
      </c>
      <c r="H13" s="14"/>
      <c r="I13" s="6"/>
      <c r="J13" s="12" t="s">
        <v>187</v>
      </c>
      <c r="K13" s="15" t="s">
        <v>189</v>
      </c>
      <c r="L13" s="18">
        <v>1000000</v>
      </c>
    </row>
    <row r="14" spans="1:12">
      <c r="A14" s="12" t="s">
        <v>190</v>
      </c>
      <c r="B14" s="13">
        <v>4130000</v>
      </c>
      <c r="C14" s="13">
        <v>830000</v>
      </c>
      <c r="D14" s="58">
        <f>B14+C14</f>
        <v>4960000</v>
      </c>
      <c r="E14" s="60">
        <v>3965000</v>
      </c>
      <c r="F14" s="13">
        <f t="shared" si="0"/>
        <v>995000</v>
      </c>
      <c r="G14" s="62">
        <f t="shared" si="1"/>
        <v>-3135000</v>
      </c>
      <c r="H14" s="14"/>
      <c r="I14" s="6"/>
      <c r="J14" s="12" t="s">
        <v>192</v>
      </c>
      <c r="K14" s="15" t="s">
        <v>193</v>
      </c>
      <c r="L14" s="18">
        <v>4500000</v>
      </c>
    </row>
    <row r="15" spans="1:12">
      <c r="A15" s="12" t="s">
        <v>191</v>
      </c>
      <c r="B15" s="13">
        <v>1450000</v>
      </c>
      <c r="C15" s="13">
        <v>450000</v>
      </c>
      <c r="D15" s="58">
        <f>B15+C15</f>
        <v>1900000</v>
      </c>
      <c r="E15" s="60">
        <v>1095000</v>
      </c>
      <c r="F15" s="13">
        <f t="shared" si="0"/>
        <v>805000</v>
      </c>
      <c r="G15" s="62">
        <f t="shared" si="1"/>
        <v>-645000</v>
      </c>
      <c r="H15" s="14"/>
      <c r="I15" s="6"/>
      <c r="J15" s="12" t="s">
        <v>194</v>
      </c>
      <c r="K15" s="15" t="s">
        <v>195</v>
      </c>
      <c r="L15" s="18">
        <v>620000</v>
      </c>
    </row>
    <row r="16" spans="1:12">
      <c r="A16" s="12" t="s">
        <v>192</v>
      </c>
      <c r="B16" s="13">
        <v>4300000</v>
      </c>
      <c r="C16" s="13">
        <v>120000</v>
      </c>
      <c r="D16" s="58">
        <f>B16+C16</f>
        <v>4420000</v>
      </c>
      <c r="E16" s="60">
        <v>505000</v>
      </c>
      <c r="F16" s="13">
        <f t="shared" si="0"/>
        <v>3915000</v>
      </c>
      <c r="G16" s="62">
        <f t="shared" si="1"/>
        <v>-385000</v>
      </c>
      <c r="H16" s="14"/>
      <c r="I16" s="6"/>
      <c r="J16" s="12" t="s">
        <v>198</v>
      </c>
      <c r="K16" s="15" t="s">
        <v>199</v>
      </c>
      <c r="L16" s="18">
        <v>15250000</v>
      </c>
    </row>
    <row r="17" spans="1:12">
      <c r="A17" s="12" t="s">
        <v>194</v>
      </c>
      <c r="B17" s="13">
        <v>14200000</v>
      </c>
      <c r="C17" s="13">
        <v>2990000</v>
      </c>
      <c r="D17" s="58">
        <f t="shared" ref="D17:D23" si="2">B17+C17</f>
        <v>17190000</v>
      </c>
      <c r="E17" s="60">
        <v>3025000</v>
      </c>
      <c r="F17" s="13">
        <f t="shared" ref="F17:F23" si="3">D17-E17</f>
        <v>14165000</v>
      </c>
      <c r="G17" s="62">
        <f t="shared" ref="G17:G23" si="4">C17-E17</f>
        <v>-35000</v>
      </c>
      <c r="H17" s="14"/>
      <c r="I17" s="6"/>
      <c r="J17" s="12" t="s">
        <v>198</v>
      </c>
      <c r="K17" s="15" t="s">
        <v>200</v>
      </c>
      <c r="L17" s="18">
        <v>5000000</v>
      </c>
    </row>
    <row r="18" spans="1:12">
      <c r="A18" s="53" t="s">
        <v>196</v>
      </c>
      <c r="B18" s="54">
        <v>17500000</v>
      </c>
      <c r="C18" s="54">
        <v>240000</v>
      </c>
      <c r="D18" s="58">
        <f t="shared" si="2"/>
        <v>17740000</v>
      </c>
      <c r="E18" s="60">
        <v>3345000</v>
      </c>
      <c r="F18" s="54">
        <f t="shared" si="3"/>
        <v>14395000</v>
      </c>
      <c r="G18" s="62">
        <f t="shared" si="4"/>
        <v>-3105000</v>
      </c>
      <c r="H18" s="56"/>
      <c r="I18" s="6"/>
      <c r="J18" s="12" t="s">
        <v>198</v>
      </c>
      <c r="K18" s="25" t="s">
        <v>201</v>
      </c>
      <c r="L18" s="18">
        <v>1150000</v>
      </c>
    </row>
    <row r="19" spans="1:12">
      <c r="A19" s="12" t="s">
        <v>197</v>
      </c>
      <c r="B19" s="13">
        <v>21600000</v>
      </c>
      <c r="C19" s="13">
        <v>415000</v>
      </c>
      <c r="D19" s="58">
        <f t="shared" si="2"/>
        <v>22015000</v>
      </c>
      <c r="E19" s="60">
        <v>1225000</v>
      </c>
      <c r="F19" s="13">
        <f t="shared" si="3"/>
        <v>20790000</v>
      </c>
      <c r="G19" s="62">
        <f t="shared" si="4"/>
        <v>-810000</v>
      </c>
      <c r="H19" s="24"/>
      <c r="I19" s="22"/>
      <c r="J19" s="12" t="s">
        <v>206</v>
      </c>
      <c r="K19" s="25" t="s">
        <v>207</v>
      </c>
      <c r="L19" s="18">
        <v>1000000</v>
      </c>
    </row>
    <row r="20" spans="1:12">
      <c r="A20" s="12" t="s">
        <v>198</v>
      </c>
      <c r="B20" s="13">
        <v>2800000</v>
      </c>
      <c r="C20" s="13">
        <v>1550000</v>
      </c>
      <c r="D20" s="58">
        <f t="shared" si="2"/>
        <v>4350000</v>
      </c>
      <c r="E20" s="60">
        <v>1320000</v>
      </c>
      <c r="F20" s="13">
        <f t="shared" si="3"/>
        <v>3030000</v>
      </c>
      <c r="G20" s="62">
        <f t="shared" si="4"/>
        <v>230000</v>
      </c>
      <c r="H20" s="24"/>
      <c r="I20" s="22"/>
      <c r="J20" s="12" t="s">
        <v>208</v>
      </c>
      <c r="K20" s="25" t="s">
        <v>209</v>
      </c>
      <c r="L20" s="18">
        <v>500000</v>
      </c>
    </row>
    <row r="21" spans="1:12">
      <c r="A21" s="12" t="s">
        <v>202</v>
      </c>
      <c r="B21" s="13">
        <v>13400000</v>
      </c>
      <c r="C21" s="13">
        <v>5410000</v>
      </c>
      <c r="D21" s="58">
        <f t="shared" si="2"/>
        <v>18810000</v>
      </c>
      <c r="E21" s="60">
        <v>1750000</v>
      </c>
      <c r="F21" s="13">
        <f t="shared" si="3"/>
        <v>17060000</v>
      </c>
      <c r="G21" s="62">
        <f t="shared" si="4"/>
        <v>3660000</v>
      </c>
      <c r="H21" s="24"/>
      <c r="I21" s="26"/>
      <c r="J21" s="27" t="s">
        <v>208</v>
      </c>
      <c r="K21" s="51" t="s">
        <v>210</v>
      </c>
      <c r="L21" s="52">
        <v>9200000</v>
      </c>
    </row>
    <row r="22" spans="1:12">
      <c r="A22" s="12" t="s">
        <v>203</v>
      </c>
      <c r="B22" s="13">
        <v>6600000</v>
      </c>
      <c r="C22" s="13">
        <v>9035000</v>
      </c>
      <c r="D22" s="58">
        <f t="shared" si="2"/>
        <v>15635000</v>
      </c>
      <c r="E22" s="60">
        <v>5425000</v>
      </c>
      <c r="F22" s="13">
        <f t="shared" si="3"/>
        <v>10210000</v>
      </c>
      <c r="G22" s="62">
        <f t="shared" si="4"/>
        <v>3610000</v>
      </c>
      <c r="H22" s="24"/>
      <c r="I22" s="26"/>
      <c r="J22" s="12" t="s">
        <v>208</v>
      </c>
      <c r="K22" s="25" t="s">
        <v>211</v>
      </c>
      <c r="L22" s="18">
        <v>40000000</v>
      </c>
    </row>
    <row r="23" spans="1:12">
      <c r="A23" s="12" t="s">
        <v>204</v>
      </c>
      <c r="B23" s="13">
        <v>2200000</v>
      </c>
      <c r="C23" s="13">
        <v>505000</v>
      </c>
      <c r="D23" s="58">
        <f t="shared" si="2"/>
        <v>2705000</v>
      </c>
      <c r="E23" s="60">
        <v>940000</v>
      </c>
      <c r="F23" s="13">
        <f t="shared" si="3"/>
        <v>1765000</v>
      </c>
      <c r="G23" s="62">
        <f t="shared" si="4"/>
        <v>-435000</v>
      </c>
      <c r="H23" s="24"/>
      <c r="I23" s="29"/>
      <c r="J23" s="12" t="s">
        <v>212</v>
      </c>
      <c r="K23" s="23" t="s">
        <v>213</v>
      </c>
      <c r="L23" s="18">
        <v>600000</v>
      </c>
    </row>
    <row r="24" spans="1:12">
      <c r="A24" s="12" t="s">
        <v>205</v>
      </c>
      <c r="B24" s="13">
        <v>2450000</v>
      </c>
      <c r="C24" s="13">
        <v>2275000</v>
      </c>
      <c r="D24" s="58">
        <f>B24+C24</f>
        <v>4725000</v>
      </c>
      <c r="E24" s="60">
        <v>1285000</v>
      </c>
      <c r="F24" s="13">
        <f>D24-E24</f>
        <v>3440000</v>
      </c>
      <c r="G24" s="62">
        <f t="shared" ref="G24:G30" si="5">C24-E24</f>
        <v>990000</v>
      </c>
      <c r="H24" s="24"/>
      <c r="I24" s="29"/>
      <c r="J24" s="27" t="s">
        <v>214</v>
      </c>
      <c r="K24" s="30" t="s">
        <v>211</v>
      </c>
      <c r="L24" s="18">
        <v>10000000</v>
      </c>
    </row>
    <row r="25" spans="1:12">
      <c r="A25" s="12" t="s">
        <v>206</v>
      </c>
      <c r="B25" s="13">
        <v>12750000</v>
      </c>
      <c r="C25" s="13">
        <v>7670000</v>
      </c>
      <c r="D25" s="58">
        <f>B25+C25</f>
        <v>20420000</v>
      </c>
      <c r="E25" s="60">
        <v>2290000</v>
      </c>
      <c r="F25" s="13">
        <f>D25-E25</f>
        <v>18130000</v>
      </c>
      <c r="G25" s="62">
        <f t="shared" si="5"/>
        <v>5380000</v>
      </c>
      <c r="H25" s="24"/>
      <c r="I25" s="31"/>
      <c r="J25" s="32" t="s">
        <v>214</v>
      </c>
      <c r="K25" s="23" t="s">
        <v>215</v>
      </c>
      <c r="L25" s="18">
        <v>900000</v>
      </c>
    </row>
    <row r="26" spans="1:12">
      <c r="A26" s="53" t="s">
        <v>208</v>
      </c>
      <c r="B26" s="54">
        <v>6700000</v>
      </c>
      <c r="C26" s="54">
        <v>350000</v>
      </c>
      <c r="D26" s="58">
        <f>B26+C26</f>
        <v>7050000</v>
      </c>
      <c r="E26" s="60">
        <v>3410000</v>
      </c>
      <c r="F26" s="54">
        <f>D26-E26</f>
        <v>3640000</v>
      </c>
      <c r="G26" s="62">
        <f t="shared" si="5"/>
        <v>-3060000</v>
      </c>
      <c r="H26" s="55"/>
      <c r="I26" s="29"/>
      <c r="J26" s="27" t="s">
        <v>217</v>
      </c>
      <c r="K26" s="30" t="s">
        <v>211</v>
      </c>
      <c r="L26" s="18">
        <v>12000000</v>
      </c>
    </row>
    <row r="27" spans="1:12">
      <c r="A27" s="53" t="s">
        <v>214</v>
      </c>
      <c r="B27" s="54">
        <v>10380000</v>
      </c>
      <c r="C27" s="54">
        <v>300000</v>
      </c>
      <c r="D27" s="58">
        <f>B27+C27</f>
        <v>10680000</v>
      </c>
      <c r="E27" s="60">
        <v>2450000</v>
      </c>
      <c r="F27" s="54">
        <f>D27-E27</f>
        <v>8230000</v>
      </c>
      <c r="G27" s="62">
        <f t="shared" si="5"/>
        <v>-2150000</v>
      </c>
      <c r="H27" s="55"/>
      <c r="I27" s="29"/>
      <c r="J27" s="27" t="s">
        <v>217</v>
      </c>
      <c r="K27" s="30" t="s">
        <v>218</v>
      </c>
      <c r="L27" s="18">
        <v>1500000</v>
      </c>
    </row>
    <row r="28" spans="1:12">
      <c r="A28" s="53" t="s">
        <v>216</v>
      </c>
      <c r="B28" s="54"/>
      <c r="C28" s="54">
        <v>8225000</v>
      </c>
      <c r="D28" s="58">
        <v>8225000</v>
      </c>
      <c r="E28" s="60">
        <v>1710000</v>
      </c>
      <c r="F28" s="54"/>
      <c r="G28" s="62">
        <f t="shared" si="5"/>
        <v>6515000</v>
      </c>
      <c r="H28" s="55"/>
      <c r="I28" s="29"/>
      <c r="J28" s="27" t="s">
        <v>219</v>
      </c>
      <c r="K28" s="30" t="s">
        <v>220</v>
      </c>
      <c r="L28" s="18">
        <v>5000000</v>
      </c>
    </row>
    <row r="29" spans="1:12">
      <c r="A29" s="12" t="s">
        <v>217</v>
      </c>
      <c r="B29" s="13">
        <v>8300000</v>
      </c>
      <c r="C29" s="13">
        <v>5200000</v>
      </c>
      <c r="D29" s="58">
        <f>B29+C29</f>
        <v>13500000</v>
      </c>
      <c r="E29" s="60">
        <v>3160000</v>
      </c>
      <c r="F29" s="13">
        <f>D29-E29</f>
        <v>10340000</v>
      </c>
      <c r="G29" s="62">
        <f t="shared" si="5"/>
        <v>2040000</v>
      </c>
      <c r="H29" s="14"/>
      <c r="I29" s="29"/>
      <c r="J29" s="27" t="s">
        <v>221</v>
      </c>
      <c r="K29" s="30" t="s">
        <v>222</v>
      </c>
      <c r="L29" s="18">
        <v>1500000</v>
      </c>
    </row>
    <row r="30" spans="1:12">
      <c r="A30" s="12" t="s">
        <v>219</v>
      </c>
      <c r="B30" s="13">
        <v>2500000</v>
      </c>
      <c r="C30" s="13">
        <v>1700000</v>
      </c>
      <c r="D30" s="58">
        <f>B30+C30</f>
        <v>4200000</v>
      </c>
      <c r="E30" s="60">
        <v>785000</v>
      </c>
      <c r="F30" s="13">
        <f>D30-E30</f>
        <v>3415000</v>
      </c>
      <c r="G30" s="62">
        <f t="shared" si="5"/>
        <v>915000</v>
      </c>
      <c r="H30" s="14"/>
      <c r="I30" s="31"/>
      <c r="J30" s="27" t="s">
        <v>231</v>
      </c>
      <c r="K30" s="30" t="s">
        <v>223</v>
      </c>
      <c r="L30" s="18">
        <v>10000000</v>
      </c>
    </row>
    <row r="31" spans="1:12">
      <c r="A31" s="12" t="s">
        <v>221</v>
      </c>
      <c r="B31" s="13">
        <v>3050000</v>
      </c>
      <c r="C31" s="13">
        <v>4450000</v>
      </c>
      <c r="D31" s="58">
        <f>B31+C31</f>
        <v>7500000</v>
      </c>
      <c r="E31" s="60">
        <v>1730000</v>
      </c>
      <c r="F31" s="13">
        <f>D31-E31</f>
        <v>5770000</v>
      </c>
      <c r="G31" s="62">
        <f>C31-E31</f>
        <v>2720000</v>
      </c>
      <c r="H31" s="14"/>
      <c r="I31" s="29"/>
      <c r="J31" s="27" t="s">
        <v>224</v>
      </c>
      <c r="K31" s="30" t="s">
        <v>225</v>
      </c>
      <c r="L31" s="18">
        <v>1500000</v>
      </c>
    </row>
    <row r="32" spans="1:12">
      <c r="A32" s="12" t="s">
        <v>230</v>
      </c>
      <c r="B32" s="13">
        <v>4450000</v>
      </c>
      <c r="C32" s="13">
        <v>100000</v>
      </c>
      <c r="D32" s="58">
        <f>B32+C32</f>
        <v>4550000</v>
      </c>
      <c r="E32" s="60">
        <v>1025000</v>
      </c>
      <c r="F32" s="13">
        <f>D32-E32</f>
        <v>3525000</v>
      </c>
      <c r="G32" s="62">
        <f>C32-E32</f>
        <v>-925000</v>
      </c>
      <c r="H32" s="34"/>
      <c r="I32" s="29"/>
      <c r="J32" s="27" t="s">
        <v>224</v>
      </c>
      <c r="K32" s="30" t="s">
        <v>226</v>
      </c>
      <c r="L32" s="18">
        <v>2368000</v>
      </c>
    </row>
    <row r="33" spans="1:12">
      <c r="A33" s="48" t="s">
        <v>231</v>
      </c>
      <c r="B33" s="73"/>
      <c r="C33" s="73"/>
      <c r="D33" s="73"/>
      <c r="E33" s="73"/>
      <c r="F33" s="73"/>
      <c r="G33" s="73"/>
      <c r="H33" s="14"/>
      <c r="I33" s="29"/>
      <c r="J33" s="27" t="s">
        <v>227</v>
      </c>
      <c r="K33" s="30" t="s">
        <v>228</v>
      </c>
      <c r="L33" s="18">
        <v>11000000</v>
      </c>
    </row>
    <row r="34" spans="1:12">
      <c r="A34" s="48" t="s">
        <v>232</v>
      </c>
      <c r="B34" s="73"/>
      <c r="C34" s="73"/>
      <c r="D34" s="73"/>
      <c r="E34" s="73"/>
      <c r="F34" s="73"/>
      <c r="G34" s="73"/>
      <c r="H34" s="14"/>
      <c r="I34" s="29"/>
      <c r="J34" s="27" t="s">
        <v>227</v>
      </c>
      <c r="K34" s="30" t="s">
        <v>229</v>
      </c>
      <c r="L34" s="18">
        <v>28000000</v>
      </c>
    </row>
    <row r="35" spans="1:12">
      <c r="A35" s="12" t="s">
        <v>233</v>
      </c>
      <c r="B35" s="13">
        <v>4100000</v>
      </c>
      <c r="C35" s="13">
        <v>1585000</v>
      </c>
      <c r="D35" s="58">
        <f>B35+C35</f>
        <v>5685000</v>
      </c>
      <c r="E35" s="60">
        <v>1495000</v>
      </c>
      <c r="F35" s="13">
        <f>D35-E35</f>
        <v>4190000</v>
      </c>
      <c r="G35" s="62">
        <f>C35-E35</f>
        <v>90000</v>
      </c>
      <c r="H35" s="14"/>
      <c r="I35" s="29"/>
      <c r="J35" s="27"/>
      <c r="K35" s="30"/>
      <c r="L35" s="18"/>
    </row>
    <row r="36" spans="1:12">
      <c r="A36" s="12"/>
      <c r="B36" s="13"/>
      <c r="C36" s="13"/>
      <c r="D36" s="58"/>
      <c r="E36" s="60"/>
      <c r="F36" s="13"/>
      <c r="G36" s="62"/>
      <c r="H36" s="14"/>
      <c r="I36" s="29"/>
      <c r="J36" s="27"/>
      <c r="K36" s="30"/>
      <c r="L36" s="18"/>
    </row>
    <row r="37" spans="1:12">
      <c r="A37" s="12"/>
      <c r="B37" s="13"/>
      <c r="C37" s="13"/>
      <c r="D37" s="58"/>
      <c r="E37" s="60"/>
      <c r="F37" s="13"/>
      <c r="G37" s="62"/>
      <c r="H37" s="14"/>
      <c r="I37" s="29"/>
      <c r="J37" s="27"/>
      <c r="K37" s="30"/>
      <c r="L37" s="18"/>
    </row>
    <row r="38" spans="1:12">
      <c r="A38" s="53"/>
      <c r="B38" s="54"/>
      <c r="C38" s="54"/>
      <c r="D38" s="58"/>
      <c r="E38" s="60"/>
      <c r="F38" s="54"/>
      <c r="G38" s="62"/>
      <c r="H38" s="55"/>
      <c r="I38" s="29"/>
      <c r="J38" s="27"/>
      <c r="K38" s="30"/>
      <c r="L38" s="18"/>
    </row>
    <row r="39" spans="1:12">
      <c r="A39" s="12"/>
      <c r="B39" s="13"/>
      <c r="C39" s="13"/>
      <c r="D39" s="58"/>
      <c r="E39" s="60"/>
      <c r="F39" s="13"/>
      <c r="G39" s="62"/>
      <c r="H39" s="14"/>
      <c r="I39" s="29"/>
      <c r="J39" s="27"/>
      <c r="K39" s="30"/>
      <c r="L39" s="18"/>
    </row>
    <row r="40" spans="1:12">
      <c r="A40" s="12"/>
      <c r="B40" s="13"/>
      <c r="C40" s="13"/>
      <c r="D40" s="58"/>
      <c r="E40" s="60"/>
      <c r="F40" s="13"/>
      <c r="G40" s="62"/>
      <c r="H40" s="14"/>
      <c r="I40" s="29"/>
      <c r="J40" s="35"/>
      <c r="K40" s="23"/>
      <c r="L40" s="66">
        <f>SUM(L6:L39)</f>
        <v>169258000</v>
      </c>
    </row>
    <row r="41" spans="1:12">
      <c r="A41" s="12"/>
      <c r="B41" s="13"/>
      <c r="C41" s="13"/>
      <c r="D41" s="58"/>
      <c r="E41" s="60"/>
      <c r="F41" s="13"/>
      <c r="G41" s="62"/>
      <c r="H41" s="14"/>
      <c r="I41" s="29"/>
      <c r="J41" s="28"/>
      <c r="K41" s="1"/>
      <c r="L41" s="1"/>
    </row>
    <row r="42" spans="1:12" ht="15.75">
      <c r="A42" s="12"/>
      <c r="B42" s="13"/>
      <c r="C42" s="13"/>
      <c r="D42" s="58"/>
      <c r="E42" s="60"/>
      <c r="F42" s="13"/>
      <c r="G42" s="62"/>
      <c r="H42" s="14"/>
      <c r="I42" s="29"/>
      <c r="J42" s="36" t="s">
        <v>14</v>
      </c>
      <c r="K42" s="37" t="s">
        <v>15</v>
      </c>
      <c r="L42" s="64">
        <f>B49+C49</f>
        <v>249830000</v>
      </c>
    </row>
    <row r="43" spans="1:12" ht="15.75">
      <c r="A43" s="12"/>
      <c r="B43" s="13"/>
      <c r="C43" s="13"/>
      <c r="D43" s="58"/>
      <c r="E43" s="60"/>
      <c r="F43" s="13"/>
      <c r="G43" s="62"/>
      <c r="H43" s="14"/>
      <c r="I43" s="39"/>
      <c r="J43" s="40"/>
      <c r="K43" s="41" t="s">
        <v>16</v>
      </c>
      <c r="L43" s="65">
        <v>56105000</v>
      </c>
    </row>
    <row r="44" spans="1:12" ht="15.75">
      <c r="A44" s="12"/>
      <c r="B44" s="13"/>
      <c r="C44" s="13"/>
      <c r="D44" s="58"/>
      <c r="E44" s="60"/>
      <c r="F44" s="13"/>
      <c r="G44" s="62"/>
      <c r="H44" s="14"/>
      <c r="I44" s="29"/>
      <c r="J44" s="40"/>
      <c r="K44" s="41" t="s">
        <v>17</v>
      </c>
      <c r="L44" s="65">
        <v>169258000</v>
      </c>
    </row>
    <row r="45" spans="1:12" ht="15.75">
      <c r="A45" s="53"/>
      <c r="B45" s="54"/>
      <c r="C45" s="54"/>
      <c r="D45" s="58"/>
      <c r="E45" s="60"/>
      <c r="F45" s="54"/>
      <c r="G45" s="62"/>
      <c r="H45" s="55"/>
      <c r="I45" s="29"/>
      <c r="J45" s="40"/>
      <c r="K45" s="41" t="s">
        <v>18</v>
      </c>
      <c r="L45" s="42">
        <f>L43+L44</f>
        <v>225363000</v>
      </c>
    </row>
    <row r="46" spans="1:12" ht="15.75">
      <c r="A46" s="12"/>
      <c r="B46" s="13"/>
      <c r="C46" s="13"/>
      <c r="D46" s="58"/>
      <c r="E46" s="60"/>
      <c r="F46" s="13"/>
      <c r="G46" s="62"/>
      <c r="H46" s="14"/>
      <c r="I46" s="29"/>
      <c r="J46" s="40"/>
      <c r="K46" s="44"/>
      <c r="L46" s="38"/>
    </row>
    <row r="47" spans="1:12" ht="18">
      <c r="A47" s="12"/>
      <c r="B47" s="13"/>
      <c r="C47" s="13"/>
      <c r="D47" s="58"/>
      <c r="E47" s="60"/>
      <c r="F47" s="13"/>
      <c r="G47" s="62"/>
      <c r="H47" s="14"/>
      <c r="I47" s="29"/>
      <c r="J47" s="82" t="s">
        <v>28</v>
      </c>
      <c r="K47" s="82"/>
      <c r="L47" s="45">
        <f>L42-L45</f>
        <v>24467000</v>
      </c>
    </row>
    <row r="48" spans="1:12">
      <c r="A48" s="12"/>
      <c r="B48" s="13"/>
      <c r="C48" s="13"/>
      <c r="D48" s="58"/>
      <c r="E48" s="60"/>
      <c r="F48" s="13"/>
      <c r="G48" s="62"/>
      <c r="H48" s="14"/>
      <c r="I48" s="1"/>
      <c r="J48" s="29"/>
      <c r="K48" s="29"/>
      <c r="L48" s="1"/>
    </row>
    <row r="49" spans="1:12">
      <c r="A49" s="12"/>
      <c r="B49" s="46">
        <f t="shared" ref="B49:G49" si="6">SUM(B6:B48)</f>
        <v>176785000</v>
      </c>
      <c r="C49" s="46">
        <f t="shared" si="6"/>
        <v>73045000</v>
      </c>
      <c r="D49" s="59">
        <f t="shared" si="6"/>
        <v>249830000</v>
      </c>
      <c r="E49" s="61">
        <f t="shared" si="6"/>
        <v>56105000</v>
      </c>
      <c r="F49" s="57">
        <f t="shared" si="6"/>
        <v>187210000</v>
      </c>
      <c r="G49" s="63">
        <f t="shared" si="6"/>
        <v>16940000</v>
      </c>
      <c r="H49" s="29"/>
      <c r="I49" s="1"/>
      <c r="J49" s="1"/>
      <c r="K49" s="1"/>
      <c r="L49" s="1"/>
    </row>
    <row r="50" spans="1:12">
      <c r="A50" s="1"/>
      <c r="B50" s="1"/>
      <c r="C50" s="1"/>
      <c r="D50" s="47"/>
      <c r="E50" s="1"/>
      <c r="F50" s="1"/>
      <c r="G50" s="1"/>
      <c r="H50" s="29"/>
      <c r="I50" s="1"/>
      <c r="J50" s="1"/>
      <c r="K50" s="1"/>
      <c r="L50" s="1"/>
    </row>
  </sheetData>
  <mergeCells count="8">
    <mergeCell ref="G4:G5"/>
    <mergeCell ref="J47:K47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L114"/>
  <sheetViews>
    <sheetView topLeftCell="A49" workbookViewId="0">
      <selection activeCell="F45" sqref="F45"/>
    </sheetView>
  </sheetViews>
  <sheetFormatPr defaultRowHeight="15"/>
  <cols>
    <col min="1" max="1" width="6.140625" customWidth="1"/>
    <col min="2" max="2" width="14.7109375" customWidth="1"/>
    <col min="3" max="3" width="14" customWidth="1"/>
    <col min="4" max="4" width="14.85546875" customWidth="1"/>
    <col min="5" max="5" width="13.85546875" customWidth="1"/>
    <col min="6" max="6" width="15.140625" customWidth="1"/>
    <col min="7" max="7" width="14" customWidth="1"/>
    <col min="11" max="11" width="45" customWidth="1"/>
    <col min="12" max="12" width="19.42578125" customWidth="1"/>
  </cols>
  <sheetData>
    <row r="2" spans="1:12">
      <c r="A2" s="83" t="s">
        <v>29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/>
      <c r="B6" s="69"/>
      <c r="C6" s="69"/>
      <c r="D6" s="71"/>
      <c r="E6" s="70"/>
      <c r="F6" s="69"/>
      <c r="G6" s="72"/>
      <c r="H6" s="55"/>
      <c r="I6" s="6"/>
      <c r="J6" s="12" t="s">
        <v>235</v>
      </c>
      <c r="K6" s="15" t="s">
        <v>236</v>
      </c>
      <c r="L6" s="16">
        <v>800000</v>
      </c>
    </row>
    <row r="7" spans="1:12">
      <c r="A7" s="53" t="s">
        <v>234</v>
      </c>
      <c r="B7" s="54">
        <v>950000</v>
      </c>
      <c r="C7" s="54">
        <v>5965000</v>
      </c>
      <c r="D7" s="58">
        <f>B7+C7</f>
        <v>6915000</v>
      </c>
      <c r="E7" s="60">
        <v>1675000</v>
      </c>
      <c r="F7" s="54">
        <f t="shared" ref="F7:F19" si="0">D7-E7</f>
        <v>5240000</v>
      </c>
      <c r="G7" s="62">
        <f t="shared" ref="G7:G19" si="1">C7-E7</f>
        <v>4290000</v>
      </c>
      <c r="H7" s="55"/>
      <c r="I7" s="6"/>
      <c r="J7" s="75" t="s">
        <v>240</v>
      </c>
      <c r="K7" s="68" t="s">
        <v>241</v>
      </c>
      <c r="L7" s="18">
        <v>20960000</v>
      </c>
    </row>
    <row r="8" spans="1:12">
      <c r="A8" s="12" t="s">
        <v>235</v>
      </c>
      <c r="B8" s="13"/>
      <c r="C8" s="13">
        <v>1250000</v>
      </c>
      <c r="D8" s="58">
        <v>1250000</v>
      </c>
      <c r="E8" s="60">
        <v>760000</v>
      </c>
      <c r="F8" s="13">
        <f t="shared" si="0"/>
        <v>490000</v>
      </c>
      <c r="G8" s="62">
        <f t="shared" si="1"/>
        <v>490000</v>
      </c>
      <c r="H8" s="14"/>
      <c r="I8" s="19"/>
      <c r="J8" s="75" t="s">
        <v>240</v>
      </c>
      <c r="K8" s="68" t="s">
        <v>242</v>
      </c>
      <c r="L8" s="18">
        <v>1200000</v>
      </c>
    </row>
    <row r="9" spans="1:12">
      <c r="A9" s="12" t="s">
        <v>237</v>
      </c>
      <c r="B9" s="13">
        <v>3100000</v>
      </c>
      <c r="C9" s="13">
        <v>2375000</v>
      </c>
      <c r="D9" s="58">
        <f t="shared" ref="D9:D19" si="2">B9+C9</f>
        <v>5475000</v>
      </c>
      <c r="E9" s="60">
        <v>1220000</v>
      </c>
      <c r="F9" s="13">
        <f t="shared" si="0"/>
        <v>4255000</v>
      </c>
      <c r="G9" s="62">
        <f t="shared" si="1"/>
        <v>1155000</v>
      </c>
      <c r="H9" s="14"/>
      <c r="I9" s="6"/>
      <c r="J9" s="20" t="s">
        <v>240</v>
      </c>
      <c r="K9" s="21" t="s">
        <v>243</v>
      </c>
      <c r="L9" s="18">
        <v>2000000</v>
      </c>
    </row>
    <row r="10" spans="1:12">
      <c r="A10" s="12" t="s">
        <v>238</v>
      </c>
      <c r="B10" s="13">
        <v>4000000</v>
      </c>
      <c r="C10" s="13">
        <v>6300000</v>
      </c>
      <c r="D10" s="58">
        <f t="shared" si="2"/>
        <v>10300000</v>
      </c>
      <c r="E10" s="60">
        <v>3960000</v>
      </c>
      <c r="F10" s="54">
        <f t="shared" si="0"/>
        <v>6340000</v>
      </c>
      <c r="G10" s="62">
        <f t="shared" si="1"/>
        <v>2340000</v>
      </c>
      <c r="H10" s="14"/>
      <c r="I10" s="22"/>
      <c r="J10" s="20" t="s">
        <v>244</v>
      </c>
      <c r="K10" s="50" t="s">
        <v>245</v>
      </c>
      <c r="L10" s="18">
        <v>1400000</v>
      </c>
    </row>
    <row r="11" spans="1:12">
      <c r="A11" s="12" t="s">
        <v>239</v>
      </c>
      <c r="B11" s="13">
        <v>900000</v>
      </c>
      <c r="C11" s="13">
        <v>175000</v>
      </c>
      <c r="D11" s="58">
        <f t="shared" si="2"/>
        <v>1075000</v>
      </c>
      <c r="E11" s="60">
        <v>975000</v>
      </c>
      <c r="F11" s="54">
        <f t="shared" si="0"/>
        <v>100000</v>
      </c>
      <c r="G11" s="62">
        <f t="shared" si="1"/>
        <v>-800000</v>
      </c>
      <c r="H11" s="14"/>
      <c r="I11" s="22"/>
      <c r="J11" s="12" t="s">
        <v>248</v>
      </c>
      <c r="K11" s="68" t="s">
        <v>249</v>
      </c>
      <c r="L11" s="18">
        <v>600000</v>
      </c>
    </row>
    <row r="12" spans="1:12">
      <c r="A12" s="12" t="s">
        <v>240</v>
      </c>
      <c r="B12" s="13">
        <v>20350000</v>
      </c>
      <c r="C12" s="54">
        <v>745000</v>
      </c>
      <c r="D12" s="58">
        <f t="shared" si="2"/>
        <v>21095000</v>
      </c>
      <c r="E12" s="60">
        <v>1885000</v>
      </c>
      <c r="F12" s="13">
        <f t="shared" si="0"/>
        <v>19210000</v>
      </c>
      <c r="G12" s="62">
        <f t="shared" si="1"/>
        <v>-1140000</v>
      </c>
      <c r="H12" s="14"/>
      <c r="I12" s="6"/>
      <c r="J12" s="12" t="s">
        <v>250</v>
      </c>
      <c r="K12" s="21" t="s">
        <v>38</v>
      </c>
      <c r="L12" s="18">
        <v>4500000</v>
      </c>
    </row>
    <row r="13" spans="1:12">
      <c r="A13" s="12" t="s">
        <v>244</v>
      </c>
      <c r="B13" s="13">
        <v>1325000</v>
      </c>
      <c r="C13" s="13">
        <v>950000</v>
      </c>
      <c r="D13" s="58">
        <f t="shared" si="2"/>
        <v>2275000</v>
      </c>
      <c r="E13" s="60">
        <v>1575000</v>
      </c>
      <c r="F13" s="13">
        <f t="shared" si="0"/>
        <v>700000</v>
      </c>
      <c r="G13" s="62">
        <f t="shared" si="1"/>
        <v>-625000</v>
      </c>
      <c r="H13" s="14"/>
      <c r="I13" s="6"/>
      <c r="J13" s="12" t="s">
        <v>251</v>
      </c>
      <c r="K13" s="15" t="s">
        <v>252</v>
      </c>
      <c r="L13" s="18">
        <v>2600000</v>
      </c>
    </row>
    <row r="14" spans="1:12">
      <c r="A14" s="53" t="s">
        <v>246</v>
      </c>
      <c r="B14" s="54">
        <v>4500000</v>
      </c>
      <c r="C14" s="54">
        <v>3450000</v>
      </c>
      <c r="D14" s="58">
        <f t="shared" si="2"/>
        <v>7950000</v>
      </c>
      <c r="E14" s="60">
        <v>2890000</v>
      </c>
      <c r="F14" s="54">
        <f t="shared" si="0"/>
        <v>5060000</v>
      </c>
      <c r="G14" s="62">
        <f t="shared" si="1"/>
        <v>560000</v>
      </c>
      <c r="H14" s="56"/>
      <c r="I14" s="6"/>
      <c r="J14" s="12" t="s">
        <v>251</v>
      </c>
      <c r="K14" s="25" t="s">
        <v>253</v>
      </c>
      <c r="L14" s="18">
        <v>5000000</v>
      </c>
    </row>
    <row r="15" spans="1:12">
      <c r="A15" s="12" t="s">
        <v>247</v>
      </c>
      <c r="B15" s="13">
        <v>9650000</v>
      </c>
      <c r="C15" s="13">
        <v>4850000</v>
      </c>
      <c r="D15" s="58">
        <f t="shared" si="2"/>
        <v>14500000</v>
      </c>
      <c r="E15" s="60">
        <v>3190000</v>
      </c>
      <c r="F15" s="13">
        <f t="shared" si="0"/>
        <v>11310000</v>
      </c>
      <c r="G15" s="62">
        <f t="shared" si="1"/>
        <v>1660000</v>
      </c>
      <c r="H15" s="24"/>
      <c r="I15" s="22"/>
      <c r="J15" s="12" t="s">
        <v>251</v>
      </c>
      <c r="K15" s="25" t="s">
        <v>254</v>
      </c>
      <c r="L15" s="18">
        <v>1150000</v>
      </c>
    </row>
    <row r="16" spans="1:12">
      <c r="A16" s="12" t="s">
        <v>248</v>
      </c>
      <c r="B16" s="13">
        <v>3100000</v>
      </c>
      <c r="C16" s="13">
        <v>2950000</v>
      </c>
      <c r="D16" s="58">
        <f t="shared" si="2"/>
        <v>6050000</v>
      </c>
      <c r="E16" s="60">
        <v>1350000</v>
      </c>
      <c r="F16" s="13">
        <f t="shared" si="0"/>
        <v>4700000</v>
      </c>
      <c r="G16" s="62">
        <f t="shared" si="1"/>
        <v>1600000</v>
      </c>
      <c r="H16" s="24"/>
      <c r="I16" s="26"/>
      <c r="J16" s="27" t="s">
        <v>251</v>
      </c>
      <c r="K16" s="51" t="s">
        <v>255</v>
      </c>
      <c r="L16" s="52">
        <v>1000000</v>
      </c>
    </row>
    <row r="17" spans="1:12">
      <c r="A17" s="12" t="s">
        <v>250</v>
      </c>
      <c r="B17" s="13">
        <v>11300000</v>
      </c>
      <c r="C17" s="13">
        <v>550000</v>
      </c>
      <c r="D17" s="58">
        <f t="shared" si="2"/>
        <v>11850000</v>
      </c>
      <c r="E17" s="60">
        <v>2345000</v>
      </c>
      <c r="F17" s="13">
        <f t="shared" si="0"/>
        <v>9505000</v>
      </c>
      <c r="G17" s="62">
        <f t="shared" si="1"/>
        <v>-1795000</v>
      </c>
      <c r="H17" s="24"/>
      <c r="I17" s="26"/>
      <c r="J17" s="12" t="s">
        <v>251</v>
      </c>
      <c r="K17" s="25" t="s">
        <v>256</v>
      </c>
      <c r="L17" s="18">
        <v>1000000</v>
      </c>
    </row>
    <row r="18" spans="1:12">
      <c r="A18" s="12" t="s">
        <v>251</v>
      </c>
      <c r="B18" s="13">
        <v>29400000</v>
      </c>
      <c r="C18" s="13">
        <v>1300000</v>
      </c>
      <c r="D18" s="58">
        <f t="shared" si="2"/>
        <v>30700000</v>
      </c>
      <c r="E18" s="60">
        <v>1420000</v>
      </c>
      <c r="F18" s="13">
        <f t="shared" si="0"/>
        <v>29280000</v>
      </c>
      <c r="G18" s="62">
        <f t="shared" si="1"/>
        <v>-120000</v>
      </c>
      <c r="H18" s="24"/>
      <c r="I18" s="29"/>
      <c r="J18" s="12" t="s">
        <v>260</v>
      </c>
      <c r="K18" s="23" t="s">
        <v>258</v>
      </c>
      <c r="L18" s="18">
        <v>1500000</v>
      </c>
    </row>
    <row r="19" spans="1:12">
      <c r="A19" s="12" t="s">
        <v>257</v>
      </c>
      <c r="B19" s="13">
        <v>2500000</v>
      </c>
      <c r="C19" s="13">
        <v>9530000</v>
      </c>
      <c r="D19" s="58">
        <f t="shared" si="2"/>
        <v>12030000</v>
      </c>
      <c r="E19" s="60">
        <v>2125000</v>
      </c>
      <c r="F19" s="13">
        <f t="shared" si="0"/>
        <v>9905000</v>
      </c>
      <c r="G19" s="62">
        <f t="shared" si="1"/>
        <v>7405000</v>
      </c>
      <c r="H19" s="24"/>
      <c r="I19" s="29"/>
      <c r="J19" s="27" t="s">
        <v>263</v>
      </c>
      <c r="K19" s="30" t="s">
        <v>264</v>
      </c>
      <c r="L19" s="18">
        <v>1800000</v>
      </c>
    </row>
    <row r="20" spans="1:12">
      <c r="A20" s="48" t="s">
        <v>259</v>
      </c>
      <c r="B20" s="73"/>
      <c r="C20" s="73"/>
      <c r="D20" s="73"/>
      <c r="E20" s="73"/>
      <c r="F20" s="73"/>
      <c r="G20" s="73"/>
      <c r="H20" s="24"/>
      <c r="I20" s="31"/>
      <c r="J20" s="32" t="s">
        <v>262</v>
      </c>
      <c r="K20" s="23" t="s">
        <v>184</v>
      </c>
      <c r="L20" s="18">
        <v>1600000</v>
      </c>
    </row>
    <row r="21" spans="1:12">
      <c r="A21" s="53" t="s">
        <v>260</v>
      </c>
      <c r="B21" s="54">
        <v>4400000</v>
      </c>
      <c r="C21" s="54">
        <v>150000</v>
      </c>
      <c r="D21" s="58">
        <f>B21+C21</f>
        <v>4550000</v>
      </c>
      <c r="E21" s="60">
        <v>2070000</v>
      </c>
      <c r="F21" s="54">
        <f>D21-E21</f>
        <v>2480000</v>
      </c>
      <c r="G21" s="62">
        <f>C21-E21</f>
        <v>-1920000</v>
      </c>
      <c r="H21" s="55"/>
      <c r="I21" s="29"/>
      <c r="J21" s="27" t="s">
        <v>267</v>
      </c>
      <c r="K21" s="30" t="s">
        <v>209</v>
      </c>
      <c r="L21" s="18">
        <v>500000</v>
      </c>
    </row>
    <row r="22" spans="1:12">
      <c r="A22" s="48" t="s">
        <v>261</v>
      </c>
      <c r="B22" s="73"/>
      <c r="C22" s="73"/>
      <c r="D22" s="73"/>
      <c r="E22" s="73"/>
      <c r="F22" s="73"/>
      <c r="G22" s="73"/>
      <c r="H22" s="14"/>
      <c r="I22" s="29"/>
      <c r="J22" s="27" t="s">
        <v>267</v>
      </c>
      <c r="K22" s="30" t="s">
        <v>268</v>
      </c>
      <c r="L22" s="18">
        <v>500000</v>
      </c>
    </row>
    <row r="23" spans="1:12">
      <c r="A23" s="12" t="s">
        <v>262</v>
      </c>
      <c r="B23" s="13">
        <v>35000000</v>
      </c>
      <c r="C23" s="13">
        <v>1050000</v>
      </c>
      <c r="D23" s="58">
        <f>B23+C23</f>
        <v>36050000</v>
      </c>
      <c r="E23" s="60">
        <v>1785000</v>
      </c>
      <c r="F23" s="13">
        <f t="shared" ref="F23:F29" si="3">D23-E23</f>
        <v>34265000</v>
      </c>
      <c r="G23" s="62">
        <f t="shared" ref="G23:G29" si="4">C23-E23</f>
        <v>-735000</v>
      </c>
      <c r="H23" s="14"/>
      <c r="I23" s="31"/>
      <c r="J23" s="27" t="s">
        <v>267</v>
      </c>
      <c r="K23" s="30" t="s">
        <v>269</v>
      </c>
      <c r="L23" s="18">
        <v>700000</v>
      </c>
    </row>
    <row r="24" spans="1:12">
      <c r="A24" s="12" t="s">
        <v>265</v>
      </c>
      <c r="B24" s="13">
        <v>4250000</v>
      </c>
      <c r="C24" s="13">
        <v>1350000</v>
      </c>
      <c r="D24" s="58">
        <f>B24+C24</f>
        <v>5600000</v>
      </c>
      <c r="E24" s="60">
        <v>2820000</v>
      </c>
      <c r="F24" s="13">
        <f t="shared" si="3"/>
        <v>2780000</v>
      </c>
      <c r="G24" s="62">
        <f t="shared" si="4"/>
        <v>-1470000</v>
      </c>
      <c r="H24" s="14"/>
      <c r="I24" s="29"/>
      <c r="J24" s="27" t="s">
        <v>270</v>
      </c>
      <c r="K24" s="30" t="s">
        <v>271</v>
      </c>
      <c r="L24" s="18">
        <v>1600000</v>
      </c>
    </row>
    <row r="25" spans="1:12">
      <c r="A25" s="12" t="s">
        <v>266</v>
      </c>
      <c r="B25" s="13">
        <v>3600000</v>
      </c>
      <c r="C25" s="13">
        <v>2450000</v>
      </c>
      <c r="D25" s="58">
        <f>B25+C25</f>
        <v>6050000</v>
      </c>
      <c r="E25" s="60">
        <v>1055000</v>
      </c>
      <c r="F25" s="13">
        <f t="shared" si="3"/>
        <v>4995000</v>
      </c>
      <c r="G25" s="62">
        <f t="shared" si="4"/>
        <v>1395000</v>
      </c>
      <c r="H25" s="34"/>
      <c r="I25" s="29"/>
      <c r="J25" s="27" t="s">
        <v>272</v>
      </c>
      <c r="K25" s="30" t="s">
        <v>273</v>
      </c>
      <c r="L25" s="18">
        <v>650000</v>
      </c>
    </row>
    <row r="26" spans="1:12">
      <c r="A26" s="12" t="s">
        <v>267</v>
      </c>
      <c r="B26" s="13">
        <v>1000000</v>
      </c>
      <c r="C26" s="13">
        <v>9000000</v>
      </c>
      <c r="D26" s="58">
        <f>B26+C26</f>
        <v>10000000</v>
      </c>
      <c r="E26" s="60">
        <v>2540000</v>
      </c>
      <c r="F26" s="13">
        <f t="shared" si="3"/>
        <v>7460000</v>
      </c>
      <c r="G26" s="62">
        <f t="shared" si="4"/>
        <v>6460000</v>
      </c>
      <c r="H26" s="14"/>
      <c r="I26" s="29"/>
      <c r="J26" s="27" t="s">
        <v>272</v>
      </c>
      <c r="K26" s="30" t="s">
        <v>274</v>
      </c>
      <c r="L26" s="18">
        <v>49700000</v>
      </c>
    </row>
    <row r="27" spans="1:12">
      <c r="A27" s="12" t="s">
        <v>270</v>
      </c>
      <c r="B27" s="13"/>
      <c r="C27" s="13">
        <v>8385000</v>
      </c>
      <c r="D27" s="58">
        <v>8385000</v>
      </c>
      <c r="E27" s="60">
        <v>3960000</v>
      </c>
      <c r="F27" s="13">
        <f t="shared" si="3"/>
        <v>4425000</v>
      </c>
      <c r="G27" s="62">
        <f t="shared" si="4"/>
        <v>4425000</v>
      </c>
      <c r="H27" s="14"/>
      <c r="I27" s="29"/>
      <c r="J27" s="27" t="s">
        <v>272</v>
      </c>
      <c r="K27" s="30" t="s">
        <v>275</v>
      </c>
      <c r="L27" s="18">
        <v>6750000</v>
      </c>
    </row>
    <row r="28" spans="1:12">
      <c r="A28" s="12" t="s">
        <v>272</v>
      </c>
      <c r="B28" s="13">
        <v>2700000</v>
      </c>
      <c r="C28" s="13">
        <v>3300000</v>
      </c>
      <c r="D28" s="58">
        <f t="shared" ref="D28:D34" si="5">B28+C28</f>
        <v>6000000</v>
      </c>
      <c r="E28" s="60">
        <v>1845000</v>
      </c>
      <c r="F28" s="13">
        <f t="shared" si="3"/>
        <v>4155000</v>
      </c>
      <c r="G28" s="62">
        <f t="shared" si="4"/>
        <v>1455000</v>
      </c>
      <c r="H28" s="14"/>
      <c r="I28" s="29"/>
      <c r="J28" s="27" t="s">
        <v>276</v>
      </c>
      <c r="K28" s="30" t="s">
        <v>184</v>
      </c>
      <c r="L28" s="18">
        <v>950000</v>
      </c>
    </row>
    <row r="29" spans="1:12">
      <c r="A29" s="12" t="s">
        <v>277</v>
      </c>
      <c r="B29" s="13">
        <v>2750000</v>
      </c>
      <c r="C29" s="13">
        <v>3975000</v>
      </c>
      <c r="D29" s="58">
        <f t="shared" si="5"/>
        <v>6725000</v>
      </c>
      <c r="E29" s="60">
        <v>720000</v>
      </c>
      <c r="F29" s="13">
        <f t="shared" si="3"/>
        <v>6005000</v>
      </c>
      <c r="G29" s="62">
        <f t="shared" si="4"/>
        <v>3255000</v>
      </c>
      <c r="H29" s="14"/>
      <c r="I29" s="29"/>
      <c r="J29" s="27" t="s">
        <v>276</v>
      </c>
      <c r="K29" s="30" t="s">
        <v>278</v>
      </c>
      <c r="L29" s="18">
        <v>2000000</v>
      </c>
    </row>
    <row r="30" spans="1:12">
      <c r="A30" s="12" t="s">
        <v>276</v>
      </c>
      <c r="B30" s="13">
        <v>2000000</v>
      </c>
      <c r="C30" s="13">
        <v>225000</v>
      </c>
      <c r="D30" s="58">
        <f t="shared" si="5"/>
        <v>2225000</v>
      </c>
      <c r="E30" s="60">
        <v>815000</v>
      </c>
      <c r="F30" s="13">
        <f t="shared" ref="F30:F37" si="6">D30-E30</f>
        <v>1410000</v>
      </c>
      <c r="G30" s="62">
        <f t="shared" ref="G30:G37" si="7">C30-E30</f>
        <v>-590000</v>
      </c>
      <c r="H30" s="14"/>
      <c r="I30" s="29"/>
      <c r="J30" s="27" t="s">
        <v>279</v>
      </c>
      <c r="K30" s="30" t="s">
        <v>280</v>
      </c>
      <c r="L30" s="18">
        <v>9200000</v>
      </c>
    </row>
    <row r="31" spans="1:12">
      <c r="A31" s="12" t="s">
        <v>279</v>
      </c>
      <c r="B31" s="13">
        <v>2100000</v>
      </c>
      <c r="C31" s="13">
        <v>2400000</v>
      </c>
      <c r="D31" s="58">
        <f t="shared" si="5"/>
        <v>4500000</v>
      </c>
      <c r="E31" s="60">
        <v>2185000</v>
      </c>
      <c r="F31" s="13">
        <f t="shared" si="6"/>
        <v>2315000</v>
      </c>
      <c r="G31" s="62">
        <f t="shared" si="7"/>
        <v>215000</v>
      </c>
      <c r="H31" s="14"/>
      <c r="I31" s="29"/>
      <c r="J31" s="27" t="s">
        <v>279</v>
      </c>
      <c r="K31" s="30" t="s">
        <v>281</v>
      </c>
      <c r="L31" s="18">
        <v>600000</v>
      </c>
    </row>
    <row r="32" spans="1:12">
      <c r="A32" s="12" t="s">
        <v>282</v>
      </c>
      <c r="B32" s="13">
        <v>2550000</v>
      </c>
      <c r="C32" s="13">
        <v>650000</v>
      </c>
      <c r="D32" s="58">
        <f t="shared" si="5"/>
        <v>3200000</v>
      </c>
      <c r="E32" s="60">
        <v>1005000</v>
      </c>
      <c r="F32" s="13">
        <f t="shared" si="6"/>
        <v>2195000</v>
      </c>
      <c r="G32" s="62">
        <f t="shared" si="7"/>
        <v>-355000</v>
      </c>
      <c r="H32" s="14"/>
      <c r="I32" s="29"/>
      <c r="J32" s="27" t="s">
        <v>282</v>
      </c>
      <c r="K32" s="30" t="s">
        <v>283</v>
      </c>
      <c r="L32" s="18">
        <v>1800000</v>
      </c>
    </row>
    <row r="33" spans="1:12">
      <c r="A33" s="12" t="s">
        <v>284</v>
      </c>
      <c r="B33" s="13">
        <v>1000000</v>
      </c>
      <c r="C33" s="13">
        <v>2250000</v>
      </c>
      <c r="D33" s="58">
        <f t="shared" si="5"/>
        <v>3250000</v>
      </c>
      <c r="E33" s="60">
        <v>1025000</v>
      </c>
      <c r="F33" s="13">
        <f t="shared" si="6"/>
        <v>2225000</v>
      </c>
      <c r="G33" s="62">
        <f t="shared" si="7"/>
        <v>1225000</v>
      </c>
      <c r="H33" s="14"/>
      <c r="I33" s="29"/>
      <c r="J33" s="27" t="s">
        <v>282</v>
      </c>
      <c r="K33" s="30" t="s">
        <v>271</v>
      </c>
      <c r="L33" s="18">
        <v>800000</v>
      </c>
    </row>
    <row r="34" spans="1:12">
      <c r="A34" s="12" t="s">
        <v>286</v>
      </c>
      <c r="B34" s="13">
        <v>1500000</v>
      </c>
      <c r="C34" s="13">
        <v>1080000</v>
      </c>
      <c r="D34" s="58">
        <f t="shared" si="5"/>
        <v>2580000</v>
      </c>
      <c r="E34" s="60">
        <v>1800000</v>
      </c>
      <c r="F34" s="13">
        <f t="shared" si="6"/>
        <v>780000</v>
      </c>
      <c r="G34" s="62">
        <f t="shared" si="7"/>
        <v>-720000</v>
      </c>
      <c r="H34" s="14"/>
      <c r="I34" s="29"/>
      <c r="J34" s="27" t="s">
        <v>284</v>
      </c>
      <c r="K34" s="30" t="s">
        <v>285</v>
      </c>
      <c r="L34" s="18">
        <v>350000</v>
      </c>
    </row>
    <row r="35" spans="1:12">
      <c r="A35" s="12" t="s">
        <v>291</v>
      </c>
      <c r="B35" s="13"/>
      <c r="C35" s="13">
        <v>2350000</v>
      </c>
      <c r="D35" s="58">
        <v>2350000</v>
      </c>
      <c r="E35" s="60">
        <v>840000</v>
      </c>
      <c r="F35" s="13">
        <f t="shared" si="6"/>
        <v>1510000</v>
      </c>
      <c r="G35" s="62">
        <f t="shared" si="7"/>
        <v>1510000</v>
      </c>
      <c r="H35" s="14"/>
      <c r="I35" s="29"/>
      <c r="J35" s="27" t="s">
        <v>286</v>
      </c>
      <c r="K35" s="30" t="s">
        <v>67</v>
      </c>
      <c r="L35" s="18">
        <v>1500000</v>
      </c>
    </row>
    <row r="36" spans="1:12">
      <c r="A36" s="12" t="s">
        <v>292</v>
      </c>
      <c r="B36" s="13">
        <v>4750000</v>
      </c>
      <c r="C36" s="13">
        <v>6380000</v>
      </c>
      <c r="D36" s="58">
        <f>B36+C36</f>
        <v>11130000</v>
      </c>
      <c r="E36" s="60">
        <v>960000</v>
      </c>
      <c r="F36" s="13">
        <f t="shared" si="6"/>
        <v>10170000</v>
      </c>
      <c r="G36" s="62">
        <f t="shared" si="7"/>
        <v>5420000</v>
      </c>
      <c r="H36" s="14"/>
      <c r="I36" s="29"/>
      <c r="J36" s="27" t="s">
        <v>287</v>
      </c>
      <c r="K36" s="30" t="s">
        <v>288</v>
      </c>
      <c r="L36" s="18">
        <v>11000000</v>
      </c>
    </row>
    <row r="37" spans="1:12">
      <c r="A37" s="12" t="s">
        <v>293</v>
      </c>
      <c r="B37" s="13">
        <v>5150000</v>
      </c>
      <c r="C37" s="13">
        <v>100000</v>
      </c>
      <c r="D37" s="58">
        <f>B37+C37</f>
        <v>5250000</v>
      </c>
      <c r="E37" s="60">
        <v>995000</v>
      </c>
      <c r="F37" s="13">
        <f t="shared" si="6"/>
        <v>4255000</v>
      </c>
      <c r="G37" s="62">
        <f t="shared" si="7"/>
        <v>-895000</v>
      </c>
      <c r="H37" s="14"/>
      <c r="I37" s="29"/>
      <c r="J37" s="27" t="s">
        <v>287</v>
      </c>
      <c r="K37" s="30" t="s">
        <v>209</v>
      </c>
      <c r="L37" s="18">
        <v>500000</v>
      </c>
    </row>
    <row r="38" spans="1:12">
      <c r="A38" s="12"/>
      <c r="B38" s="13"/>
      <c r="C38" s="13"/>
      <c r="D38" s="58"/>
      <c r="E38" s="60"/>
      <c r="F38" s="13"/>
      <c r="G38" s="62"/>
      <c r="H38" s="14"/>
      <c r="I38" s="29"/>
      <c r="J38" s="27" t="s">
        <v>287</v>
      </c>
      <c r="K38" s="30" t="s">
        <v>289</v>
      </c>
      <c r="L38" s="18">
        <v>1500000</v>
      </c>
    </row>
    <row r="39" spans="1:12">
      <c r="A39" s="12"/>
      <c r="B39" s="13"/>
      <c r="C39" s="13"/>
      <c r="D39" s="58"/>
      <c r="E39" s="60"/>
      <c r="F39" s="13"/>
      <c r="G39" s="62"/>
      <c r="H39" s="14"/>
      <c r="I39" s="29"/>
      <c r="J39" s="27" t="s">
        <v>287</v>
      </c>
      <c r="K39" s="30" t="s">
        <v>290</v>
      </c>
      <c r="L39" s="18">
        <v>235000</v>
      </c>
    </row>
    <row r="40" spans="1:12">
      <c r="A40" s="12"/>
      <c r="B40" s="13"/>
      <c r="C40" s="13"/>
      <c r="D40" s="58"/>
      <c r="E40" s="60"/>
      <c r="F40" s="13"/>
      <c r="G40" s="62"/>
      <c r="H40" s="14"/>
      <c r="I40" s="29"/>
      <c r="J40" s="27" t="s">
        <v>287</v>
      </c>
      <c r="K40" s="30" t="s">
        <v>64</v>
      </c>
      <c r="L40" s="18">
        <v>60000</v>
      </c>
    </row>
    <row r="41" spans="1:12">
      <c r="A41" s="12"/>
      <c r="B41" s="13"/>
      <c r="C41" s="13"/>
      <c r="D41" s="58"/>
      <c r="E41" s="60"/>
      <c r="F41" s="13"/>
      <c r="G41" s="62"/>
      <c r="H41" s="14"/>
      <c r="I41" s="29"/>
      <c r="J41" s="27" t="s">
        <v>293</v>
      </c>
      <c r="K41" s="30" t="s">
        <v>184</v>
      </c>
      <c r="L41" s="18">
        <v>6700000</v>
      </c>
    </row>
    <row r="42" spans="1:12">
      <c r="A42" s="12"/>
      <c r="B42" s="13"/>
      <c r="C42" s="13"/>
      <c r="D42" s="58"/>
      <c r="E42" s="60"/>
      <c r="F42" s="13"/>
      <c r="G42" s="62"/>
      <c r="H42" s="14"/>
      <c r="I42" s="29"/>
      <c r="J42" s="27" t="s">
        <v>293</v>
      </c>
      <c r="K42" s="30" t="s">
        <v>294</v>
      </c>
      <c r="L42" s="18">
        <v>600000</v>
      </c>
    </row>
    <row r="43" spans="1:12" ht="15" customHeight="1">
      <c r="A43" s="12"/>
      <c r="B43" s="13"/>
      <c r="C43" s="13"/>
      <c r="D43" s="58"/>
      <c r="E43" s="60"/>
      <c r="F43" s="13"/>
      <c r="G43" s="62"/>
      <c r="H43" s="14"/>
      <c r="I43" s="29"/>
      <c r="J43" s="27" t="s">
        <v>293</v>
      </c>
      <c r="K43" s="30" t="s">
        <v>278</v>
      </c>
      <c r="L43" s="18">
        <v>1500000</v>
      </c>
    </row>
    <row r="44" spans="1:12">
      <c r="A44" s="12"/>
      <c r="B44" s="13"/>
      <c r="C44" s="13"/>
      <c r="D44" s="58"/>
      <c r="E44" s="60"/>
      <c r="F44" s="13"/>
      <c r="G44" s="62"/>
      <c r="H44" s="14"/>
      <c r="I44" s="29"/>
      <c r="J44" s="27"/>
      <c r="K44" s="30"/>
      <c r="L44" s="18"/>
    </row>
    <row r="45" spans="1:12">
      <c r="A45" s="53"/>
      <c r="B45" s="54"/>
      <c r="C45" s="54"/>
      <c r="D45" s="58"/>
      <c r="E45" s="60"/>
      <c r="F45" s="54"/>
      <c r="G45" s="62"/>
      <c r="H45" s="55"/>
      <c r="I45" s="29"/>
      <c r="J45" s="27"/>
      <c r="K45" s="30"/>
      <c r="L45" s="18"/>
    </row>
    <row r="46" spans="1:12">
      <c r="A46" s="12"/>
      <c r="B46" s="13"/>
      <c r="C46" s="13"/>
      <c r="D46" s="58"/>
      <c r="E46" s="60"/>
      <c r="F46" s="13"/>
      <c r="G46" s="62"/>
      <c r="H46" s="14"/>
      <c r="I46" s="29"/>
      <c r="J46" s="27"/>
      <c r="K46" s="30"/>
      <c r="L46" s="18"/>
    </row>
    <row r="47" spans="1:12">
      <c r="A47" s="12"/>
      <c r="B47" s="13"/>
      <c r="C47" s="13"/>
      <c r="D47" s="58"/>
      <c r="E47" s="60"/>
      <c r="F47" s="13"/>
      <c r="G47" s="62"/>
      <c r="H47" s="14"/>
      <c r="I47" s="29"/>
      <c r="J47" s="35"/>
      <c r="K47" s="23"/>
      <c r="L47" s="66">
        <f>SUM(L6:L46)</f>
        <v>146805000</v>
      </c>
    </row>
    <row r="48" spans="1:12">
      <c r="A48" s="12"/>
      <c r="B48" s="13"/>
      <c r="C48" s="13"/>
      <c r="D48" s="58"/>
      <c r="E48" s="60"/>
      <c r="F48" s="13"/>
      <c r="G48" s="62"/>
      <c r="H48" s="14"/>
      <c r="I48" s="29"/>
      <c r="J48" s="28"/>
      <c r="K48" s="1"/>
      <c r="L48" s="1"/>
    </row>
    <row r="49" spans="1:12" ht="15.75">
      <c r="A49" s="12"/>
      <c r="B49" s="13"/>
      <c r="C49" s="13"/>
      <c r="D49" s="58"/>
      <c r="E49" s="60"/>
      <c r="F49" s="13"/>
      <c r="G49" s="62"/>
      <c r="H49" s="14"/>
      <c r="I49" s="29"/>
      <c r="J49" s="36" t="s">
        <v>14</v>
      </c>
      <c r="K49" s="37" t="s">
        <v>15</v>
      </c>
      <c r="L49" s="64">
        <f>B54+C54</f>
        <v>249310000</v>
      </c>
    </row>
    <row r="50" spans="1:12" ht="15.75">
      <c r="A50" s="12"/>
      <c r="B50" s="13"/>
      <c r="C50" s="13"/>
      <c r="D50" s="58"/>
      <c r="E50" s="60"/>
      <c r="F50" s="13"/>
      <c r="G50" s="62"/>
      <c r="H50" s="14"/>
      <c r="I50" s="39"/>
      <c r="J50" s="40"/>
      <c r="K50" s="41" t="s">
        <v>16</v>
      </c>
      <c r="L50" s="65">
        <v>51790000</v>
      </c>
    </row>
    <row r="51" spans="1:12" ht="15.75">
      <c r="A51" s="12"/>
      <c r="B51" s="13"/>
      <c r="C51" s="13"/>
      <c r="D51" s="58"/>
      <c r="E51" s="60"/>
      <c r="F51" s="13"/>
      <c r="G51" s="62"/>
      <c r="H51" s="14"/>
      <c r="I51" s="29"/>
      <c r="J51" s="40"/>
      <c r="K51" s="41" t="s">
        <v>17</v>
      </c>
      <c r="L51" s="65">
        <v>146805000</v>
      </c>
    </row>
    <row r="52" spans="1:12" ht="15.75">
      <c r="A52" s="53"/>
      <c r="B52" s="54"/>
      <c r="C52" s="54"/>
      <c r="D52" s="58"/>
      <c r="E52" s="60"/>
      <c r="F52" s="54"/>
      <c r="G52" s="62"/>
      <c r="H52" s="55"/>
      <c r="I52" s="29"/>
      <c r="J52" s="40"/>
      <c r="K52" s="41" t="s">
        <v>18</v>
      </c>
      <c r="L52" s="42">
        <f>L50+L51</f>
        <v>198595000</v>
      </c>
    </row>
    <row r="53" spans="1:12" ht="15.75">
      <c r="A53" s="12"/>
      <c r="B53" s="13"/>
      <c r="C53" s="13"/>
      <c r="D53" s="58"/>
      <c r="E53" s="60"/>
      <c r="F53" s="13"/>
      <c r="G53" s="62"/>
      <c r="H53" s="14"/>
      <c r="I53" s="29"/>
      <c r="J53" s="40"/>
      <c r="K53" s="44"/>
      <c r="L53" s="38"/>
    </row>
    <row r="54" spans="1:12" ht="18">
      <c r="A54" s="12"/>
      <c r="B54" s="13">
        <f t="shared" ref="B54:G54" si="8">SUM(B6:B53)</f>
        <v>163825000</v>
      </c>
      <c r="C54" s="13">
        <f t="shared" si="8"/>
        <v>85485000</v>
      </c>
      <c r="D54" s="58">
        <f t="shared" si="8"/>
        <v>249310000</v>
      </c>
      <c r="E54" s="60">
        <f t="shared" si="8"/>
        <v>51790000</v>
      </c>
      <c r="F54" s="13">
        <f t="shared" si="8"/>
        <v>197520000</v>
      </c>
      <c r="G54" s="62">
        <f t="shared" si="8"/>
        <v>33695000</v>
      </c>
      <c r="H54" s="14"/>
      <c r="I54" s="29"/>
      <c r="J54" s="82" t="s">
        <v>30</v>
      </c>
      <c r="K54" s="82"/>
      <c r="L54" s="45">
        <f>L49-L52</f>
        <v>50715000</v>
      </c>
    </row>
    <row r="55" spans="1:12">
      <c r="A55" s="14"/>
      <c r="B55" s="1"/>
      <c r="C55" s="29"/>
      <c r="D55" s="29"/>
      <c r="E55" s="1"/>
    </row>
    <row r="56" spans="1:12">
      <c r="A56" s="29"/>
      <c r="B56" s="1"/>
      <c r="C56" s="1"/>
      <c r="D56" s="1"/>
      <c r="E56" s="1"/>
    </row>
    <row r="57" spans="1:12">
      <c r="A57" s="1"/>
      <c r="B57" s="1"/>
      <c r="C57" s="1"/>
      <c r="D57" s="47"/>
      <c r="E57" s="1"/>
      <c r="F57" s="1"/>
      <c r="G57" s="1"/>
      <c r="H57" s="29"/>
      <c r="I57" s="1"/>
      <c r="J57" s="1"/>
      <c r="K57" s="1"/>
      <c r="L57" s="1"/>
    </row>
    <row r="62" spans="1:12">
      <c r="B62" s="83"/>
      <c r="C62" s="83"/>
      <c r="D62" s="83"/>
      <c r="E62" s="83"/>
      <c r="F62" s="83"/>
      <c r="G62" s="1"/>
      <c r="H62" s="1"/>
    </row>
    <row r="63" spans="1:12">
      <c r="B63" s="92"/>
      <c r="C63" s="92"/>
      <c r="D63" s="92"/>
      <c r="E63" s="92"/>
      <c r="F63" s="92"/>
      <c r="G63" s="1"/>
      <c r="H63" s="1"/>
    </row>
    <row r="64" spans="1:12" ht="15.75">
      <c r="B64" s="86"/>
      <c r="C64" s="88"/>
      <c r="D64" s="89"/>
      <c r="E64" s="90"/>
      <c r="F64" s="80"/>
      <c r="G64" s="90"/>
      <c r="H64" s="80"/>
    </row>
    <row r="65" spans="2:8" ht="15.75">
      <c r="B65" s="87"/>
      <c r="C65" s="7"/>
      <c r="D65" s="76"/>
      <c r="E65" s="91"/>
      <c r="F65" s="81"/>
      <c r="G65" s="91"/>
      <c r="H65" s="81"/>
    </row>
    <row r="66" spans="2:8">
      <c r="B66" s="53"/>
      <c r="C66" s="69"/>
      <c r="D66" s="69"/>
      <c r="E66" s="71"/>
      <c r="F66" s="70"/>
      <c r="G66" s="69"/>
      <c r="H66" s="72"/>
    </row>
    <row r="67" spans="2:8">
      <c r="B67" s="53"/>
      <c r="C67" s="54"/>
      <c r="D67" s="54"/>
      <c r="E67" s="58"/>
      <c r="F67" s="60"/>
      <c r="G67" s="54"/>
      <c r="H67" s="62"/>
    </row>
    <row r="68" spans="2:8">
      <c r="B68" s="12"/>
      <c r="C68" s="13"/>
      <c r="D68" s="13"/>
      <c r="E68" s="58"/>
      <c r="F68" s="60"/>
      <c r="G68" s="13"/>
      <c r="H68" s="62"/>
    </row>
    <row r="69" spans="2:8">
      <c r="B69" s="12"/>
      <c r="C69" s="13"/>
      <c r="D69" s="13"/>
      <c r="E69" s="58"/>
      <c r="F69" s="60"/>
      <c r="G69" s="13"/>
      <c r="H69" s="62"/>
    </row>
    <row r="70" spans="2:8">
      <c r="B70" s="12"/>
      <c r="C70" s="13"/>
      <c r="D70" s="13"/>
      <c r="E70" s="58"/>
      <c r="F70" s="60"/>
      <c r="G70" s="54"/>
      <c r="H70" s="62"/>
    </row>
    <row r="71" spans="2:8">
      <c r="B71" s="12"/>
      <c r="C71" s="13"/>
      <c r="D71" s="13"/>
      <c r="E71" s="58"/>
      <c r="F71" s="60"/>
      <c r="G71" s="54"/>
      <c r="H71" s="62"/>
    </row>
    <row r="72" spans="2:8">
      <c r="B72" s="12"/>
      <c r="C72" s="13"/>
      <c r="D72" s="54"/>
      <c r="E72" s="58"/>
      <c r="F72" s="60"/>
      <c r="G72" s="13"/>
      <c r="H72" s="62"/>
    </row>
    <row r="73" spans="2:8">
      <c r="B73" s="12"/>
      <c r="C73" s="13"/>
      <c r="D73" s="13"/>
      <c r="E73" s="58"/>
      <c r="F73" s="60"/>
      <c r="G73" s="13"/>
      <c r="H73" s="62"/>
    </row>
    <row r="74" spans="2:8">
      <c r="B74" s="53"/>
      <c r="C74" s="54"/>
      <c r="D74" s="54"/>
      <c r="E74" s="58"/>
      <c r="F74" s="60"/>
      <c r="G74" s="54"/>
      <c r="H74" s="62"/>
    </row>
    <row r="75" spans="2:8">
      <c r="B75" s="12"/>
      <c r="C75" s="13"/>
      <c r="D75" s="13"/>
      <c r="E75" s="58"/>
      <c r="F75" s="60"/>
      <c r="G75" s="13"/>
      <c r="H75" s="62"/>
    </row>
    <row r="76" spans="2:8">
      <c r="B76" s="12"/>
      <c r="C76" s="13"/>
      <c r="D76" s="13"/>
      <c r="E76" s="58"/>
      <c r="F76" s="60"/>
      <c r="G76" s="13"/>
      <c r="H76" s="62"/>
    </row>
    <row r="77" spans="2:8">
      <c r="B77" s="12"/>
      <c r="C77" s="13"/>
      <c r="D77" s="13"/>
      <c r="E77" s="58"/>
      <c r="F77" s="60"/>
      <c r="G77" s="13"/>
      <c r="H77" s="62"/>
    </row>
    <row r="78" spans="2:8">
      <c r="B78" s="12"/>
      <c r="C78" s="13"/>
      <c r="D78" s="13"/>
      <c r="E78" s="58"/>
      <c r="F78" s="60"/>
      <c r="G78" s="13"/>
      <c r="H78" s="62"/>
    </row>
    <row r="79" spans="2:8">
      <c r="B79" s="12"/>
      <c r="C79" s="13"/>
      <c r="D79" s="13"/>
      <c r="E79" s="58"/>
      <c r="F79" s="60"/>
      <c r="G79" s="13"/>
      <c r="H79" s="62"/>
    </row>
    <row r="80" spans="2:8">
      <c r="B80" s="48"/>
      <c r="C80" s="73"/>
      <c r="D80" s="73"/>
      <c r="E80" s="73"/>
      <c r="F80" s="73"/>
      <c r="G80" s="73"/>
      <c r="H80" s="73"/>
    </row>
    <row r="81" spans="2:8">
      <c r="B81" s="53"/>
      <c r="C81" s="54"/>
      <c r="D81" s="54"/>
      <c r="E81" s="58"/>
      <c r="F81" s="60"/>
      <c r="G81" s="54"/>
      <c r="H81" s="62"/>
    </row>
    <row r="82" spans="2:8">
      <c r="B82" s="48"/>
      <c r="C82" s="73"/>
      <c r="D82" s="73"/>
      <c r="E82" s="73"/>
      <c r="F82" s="73"/>
      <c r="G82" s="73"/>
      <c r="H82" s="73"/>
    </row>
    <row r="83" spans="2:8">
      <c r="B83" s="12"/>
      <c r="C83" s="13"/>
      <c r="D83" s="13"/>
      <c r="E83" s="58"/>
      <c r="F83" s="60"/>
      <c r="G83" s="13"/>
      <c r="H83" s="62"/>
    </row>
    <row r="84" spans="2:8">
      <c r="B84" s="12"/>
      <c r="C84" s="13"/>
      <c r="D84" s="13"/>
      <c r="E84" s="58"/>
      <c r="F84" s="60"/>
      <c r="G84" s="13"/>
      <c r="H84" s="62"/>
    </row>
    <row r="85" spans="2:8">
      <c r="B85" s="12"/>
      <c r="C85" s="13"/>
      <c r="D85" s="13"/>
      <c r="E85" s="58"/>
      <c r="F85" s="60"/>
      <c r="G85" s="13"/>
      <c r="H85" s="62"/>
    </row>
    <row r="86" spans="2:8">
      <c r="B86" s="12"/>
      <c r="C86" s="13"/>
      <c r="D86" s="13"/>
      <c r="E86" s="58"/>
      <c r="F86" s="60"/>
      <c r="G86" s="13"/>
      <c r="H86" s="62"/>
    </row>
    <row r="87" spans="2:8">
      <c r="B87" s="12"/>
      <c r="C87" s="13"/>
      <c r="D87" s="13"/>
      <c r="E87" s="58"/>
      <c r="F87" s="60"/>
      <c r="G87" s="13"/>
      <c r="H87" s="62"/>
    </row>
    <row r="88" spans="2:8">
      <c r="B88" s="12"/>
      <c r="C88" s="13"/>
      <c r="D88" s="13"/>
      <c r="E88" s="58"/>
      <c r="F88" s="60"/>
      <c r="G88" s="13"/>
      <c r="H88" s="62"/>
    </row>
    <row r="89" spans="2:8">
      <c r="B89" s="12"/>
      <c r="C89" s="13"/>
      <c r="D89" s="13"/>
      <c r="E89" s="58"/>
      <c r="F89" s="60"/>
      <c r="G89" s="13"/>
      <c r="H89" s="62"/>
    </row>
    <row r="90" spans="2:8">
      <c r="B90" s="12"/>
      <c r="C90" s="13"/>
      <c r="D90" s="13"/>
      <c r="E90" s="58"/>
      <c r="F90" s="60"/>
      <c r="G90" s="13"/>
      <c r="H90" s="62"/>
    </row>
    <row r="91" spans="2:8">
      <c r="B91" s="12"/>
      <c r="C91" s="13"/>
      <c r="D91" s="13"/>
      <c r="E91" s="58"/>
      <c r="F91" s="60"/>
      <c r="G91" s="13"/>
      <c r="H91" s="62"/>
    </row>
    <row r="92" spans="2:8">
      <c r="B92" s="12"/>
      <c r="C92" s="13"/>
      <c r="D92" s="13"/>
      <c r="E92" s="58"/>
      <c r="F92" s="60"/>
      <c r="G92" s="13"/>
      <c r="H92" s="62"/>
    </row>
    <row r="93" spans="2:8">
      <c r="B93" s="12"/>
      <c r="C93" s="13"/>
      <c r="D93" s="13"/>
      <c r="E93" s="58"/>
      <c r="F93" s="60"/>
      <c r="G93" s="13"/>
      <c r="H93" s="62"/>
    </row>
    <row r="94" spans="2:8">
      <c r="B94" s="12"/>
      <c r="C94" s="13"/>
      <c r="D94" s="13"/>
      <c r="E94" s="58"/>
      <c r="F94" s="60"/>
      <c r="G94" s="13"/>
      <c r="H94" s="62"/>
    </row>
    <row r="95" spans="2:8">
      <c r="B95" s="12"/>
      <c r="C95" s="13"/>
      <c r="D95" s="13"/>
      <c r="E95" s="58"/>
      <c r="F95" s="60"/>
      <c r="G95" s="13"/>
      <c r="H95" s="62"/>
    </row>
    <row r="96" spans="2:8">
      <c r="B96" s="12"/>
      <c r="C96" s="13"/>
      <c r="D96" s="13"/>
      <c r="E96" s="58"/>
      <c r="F96" s="60"/>
      <c r="G96" s="13"/>
      <c r="H96" s="62"/>
    </row>
    <row r="97" spans="2:8">
      <c r="B97" s="12"/>
      <c r="C97" s="13"/>
      <c r="D97" s="13"/>
      <c r="E97" s="58"/>
      <c r="F97" s="60"/>
      <c r="G97" s="13"/>
      <c r="H97" s="62"/>
    </row>
    <row r="98" spans="2:8">
      <c r="B98" s="12"/>
      <c r="C98" s="13"/>
      <c r="D98" s="13"/>
      <c r="E98" s="58"/>
      <c r="F98" s="60"/>
      <c r="G98" s="13"/>
      <c r="H98" s="62"/>
    </row>
    <row r="99" spans="2:8">
      <c r="B99" s="12"/>
      <c r="C99" s="13"/>
      <c r="D99" s="13"/>
      <c r="E99" s="58"/>
      <c r="F99" s="60"/>
      <c r="G99" s="13"/>
      <c r="H99" s="62"/>
    </row>
    <row r="100" spans="2:8">
      <c r="B100" s="12"/>
      <c r="C100" s="13"/>
      <c r="D100" s="13"/>
      <c r="E100" s="58"/>
      <c r="F100" s="60"/>
      <c r="G100" s="13"/>
      <c r="H100" s="62"/>
    </row>
    <row r="101" spans="2:8">
      <c r="B101" s="12"/>
      <c r="C101" s="13"/>
      <c r="D101" s="13"/>
      <c r="E101" s="58"/>
      <c r="F101" s="60"/>
      <c r="G101" s="13"/>
      <c r="H101" s="62"/>
    </row>
    <row r="102" spans="2:8">
      <c r="B102" s="12"/>
      <c r="C102" s="13"/>
      <c r="D102" s="13"/>
      <c r="E102" s="58"/>
      <c r="F102" s="60"/>
      <c r="G102" s="13"/>
      <c r="H102" s="62"/>
    </row>
    <row r="103" spans="2:8">
      <c r="B103" s="12"/>
      <c r="C103" s="13"/>
      <c r="D103" s="13"/>
      <c r="E103" s="58"/>
      <c r="F103" s="60"/>
      <c r="G103" s="13"/>
      <c r="H103" s="62"/>
    </row>
    <row r="104" spans="2:8">
      <c r="B104" s="12"/>
      <c r="C104" s="13"/>
      <c r="D104" s="13"/>
      <c r="E104" s="58"/>
      <c r="F104" s="60"/>
      <c r="G104" s="13"/>
      <c r="H104" s="62"/>
    </row>
    <row r="105" spans="2:8">
      <c r="B105" s="53"/>
      <c r="C105" s="54"/>
      <c r="D105" s="54"/>
      <c r="E105" s="58"/>
      <c r="F105" s="60"/>
      <c r="G105" s="54"/>
      <c r="H105" s="62"/>
    </row>
    <row r="106" spans="2:8">
      <c r="B106" s="12"/>
      <c r="C106" s="13"/>
      <c r="D106" s="13"/>
      <c r="E106" s="58"/>
      <c r="F106" s="60"/>
      <c r="G106" s="13"/>
      <c r="H106" s="62"/>
    </row>
    <row r="107" spans="2:8">
      <c r="B107" s="12"/>
      <c r="C107" s="13"/>
      <c r="D107" s="13"/>
      <c r="E107" s="58"/>
      <c r="F107" s="60"/>
      <c r="G107" s="13"/>
      <c r="H107" s="62"/>
    </row>
    <row r="108" spans="2:8">
      <c r="B108" s="12"/>
      <c r="C108" s="13"/>
      <c r="D108" s="13"/>
      <c r="E108" s="58"/>
      <c r="F108" s="60"/>
      <c r="G108" s="13"/>
      <c r="H108" s="62"/>
    </row>
    <row r="109" spans="2:8">
      <c r="B109" s="12"/>
      <c r="C109" s="13"/>
      <c r="D109" s="13"/>
      <c r="E109" s="58"/>
      <c r="F109" s="60"/>
      <c r="G109" s="13"/>
      <c r="H109" s="62"/>
    </row>
    <row r="110" spans="2:8">
      <c r="B110" s="12"/>
      <c r="C110" s="13"/>
      <c r="D110" s="13"/>
      <c r="E110" s="58"/>
      <c r="F110" s="60"/>
      <c r="G110" s="13"/>
      <c r="H110" s="62"/>
    </row>
    <row r="111" spans="2:8">
      <c r="B111" s="12"/>
      <c r="C111" s="13"/>
      <c r="D111" s="13"/>
      <c r="E111" s="58"/>
      <c r="F111" s="60"/>
      <c r="G111" s="13"/>
      <c r="H111" s="62"/>
    </row>
    <row r="112" spans="2:8">
      <c r="B112" s="53"/>
      <c r="C112" s="54"/>
      <c r="D112" s="54"/>
      <c r="E112" s="58"/>
      <c r="F112" s="60"/>
      <c r="G112" s="54"/>
      <c r="H112" s="62"/>
    </row>
    <row r="113" spans="2:8">
      <c r="B113" s="12"/>
      <c r="C113" s="13"/>
      <c r="D113" s="13"/>
      <c r="E113" s="58"/>
      <c r="F113" s="60"/>
      <c r="G113" s="13"/>
      <c r="H113" s="62"/>
    </row>
    <row r="114" spans="2:8">
      <c r="B114" s="12"/>
      <c r="C114" s="13"/>
      <c r="D114" s="13"/>
      <c r="E114" s="58"/>
      <c r="F114" s="60"/>
      <c r="G114" s="13"/>
      <c r="H114" s="62"/>
    </row>
  </sheetData>
  <mergeCells count="15">
    <mergeCell ref="G64:G65"/>
    <mergeCell ref="H64:H65"/>
    <mergeCell ref="G4:G5"/>
    <mergeCell ref="J54:K54"/>
    <mergeCell ref="A2:E3"/>
    <mergeCell ref="A4:A5"/>
    <mergeCell ref="B4:C4"/>
    <mergeCell ref="D4:D5"/>
    <mergeCell ref="E4:E5"/>
    <mergeCell ref="F4:F5"/>
    <mergeCell ref="B62:F63"/>
    <mergeCell ref="B64:B65"/>
    <mergeCell ref="C64:D64"/>
    <mergeCell ref="E64:E65"/>
    <mergeCell ref="F64:F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L40"/>
  <sheetViews>
    <sheetView topLeftCell="A25" workbookViewId="0">
      <selection activeCell="N30" sqref="N30"/>
    </sheetView>
  </sheetViews>
  <sheetFormatPr defaultRowHeight="15"/>
  <cols>
    <col min="1" max="1" width="8.140625" customWidth="1"/>
    <col min="2" max="2" width="13.7109375" customWidth="1"/>
    <col min="3" max="3" width="13.85546875" customWidth="1"/>
    <col min="4" max="4" width="14.5703125" customWidth="1"/>
    <col min="5" max="5" width="14" customWidth="1"/>
    <col min="6" max="6" width="15.140625" customWidth="1"/>
    <col min="7" max="7" width="13.7109375" customWidth="1"/>
    <col min="11" max="11" width="54.140625" customWidth="1"/>
    <col min="12" max="12" width="19.85546875" customWidth="1"/>
  </cols>
  <sheetData>
    <row r="2" spans="1:12">
      <c r="A2" s="83" t="s">
        <v>31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/>
      <c r="B6" s="69"/>
      <c r="C6" s="69"/>
      <c r="D6" s="71"/>
      <c r="E6" s="70"/>
      <c r="F6" s="69"/>
      <c r="G6" s="72"/>
      <c r="H6" s="55"/>
      <c r="I6" s="6"/>
      <c r="J6" s="12" t="s">
        <v>300</v>
      </c>
      <c r="K6" s="15" t="s">
        <v>301</v>
      </c>
      <c r="L6" s="16">
        <v>12880000</v>
      </c>
    </row>
    <row r="7" spans="1:12">
      <c r="A7" s="53" t="s">
        <v>295</v>
      </c>
      <c r="B7" s="54">
        <v>5700000</v>
      </c>
      <c r="C7" s="54">
        <v>5100000</v>
      </c>
      <c r="D7" s="58">
        <f>B7+C7</f>
        <v>10800000</v>
      </c>
      <c r="E7" s="60">
        <v>2750000</v>
      </c>
      <c r="F7" s="54">
        <f t="shared" ref="F7:F22" si="0">D7-E7</f>
        <v>8050000</v>
      </c>
      <c r="G7" s="62">
        <f t="shared" ref="G7:G12" si="1">C7-E7</f>
        <v>2350000</v>
      </c>
      <c r="H7" s="55"/>
      <c r="I7" s="6"/>
      <c r="J7" s="75" t="s">
        <v>303</v>
      </c>
      <c r="K7" s="68" t="s">
        <v>61</v>
      </c>
      <c r="L7" s="18">
        <v>1000000</v>
      </c>
    </row>
    <row r="8" spans="1:12">
      <c r="A8" s="12" t="s">
        <v>296</v>
      </c>
      <c r="B8" s="13">
        <v>3900000</v>
      </c>
      <c r="C8" s="13">
        <v>4350000</v>
      </c>
      <c r="D8" s="58">
        <f>B8+C8</f>
        <v>8250000</v>
      </c>
      <c r="E8" s="60">
        <v>1615000</v>
      </c>
      <c r="F8" s="13">
        <f t="shared" si="0"/>
        <v>6635000</v>
      </c>
      <c r="G8" s="62">
        <f t="shared" si="1"/>
        <v>2735000</v>
      </c>
      <c r="H8" s="14"/>
      <c r="I8" s="19"/>
      <c r="J8" s="75" t="s">
        <v>304</v>
      </c>
      <c r="K8" s="68" t="s">
        <v>209</v>
      </c>
      <c r="L8" s="18">
        <v>500000</v>
      </c>
    </row>
    <row r="9" spans="1:12">
      <c r="A9" s="12" t="s">
        <v>297</v>
      </c>
      <c r="B9" s="13">
        <v>400000</v>
      </c>
      <c r="C9" s="13">
        <v>300000</v>
      </c>
      <c r="D9" s="58">
        <f>B9+C9</f>
        <v>700000</v>
      </c>
      <c r="E9" s="60">
        <v>880000</v>
      </c>
      <c r="F9" s="13">
        <f t="shared" si="0"/>
        <v>-180000</v>
      </c>
      <c r="G9" s="62">
        <f t="shared" si="1"/>
        <v>-580000</v>
      </c>
      <c r="H9" s="14"/>
      <c r="I9" s="6"/>
      <c r="J9" s="20" t="s">
        <v>306</v>
      </c>
      <c r="K9" s="21" t="s">
        <v>63</v>
      </c>
      <c r="L9" s="18">
        <v>4500000</v>
      </c>
    </row>
    <row r="10" spans="1:12">
      <c r="A10" s="12" t="s">
        <v>298</v>
      </c>
      <c r="B10" s="13">
        <v>3400000</v>
      </c>
      <c r="C10" s="13">
        <v>2000000</v>
      </c>
      <c r="D10" s="58">
        <f>B10+C10</f>
        <v>5400000</v>
      </c>
      <c r="E10" s="60">
        <v>1535000</v>
      </c>
      <c r="F10" s="54">
        <f t="shared" si="0"/>
        <v>3865000</v>
      </c>
      <c r="G10" s="62">
        <f t="shared" si="1"/>
        <v>465000</v>
      </c>
      <c r="H10" s="14"/>
      <c r="I10" s="22"/>
      <c r="J10" s="20" t="s">
        <v>307</v>
      </c>
      <c r="K10" s="50" t="s">
        <v>308</v>
      </c>
      <c r="L10" s="18">
        <v>600000</v>
      </c>
    </row>
    <row r="11" spans="1:12">
      <c r="A11" s="12" t="s">
        <v>299</v>
      </c>
      <c r="B11" s="13">
        <v>3275000</v>
      </c>
      <c r="C11" s="13">
        <v>925000</v>
      </c>
      <c r="D11" s="58">
        <f>B11+C11</f>
        <v>4200000</v>
      </c>
      <c r="E11" s="60">
        <v>2940000</v>
      </c>
      <c r="F11" s="54">
        <f t="shared" si="0"/>
        <v>1260000</v>
      </c>
      <c r="G11" s="62">
        <f t="shared" si="1"/>
        <v>-2015000</v>
      </c>
      <c r="H11" s="14"/>
      <c r="I11" s="22"/>
      <c r="J11" s="12" t="s">
        <v>310</v>
      </c>
      <c r="K11" s="68" t="s">
        <v>311</v>
      </c>
      <c r="L11" s="18">
        <v>1130000</v>
      </c>
    </row>
    <row r="12" spans="1:12">
      <c r="A12" s="12" t="s">
        <v>302</v>
      </c>
      <c r="B12" s="13"/>
      <c r="C12" s="54">
        <v>900000</v>
      </c>
      <c r="D12" s="58">
        <v>900000</v>
      </c>
      <c r="E12" s="60">
        <v>610000</v>
      </c>
      <c r="F12" s="13">
        <f t="shared" si="0"/>
        <v>290000</v>
      </c>
      <c r="G12" s="62">
        <f t="shared" si="1"/>
        <v>290000</v>
      </c>
      <c r="H12" s="14"/>
      <c r="I12" s="6"/>
      <c r="J12" s="12" t="s">
        <v>310</v>
      </c>
      <c r="K12" s="21" t="s">
        <v>47</v>
      </c>
      <c r="L12" s="18">
        <v>1300000</v>
      </c>
    </row>
    <row r="13" spans="1:12">
      <c r="A13" s="12" t="s">
        <v>300</v>
      </c>
      <c r="B13" s="13"/>
      <c r="C13" s="13">
        <v>1450000</v>
      </c>
      <c r="D13" s="58">
        <v>1450000</v>
      </c>
      <c r="E13" s="60">
        <v>1085000</v>
      </c>
      <c r="F13" s="13">
        <f t="shared" si="0"/>
        <v>365000</v>
      </c>
      <c r="G13" s="62">
        <f>C13-E13:E13</f>
        <v>365000</v>
      </c>
      <c r="H13" s="14"/>
      <c r="I13" s="6"/>
      <c r="J13" s="12" t="s">
        <v>314</v>
      </c>
      <c r="K13" s="15" t="s">
        <v>315</v>
      </c>
      <c r="L13" s="18">
        <v>500000</v>
      </c>
    </row>
    <row r="14" spans="1:12">
      <c r="A14" s="53" t="s">
        <v>303</v>
      </c>
      <c r="B14" s="54">
        <v>500000</v>
      </c>
      <c r="C14" s="54">
        <v>200000</v>
      </c>
      <c r="D14" s="58">
        <f>B14+C14</f>
        <v>700000</v>
      </c>
      <c r="E14" s="60">
        <v>1160000</v>
      </c>
      <c r="F14" s="54">
        <f t="shared" si="0"/>
        <v>-460000</v>
      </c>
      <c r="G14" s="62">
        <f t="shared" ref="G14:G22" si="2">C14-E14</f>
        <v>-960000</v>
      </c>
      <c r="H14" s="56"/>
      <c r="I14" s="6"/>
      <c r="J14" s="12" t="s">
        <v>317</v>
      </c>
      <c r="K14" s="25" t="s">
        <v>209</v>
      </c>
      <c r="L14" s="18">
        <v>500000</v>
      </c>
    </row>
    <row r="15" spans="1:12">
      <c r="A15" s="12" t="s">
        <v>304</v>
      </c>
      <c r="B15" s="13"/>
      <c r="C15" s="13"/>
      <c r="D15" s="58"/>
      <c r="E15" s="60">
        <v>885000</v>
      </c>
      <c r="F15" s="13">
        <f t="shared" si="0"/>
        <v>-885000</v>
      </c>
      <c r="G15" s="62">
        <f t="shared" si="2"/>
        <v>-885000</v>
      </c>
      <c r="H15" s="24"/>
      <c r="I15" s="22"/>
      <c r="J15" s="12" t="s">
        <v>319</v>
      </c>
      <c r="K15" s="25" t="s">
        <v>320</v>
      </c>
      <c r="L15" s="18">
        <v>1500000</v>
      </c>
    </row>
    <row r="16" spans="1:12">
      <c r="A16" s="12" t="s">
        <v>305</v>
      </c>
      <c r="B16" s="13">
        <v>2600000</v>
      </c>
      <c r="C16" s="13">
        <v>500000</v>
      </c>
      <c r="D16" s="58">
        <f>B16+C16</f>
        <v>3100000</v>
      </c>
      <c r="E16" s="60">
        <v>1360000</v>
      </c>
      <c r="F16" s="13">
        <f t="shared" si="0"/>
        <v>1740000</v>
      </c>
      <c r="G16" s="62">
        <f t="shared" si="2"/>
        <v>-860000</v>
      </c>
      <c r="H16" s="24"/>
      <c r="I16" s="26"/>
      <c r="J16" s="27" t="s">
        <v>319</v>
      </c>
      <c r="K16" s="51" t="s">
        <v>321</v>
      </c>
      <c r="L16" s="52">
        <v>725000</v>
      </c>
    </row>
    <row r="17" spans="1:12">
      <c r="A17" s="12" t="s">
        <v>306</v>
      </c>
      <c r="B17" s="13">
        <v>1700000</v>
      </c>
      <c r="C17" s="13">
        <v>1100000</v>
      </c>
      <c r="D17" s="58">
        <f>B17+C17</f>
        <v>2800000</v>
      </c>
      <c r="E17" s="60">
        <v>1925000</v>
      </c>
      <c r="F17" s="13">
        <f t="shared" si="0"/>
        <v>875000</v>
      </c>
      <c r="G17" s="62">
        <f t="shared" si="2"/>
        <v>-825000</v>
      </c>
      <c r="H17" s="24"/>
      <c r="I17" s="26"/>
      <c r="J17" s="12" t="s">
        <v>319</v>
      </c>
      <c r="K17" s="25" t="s">
        <v>322</v>
      </c>
      <c r="L17" s="18">
        <v>1375000</v>
      </c>
    </row>
    <row r="18" spans="1:12">
      <c r="A18" s="12" t="s">
        <v>307</v>
      </c>
      <c r="B18" s="13">
        <v>2925000</v>
      </c>
      <c r="C18" s="13">
        <v>6150000</v>
      </c>
      <c r="D18" s="58">
        <f>B18+C18</f>
        <v>9075000</v>
      </c>
      <c r="E18" s="60">
        <v>1890000</v>
      </c>
      <c r="F18" s="13">
        <f t="shared" si="0"/>
        <v>7185000</v>
      </c>
      <c r="G18" s="62">
        <f>C18-E18</f>
        <v>4260000</v>
      </c>
      <c r="H18" s="24"/>
      <c r="I18" s="29"/>
      <c r="J18" s="12" t="s">
        <v>323</v>
      </c>
      <c r="K18" s="23" t="s">
        <v>324</v>
      </c>
      <c r="L18" s="18">
        <v>9200000</v>
      </c>
    </row>
    <row r="19" spans="1:12">
      <c r="A19" s="12" t="s">
        <v>309</v>
      </c>
      <c r="B19" s="13"/>
      <c r="C19" s="13">
        <v>2250000</v>
      </c>
      <c r="D19" s="58">
        <v>2250000</v>
      </c>
      <c r="E19" s="60">
        <v>605000</v>
      </c>
      <c r="F19" s="13">
        <f t="shared" si="0"/>
        <v>1645000</v>
      </c>
      <c r="G19" s="62">
        <f t="shared" si="2"/>
        <v>1645000</v>
      </c>
      <c r="H19" s="24"/>
      <c r="I19" s="29"/>
      <c r="J19" s="27" t="s">
        <v>323</v>
      </c>
      <c r="K19" s="30" t="s">
        <v>325</v>
      </c>
      <c r="L19" s="18">
        <v>35000000</v>
      </c>
    </row>
    <row r="20" spans="1:12">
      <c r="A20" s="12" t="s">
        <v>310</v>
      </c>
      <c r="B20" s="13">
        <v>4500000</v>
      </c>
      <c r="C20" s="13">
        <v>160000</v>
      </c>
      <c r="D20" s="58">
        <f>B20+C20</f>
        <v>4660000</v>
      </c>
      <c r="E20" s="60">
        <v>940000</v>
      </c>
      <c r="F20" s="13">
        <f t="shared" si="0"/>
        <v>3720000</v>
      </c>
      <c r="G20" s="62">
        <f t="shared" si="2"/>
        <v>-780000</v>
      </c>
      <c r="H20" s="24"/>
      <c r="I20" s="31"/>
      <c r="J20" s="32" t="s">
        <v>327</v>
      </c>
      <c r="K20" s="23" t="s">
        <v>325</v>
      </c>
      <c r="L20" s="18">
        <v>30000000</v>
      </c>
    </row>
    <row r="21" spans="1:12">
      <c r="A21" s="12" t="s">
        <v>312</v>
      </c>
      <c r="B21" s="54">
        <v>9450000</v>
      </c>
      <c r="C21" s="54">
        <v>1130000</v>
      </c>
      <c r="D21" s="58">
        <f>B21+C21</f>
        <v>10580000</v>
      </c>
      <c r="E21" s="60">
        <v>1160000</v>
      </c>
      <c r="F21" s="54">
        <f t="shared" si="0"/>
        <v>9420000</v>
      </c>
      <c r="G21" s="62">
        <f t="shared" si="2"/>
        <v>-30000</v>
      </c>
      <c r="H21" s="55"/>
      <c r="I21" s="29"/>
      <c r="J21" s="27" t="s">
        <v>327</v>
      </c>
      <c r="K21" s="30" t="s">
        <v>325</v>
      </c>
      <c r="L21" s="18">
        <v>5000000</v>
      </c>
    </row>
    <row r="22" spans="1:12">
      <c r="A22" s="12" t="s">
        <v>313</v>
      </c>
      <c r="B22" s="13">
        <v>4800000</v>
      </c>
      <c r="C22" s="13">
        <v>150000</v>
      </c>
      <c r="D22" s="58">
        <f>B22+C22</f>
        <v>4950000</v>
      </c>
      <c r="E22" s="60">
        <v>1100000</v>
      </c>
      <c r="F22" s="13">
        <f t="shared" si="0"/>
        <v>3850000</v>
      </c>
      <c r="G22" s="62">
        <f t="shared" si="2"/>
        <v>-950000</v>
      </c>
      <c r="H22" s="14"/>
      <c r="I22" s="29"/>
      <c r="J22" s="27" t="s">
        <v>330</v>
      </c>
      <c r="K22" s="30" t="s">
        <v>331</v>
      </c>
      <c r="L22" s="18">
        <v>1000000</v>
      </c>
    </row>
    <row r="23" spans="1:12">
      <c r="A23" s="48" t="s">
        <v>314</v>
      </c>
      <c r="B23" s="73"/>
      <c r="C23" s="73"/>
      <c r="D23" s="73"/>
      <c r="E23" s="73"/>
      <c r="F23" s="73"/>
      <c r="G23" s="73"/>
      <c r="H23" s="14"/>
      <c r="I23" s="31"/>
      <c r="J23" s="27" t="s">
        <v>332</v>
      </c>
      <c r="K23" s="30" t="s">
        <v>333</v>
      </c>
      <c r="L23" s="18">
        <v>1500000</v>
      </c>
    </row>
    <row r="24" spans="1:12">
      <c r="A24" s="12" t="s">
        <v>316</v>
      </c>
      <c r="B24" s="13">
        <v>8850000</v>
      </c>
      <c r="C24" s="13"/>
      <c r="D24" s="58">
        <v>8850000</v>
      </c>
      <c r="E24" s="60">
        <v>1610000</v>
      </c>
      <c r="F24" s="13">
        <f t="shared" ref="F24:F32" si="3">D24-E24</f>
        <v>7240000</v>
      </c>
      <c r="G24" s="62">
        <f t="shared" ref="G24:G30" si="4">C24-E24</f>
        <v>-1610000</v>
      </c>
      <c r="H24" s="14"/>
      <c r="I24" s="29"/>
      <c r="J24" s="27" t="s">
        <v>335</v>
      </c>
      <c r="K24" s="30" t="s">
        <v>209</v>
      </c>
      <c r="L24" s="18">
        <v>500000</v>
      </c>
    </row>
    <row r="25" spans="1:12">
      <c r="A25" s="12" t="s">
        <v>317</v>
      </c>
      <c r="B25" s="13">
        <v>1000000</v>
      </c>
      <c r="C25" s="13">
        <v>100000</v>
      </c>
      <c r="D25" s="58">
        <f>B25+C25</f>
        <v>1100000</v>
      </c>
      <c r="E25" s="60">
        <v>1940000</v>
      </c>
      <c r="F25" s="13">
        <f t="shared" si="3"/>
        <v>-840000</v>
      </c>
      <c r="G25" s="62">
        <f t="shared" si="4"/>
        <v>-1840000</v>
      </c>
      <c r="H25" s="34"/>
      <c r="I25" s="29"/>
      <c r="J25" s="27" t="s">
        <v>335</v>
      </c>
      <c r="K25" s="30" t="s">
        <v>340</v>
      </c>
      <c r="L25" s="18">
        <v>1400000</v>
      </c>
    </row>
    <row r="26" spans="1:12">
      <c r="A26" s="12" t="s">
        <v>318</v>
      </c>
      <c r="B26" s="13"/>
      <c r="C26" s="13"/>
      <c r="D26" s="58"/>
      <c r="E26" s="60">
        <v>670000</v>
      </c>
      <c r="F26" s="13">
        <f t="shared" si="3"/>
        <v>-670000</v>
      </c>
      <c r="G26" s="62">
        <f t="shared" si="4"/>
        <v>-670000</v>
      </c>
      <c r="H26" s="14"/>
      <c r="I26" s="29"/>
      <c r="J26" s="27" t="s">
        <v>336</v>
      </c>
      <c r="K26" s="30" t="s">
        <v>337</v>
      </c>
      <c r="L26" s="18">
        <v>6500000</v>
      </c>
    </row>
    <row r="27" spans="1:12">
      <c r="A27" s="12" t="s">
        <v>319</v>
      </c>
      <c r="B27" s="13">
        <v>2850000</v>
      </c>
      <c r="C27" s="13">
        <v>200000</v>
      </c>
      <c r="D27" s="58">
        <f>B27+C27</f>
        <v>3050000</v>
      </c>
      <c r="E27" s="60">
        <v>1560000</v>
      </c>
      <c r="F27" s="13">
        <f t="shared" si="3"/>
        <v>1490000</v>
      </c>
      <c r="G27" s="62">
        <f t="shared" si="4"/>
        <v>-1360000</v>
      </c>
      <c r="H27" s="14"/>
      <c r="I27" s="29"/>
      <c r="J27" s="27" t="s">
        <v>336</v>
      </c>
      <c r="K27" s="30" t="s">
        <v>338</v>
      </c>
      <c r="L27" s="18">
        <v>30000000</v>
      </c>
    </row>
    <row r="28" spans="1:12">
      <c r="A28" s="53" t="s">
        <v>323</v>
      </c>
      <c r="B28" s="54">
        <v>400000</v>
      </c>
      <c r="C28" s="54">
        <v>9000000</v>
      </c>
      <c r="D28" s="58">
        <f>B28+C28</f>
        <v>9400000</v>
      </c>
      <c r="E28" s="60">
        <v>2040000</v>
      </c>
      <c r="F28" s="54">
        <f t="shared" si="3"/>
        <v>7360000</v>
      </c>
      <c r="G28" s="62">
        <f t="shared" si="4"/>
        <v>6960000</v>
      </c>
      <c r="H28" s="55"/>
      <c r="I28" s="29"/>
      <c r="J28" s="27" t="s">
        <v>336</v>
      </c>
      <c r="K28" s="30" t="s">
        <v>184</v>
      </c>
      <c r="L28" s="18">
        <v>7870000</v>
      </c>
    </row>
    <row r="29" spans="1:12">
      <c r="A29" s="12" t="s">
        <v>326</v>
      </c>
      <c r="B29" s="13">
        <v>4400000</v>
      </c>
      <c r="C29" s="13">
        <v>50000</v>
      </c>
      <c r="D29" s="58">
        <f>B29+C29</f>
        <v>4450000</v>
      </c>
      <c r="E29" s="60">
        <v>1505000</v>
      </c>
      <c r="F29" s="13">
        <f t="shared" si="3"/>
        <v>2945000</v>
      </c>
      <c r="G29" s="62">
        <f t="shared" si="4"/>
        <v>-1455000</v>
      </c>
      <c r="H29" s="14"/>
      <c r="I29" s="29"/>
      <c r="J29" s="27" t="s">
        <v>336</v>
      </c>
      <c r="K29" s="30" t="s">
        <v>339</v>
      </c>
      <c r="L29" s="18">
        <v>8000000</v>
      </c>
    </row>
    <row r="30" spans="1:12">
      <c r="A30" s="12" t="s">
        <v>327</v>
      </c>
      <c r="B30" s="13"/>
      <c r="C30" s="13">
        <v>1800000</v>
      </c>
      <c r="D30" s="58">
        <v>1800000</v>
      </c>
      <c r="E30" s="60">
        <v>1215000</v>
      </c>
      <c r="F30" s="13">
        <f t="shared" si="3"/>
        <v>585000</v>
      </c>
      <c r="G30" s="62">
        <f t="shared" si="4"/>
        <v>585000</v>
      </c>
      <c r="H30" s="14"/>
      <c r="I30" s="29"/>
      <c r="J30" s="35"/>
      <c r="K30" s="23"/>
      <c r="L30" s="77"/>
    </row>
    <row r="31" spans="1:12">
      <c r="A31" s="12" t="s">
        <v>328</v>
      </c>
      <c r="B31" s="13">
        <v>9680000</v>
      </c>
      <c r="C31" s="13">
        <v>1200000</v>
      </c>
      <c r="D31" s="58">
        <f>B31+C31</f>
        <v>10880000</v>
      </c>
      <c r="E31" s="60">
        <v>895000</v>
      </c>
      <c r="F31" s="13">
        <f t="shared" si="3"/>
        <v>9985000</v>
      </c>
      <c r="G31" s="62">
        <f t="shared" ref="G31:G36" si="5">C31-E31</f>
        <v>305000</v>
      </c>
      <c r="H31" s="14"/>
      <c r="I31" s="29"/>
      <c r="J31" s="23"/>
      <c r="K31" s="23"/>
      <c r="L31" s="78">
        <f>SUM(L6:L30)</f>
        <v>162480000</v>
      </c>
    </row>
    <row r="32" spans="1:12" ht="15.75">
      <c r="A32" s="12" t="s">
        <v>329</v>
      </c>
      <c r="B32" s="13">
        <v>3550000</v>
      </c>
      <c r="C32" s="13">
        <v>7030000</v>
      </c>
      <c r="D32" s="58">
        <f>B32+C32</f>
        <v>10580000</v>
      </c>
      <c r="E32" s="60">
        <v>1655000</v>
      </c>
      <c r="F32" s="13">
        <f t="shared" si="3"/>
        <v>8925000</v>
      </c>
      <c r="G32" s="62">
        <f t="shared" si="5"/>
        <v>5375000</v>
      </c>
      <c r="H32" s="14"/>
      <c r="I32" s="29"/>
      <c r="J32" s="36" t="s">
        <v>14</v>
      </c>
      <c r="K32" s="37" t="s">
        <v>15</v>
      </c>
      <c r="L32" s="64">
        <f>B39+C39</f>
        <v>146900000</v>
      </c>
    </row>
    <row r="33" spans="1:12" ht="15.75">
      <c r="A33" s="12" t="s">
        <v>330</v>
      </c>
      <c r="B33" s="13"/>
      <c r="C33" s="13">
        <v>4750000</v>
      </c>
      <c r="D33" s="58">
        <v>4750000</v>
      </c>
      <c r="E33" s="60">
        <v>590000</v>
      </c>
      <c r="F33" s="13">
        <f>D33-E33</f>
        <v>4160000</v>
      </c>
      <c r="G33" s="62">
        <f t="shared" si="5"/>
        <v>4160000</v>
      </c>
      <c r="H33" s="14"/>
      <c r="I33" s="39"/>
      <c r="J33" s="40"/>
      <c r="K33" s="41" t="s">
        <v>16</v>
      </c>
      <c r="L33" s="65">
        <v>42250000</v>
      </c>
    </row>
    <row r="34" spans="1:12" ht="15.75">
      <c r="A34" s="12" t="s">
        <v>332</v>
      </c>
      <c r="B34" s="13">
        <v>5100000</v>
      </c>
      <c r="C34" s="13">
        <v>675000</v>
      </c>
      <c r="D34" s="58">
        <f>B34+C34</f>
        <v>5775000</v>
      </c>
      <c r="E34" s="60">
        <v>1060000</v>
      </c>
      <c r="F34" s="13">
        <f>D34-E34</f>
        <v>4715000</v>
      </c>
      <c r="G34" s="62">
        <f t="shared" si="5"/>
        <v>-385000</v>
      </c>
      <c r="H34" s="14"/>
      <c r="I34" s="29"/>
      <c r="J34" s="40"/>
      <c r="K34" s="41" t="s">
        <v>17</v>
      </c>
      <c r="L34" s="65">
        <v>162480000</v>
      </c>
    </row>
    <row r="35" spans="1:12" ht="15.75">
      <c r="A35" s="53" t="s">
        <v>334</v>
      </c>
      <c r="B35" s="54">
        <v>1900000</v>
      </c>
      <c r="C35" s="54">
        <v>2550000</v>
      </c>
      <c r="D35" s="58">
        <f>B35+C35</f>
        <v>4450000</v>
      </c>
      <c r="E35" s="60">
        <v>2015000</v>
      </c>
      <c r="F35" s="54">
        <f>D35-E35</f>
        <v>2435000</v>
      </c>
      <c r="G35" s="62">
        <f t="shared" si="5"/>
        <v>535000</v>
      </c>
      <c r="H35" s="55"/>
      <c r="I35" s="29"/>
      <c r="J35" s="40"/>
      <c r="K35" s="41" t="s">
        <v>18</v>
      </c>
      <c r="L35" s="42">
        <f>L33+L34</f>
        <v>204730000</v>
      </c>
    </row>
    <row r="36" spans="1:12" ht="15.75">
      <c r="A36" s="12" t="s">
        <v>335</v>
      </c>
      <c r="B36" s="13">
        <v>4100000</v>
      </c>
      <c r="C36" s="13"/>
      <c r="D36" s="58">
        <f>B36+C36</f>
        <v>4100000</v>
      </c>
      <c r="E36" s="60">
        <v>1135000</v>
      </c>
      <c r="F36" s="13">
        <f>D36-E36</f>
        <v>2965000</v>
      </c>
      <c r="G36" s="62">
        <f t="shared" si="5"/>
        <v>-1135000</v>
      </c>
      <c r="H36" s="14"/>
      <c r="I36" s="29"/>
      <c r="J36" s="40"/>
      <c r="K36" s="44"/>
      <c r="L36" s="38"/>
    </row>
    <row r="37" spans="1:12" ht="18">
      <c r="A37" s="12" t="s">
        <v>336</v>
      </c>
      <c r="B37" s="13">
        <v>7300000</v>
      </c>
      <c r="C37" s="13">
        <v>600000</v>
      </c>
      <c r="D37" s="58">
        <f>B37+C37</f>
        <v>7900000</v>
      </c>
      <c r="E37" s="60">
        <v>1920000</v>
      </c>
      <c r="F37" s="13">
        <f>D37-E37</f>
        <v>5980000</v>
      </c>
      <c r="G37" s="62">
        <f>C37-E37</f>
        <v>-1320000</v>
      </c>
      <c r="H37" s="14"/>
      <c r="I37" s="29"/>
      <c r="J37" s="82" t="s">
        <v>32</v>
      </c>
      <c r="K37" s="82"/>
      <c r="L37" s="45">
        <f>L32-L35</f>
        <v>-57830000</v>
      </c>
    </row>
    <row r="38" spans="1:12">
      <c r="A38" s="12"/>
      <c r="B38" s="13"/>
      <c r="C38" s="13"/>
      <c r="D38" s="58"/>
      <c r="E38" s="60"/>
      <c r="F38" s="13"/>
      <c r="G38" s="62"/>
      <c r="H38" s="14"/>
      <c r="I38" s="1"/>
      <c r="J38" s="29"/>
      <c r="K38" s="29"/>
      <c r="L38" s="1"/>
    </row>
    <row r="39" spans="1:12">
      <c r="A39" s="12"/>
      <c r="B39" s="46">
        <f t="shared" ref="B39:G39" si="6">SUM(B7:B38)</f>
        <v>92280000</v>
      </c>
      <c r="C39" s="46">
        <f t="shared" si="6"/>
        <v>54620000</v>
      </c>
      <c r="D39" s="59">
        <f t="shared" si="6"/>
        <v>146900000</v>
      </c>
      <c r="E39" s="61">
        <f t="shared" si="6"/>
        <v>42250000</v>
      </c>
      <c r="F39" s="57">
        <f t="shared" si="6"/>
        <v>104650000</v>
      </c>
      <c r="G39" s="63">
        <f t="shared" si="6"/>
        <v>12370000</v>
      </c>
      <c r="H39" s="29"/>
      <c r="I39" s="1"/>
      <c r="J39" s="1"/>
      <c r="K39" s="1"/>
      <c r="L39" s="1"/>
    </row>
    <row r="40" spans="1:12">
      <c r="A40" s="1"/>
      <c r="B40" s="1"/>
      <c r="C40" s="1"/>
      <c r="D40" s="47"/>
      <c r="E40" s="1"/>
      <c r="F40" s="1"/>
      <c r="G40" s="1"/>
      <c r="H40" s="29"/>
      <c r="I40" s="1"/>
      <c r="J40" s="1"/>
      <c r="K40" s="1"/>
      <c r="L40" s="1"/>
    </row>
  </sheetData>
  <mergeCells count="8">
    <mergeCell ref="G4:G5"/>
    <mergeCell ref="J37:K37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L50"/>
  <sheetViews>
    <sheetView topLeftCell="C28" workbookViewId="0">
      <selection activeCell="L44" sqref="L44"/>
    </sheetView>
  </sheetViews>
  <sheetFormatPr defaultRowHeight="15"/>
  <cols>
    <col min="1" max="1" width="7" bestFit="1" customWidth="1"/>
    <col min="2" max="2" width="15.7109375" customWidth="1"/>
    <col min="3" max="3" width="14.5703125" customWidth="1"/>
    <col min="4" max="4" width="14.7109375" customWidth="1"/>
    <col min="5" max="5" width="15.5703125" customWidth="1"/>
    <col min="6" max="6" width="15.7109375" customWidth="1"/>
    <col min="7" max="7" width="14.5703125" customWidth="1"/>
    <col min="11" max="11" width="53.85546875" customWidth="1"/>
    <col min="12" max="12" width="18.28515625" customWidth="1"/>
  </cols>
  <sheetData>
    <row r="2" spans="1:12">
      <c r="A2" s="83" t="s">
        <v>33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/>
      <c r="B6" s="69"/>
      <c r="C6" s="69"/>
      <c r="D6" s="71"/>
      <c r="E6" s="70"/>
      <c r="F6" s="69"/>
      <c r="G6" s="72"/>
      <c r="H6" s="55"/>
      <c r="I6" s="6"/>
      <c r="J6" s="12"/>
      <c r="K6" s="15"/>
      <c r="L6" s="16"/>
    </row>
    <row r="7" spans="1:12">
      <c r="A7" s="53">
        <v>45170</v>
      </c>
      <c r="B7" s="54">
        <v>900000</v>
      </c>
      <c r="C7" s="54">
        <v>2150000</v>
      </c>
      <c r="D7" s="58">
        <f t="shared" ref="D7:D15" si="0">B7+C7</f>
        <v>3050000</v>
      </c>
      <c r="E7" s="60">
        <v>4315000</v>
      </c>
      <c r="F7" s="54">
        <f t="shared" ref="F7:F15" si="1">D7-E7</f>
        <v>-1265000</v>
      </c>
      <c r="G7" s="62">
        <f t="shared" ref="G7:G16" si="2">C7-E7</f>
        <v>-2165000</v>
      </c>
      <c r="H7" s="55"/>
      <c r="I7" s="6"/>
      <c r="J7" s="17">
        <v>45173</v>
      </c>
      <c r="K7" s="68" t="s">
        <v>341</v>
      </c>
      <c r="L7" s="18">
        <v>750000</v>
      </c>
    </row>
    <row r="8" spans="1:12">
      <c r="A8" s="12">
        <v>45171</v>
      </c>
      <c r="B8" s="13">
        <v>7505000</v>
      </c>
      <c r="C8" s="13">
        <v>7100000</v>
      </c>
      <c r="D8" s="58">
        <f t="shared" si="0"/>
        <v>14605000</v>
      </c>
      <c r="E8" s="60">
        <v>2165000</v>
      </c>
      <c r="F8" s="13">
        <f t="shared" si="1"/>
        <v>12440000</v>
      </c>
      <c r="G8" s="62">
        <f t="shared" si="2"/>
        <v>4935000</v>
      </c>
      <c r="H8" s="14"/>
      <c r="I8" s="19"/>
      <c r="J8" s="17">
        <v>45173</v>
      </c>
      <c r="K8" s="68" t="s">
        <v>342</v>
      </c>
      <c r="L8" s="18">
        <v>200000</v>
      </c>
    </row>
    <row r="9" spans="1:12">
      <c r="A9" s="12">
        <v>45172</v>
      </c>
      <c r="B9" s="13">
        <v>11700000</v>
      </c>
      <c r="C9" s="13">
        <v>3700000</v>
      </c>
      <c r="D9" s="58">
        <f t="shared" si="0"/>
        <v>15400000</v>
      </c>
      <c r="E9" s="60">
        <v>700000</v>
      </c>
      <c r="F9" s="13">
        <f t="shared" si="1"/>
        <v>14700000</v>
      </c>
      <c r="G9" s="62">
        <f t="shared" si="2"/>
        <v>3000000</v>
      </c>
      <c r="H9" s="14"/>
      <c r="I9" s="6"/>
      <c r="J9" s="20">
        <v>45173</v>
      </c>
      <c r="K9" s="21" t="s">
        <v>343</v>
      </c>
      <c r="L9" s="18">
        <v>1000000</v>
      </c>
    </row>
    <row r="10" spans="1:12">
      <c r="A10" s="12">
        <v>45173</v>
      </c>
      <c r="B10" s="13">
        <v>8000000</v>
      </c>
      <c r="C10" s="13">
        <v>1100000</v>
      </c>
      <c r="D10" s="58">
        <f t="shared" si="0"/>
        <v>9100000</v>
      </c>
      <c r="E10" s="60">
        <v>2440000</v>
      </c>
      <c r="F10" s="54">
        <f t="shared" si="1"/>
        <v>6660000</v>
      </c>
      <c r="G10" s="62">
        <f t="shared" si="2"/>
        <v>-1340000</v>
      </c>
      <c r="H10" s="14"/>
      <c r="I10" s="22"/>
      <c r="J10" s="20">
        <v>45176</v>
      </c>
      <c r="K10" s="50" t="s">
        <v>61</v>
      </c>
      <c r="L10" s="18">
        <v>1000000</v>
      </c>
    </row>
    <row r="11" spans="1:12">
      <c r="A11" s="12">
        <v>45174</v>
      </c>
      <c r="B11" s="13">
        <v>16100000</v>
      </c>
      <c r="C11" s="13">
        <v>1025000</v>
      </c>
      <c r="D11" s="58">
        <f t="shared" si="0"/>
        <v>17125000</v>
      </c>
      <c r="E11" s="60">
        <v>1735000</v>
      </c>
      <c r="F11" s="54">
        <f t="shared" si="1"/>
        <v>15390000</v>
      </c>
      <c r="G11" s="62">
        <f t="shared" si="2"/>
        <v>-710000</v>
      </c>
      <c r="H11" s="14"/>
      <c r="I11" s="22"/>
      <c r="J11" s="12">
        <v>45177</v>
      </c>
      <c r="K11" s="68" t="s">
        <v>344</v>
      </c>
      <c r="L11" s="18">
        <v>300000</v>
      </c>
    </row>
    <row r="12" spans="1:12">
      <c r="A12" s="12">
        <v>45175</v>
      </c>
      <c r="B12" s="13">
        <v>2500000</v>
      </c>
      <c r="C12" s="54">
        <v>2150000</v>
      </c>
      <c r="D12" s="58">
        <f t="shared" si="0"/>
        <v>4650000</v>
      </c>
      <c r="E12" s="60">
        <v>1665000</v>
      </c>
      <c r="F12" s="13">
        <f t="shared" si="1"/>
        <v>2985000</v>
      </c>
      <c r="G12" s="62">
        <f t="shared" si="2"/>
        <v>485000</v>
      </c>
      <c r="H12" s="14"/>
      <c r="I12" s="6"/>
      <c r="J12" s="12">
        <v>45177</v>
      </c>
      <c r="K12" s="21" t="s">
        <v>345</v>
      </c>
      <c r="L12" s="18">
        <v>10655000</v>
      </c>
    </row>
    <row r="13" spans="1:12">
      <c r="A13" s="12">
        <v>45176</v>
      </c>
      <c r="B13" s="13">
        <v>2475000</v>
      </c>
      <c r="C13" s="13">
        <v>900000</v>
      </c>
      <c r="D13" s="58">
        <f t="shared" si="0"/>
        <v>3375000</v>
      </c>
      <c r="E13" s="60">
        <v>1510000</v>
      </c>
      <c r="F13" s="13">
        <f t="shared" si="1"/>
        <v>1865000</v>
      </c>
      <c r="G13" s="62">
        <f t="shared" si="2"/>
        <v>-610000</v>
      </c>
      <c r="H13" s="14"/>
      <c r="I13" s="6"/>
      <c r="J13" s="12">
        <v>45178</v>
      </c>
      <c r="K13" s="15" t="s">
        <v>346</v>
      </c>
      <c r="L13" s="18">
        <v>700000</v>
      </c>
    </row>
    <row r="14" spans="1:12">
      <c r="A14" s="53">
        <v>45177</v>
      </c>
      <c r="B14" s="54">
        <v>1200000</v>
      </c>
      <c r="C14" s="54">
        <v>200000</v>
      </c>
      <c r="D14" s="58">
        <f t="shared" si="0"/>
        <v>1400000</v>
      </c>
      <c r="E14" s="60">
        <v>1315000</v>
      </c>
      <c r="F14" s="54">
        <f t="shared" si="1"/>
        <v>85000</v>
      </c>
      <c r="G14" s="62">
        <f t="shared" si="2"/>
        <v>-1115000</v>
      </c>
      <c r="H14" s="56"/>
      <c r="I14" s="6"/>
      <c r="J14" s="12">
        <v>45178</v>
      </c>
      <c r="K14" s="25" t="s">
        <v>209</v>
      </c>
      <c r="L14" s="18">
        <v>500000</v>
      </c>
    </row>
    <row r="15" spans="1:12">
      <c r="A15" s="12">
        <v>45178</v>
      </c>
      <c r="B15" s="13">
        <v>17250000</v>
      </c>
      <c r="C15" s="13">
        <v>2620000</v>
      </c>
      <c r="D15" s="58">
        <f t="shared" si="0"/>
        <v>19870000</v>
      </c>
      <c r="E15" s="60">
        <v>1515000</v>
      </c>
      <c r="F15" s="13">
        <f t="shared" si="1"/>
        <v>18355000</v>
      </c>
      <c r="G15" s="62">
        <f t="shared" si="2"/>
        <v>1105000</v>
      </c>
      <c r="H15" s="24"/>
      <c r="I15" s="22"/>
      <c r="J15" s="12">
        <v>45179</v>
      </c>
      <c r="K15" s="25" t="s">
        <v>348</v>
      </c>
      <c r="L15" s="18">
        <v>1750000</v>
      </c>
    </row>
    <row r="16" spans="1:12">
      <c r="A16" s="12">
        <v>45179</v>
      </c>
      <c r="B16" s="13"/>
      <c r="C16" s="13">
        <v>1150000</v>
      </c>
      <c r="D16" s="58">
        <v>1150000</v>
      </c>
      <c r="E16" s="60">
        <v>1005000</v>
      </c>
      <c r="F16" s="13">
        <f>D16-E16</f>
        <v>145000</v>
      </c>
      <c r="G16" s="62">
        <f t="shared" si="2"/>
        <v>145000</v>
      </c>
      <c r="H16" s="24"/>
      <c r="I16" s="26"/>
      <c r="J16" s="27">
        <v>45179</v>
      </c>
      <c r="K16" s="51" t="s">
        <v>347</v>
      </c>
      <c r="L16" s="52">
        <v>1000000</v>
      </c>
    </row>
    <row r="17" spans="1:12">
      <c r="A17" s="12">
        <v>45180</v>
      </c>
      <c r="B17" s="13">
        <v>8875000</v>
      </c>
      <c r="C17" s="13">
        <v>2125000</v>
      </c>
      <c r="D17" s="58">
        <f>B17+C17</f>
        <v>11000000</v>
      </c>
      <c r="E17" s="60">
        <v>1310000</v>
      </c>
      <c r="F17" s="13">
        <f>D17-E17</f>
        <v>9690000</v>
      </c>
      <c r="G17" s="62">
        <f t="shared" ref="G17:G22" si="3">C17-E17</f>
        <v>815000</v>
      </c>
      <c r="H17" s="24"/>
      <c r="I17" s="26"/>
      <c r="J17" s="12">
        <v>45180</v>
      </c>
      <c r="K17" s="25" t="s">
        <v>349</v>
      </c>
      <c r="L17" s="18">
        <v>5500000</v>
      </c>
    </row>
    <row r="18" spans="1:12">
      <c r="A18" s="12">
        <v>45181</v>
      </c>
      <c r="B18" s="13">
        <v>3150000</v>
      </c>
      <c r="C18" s="13">
        <v>1750000</v>
      </c>
      <c r="D18" s="58">
        <f>B18+C18</f>
        <v>4900000</v>
      </c>
      <c r="E18" s="60">
        <v>1410000</v>
      </c>
      <c r="F18" s="13">
        <f>D18-E18</f>
        <v>3490000</v>
      </c>
      <c r="G18" s="62">
        <f t="shared" si="3"/>
        <v>340000</v>
      </c>
      <c r="H18" s="24"/>
      <c r="I18" s="29"/>
      <c r="J18" s="12">
        <v>45181</v>
      </c>
      <c r="K18" s="23" t="s">
        <v>350</v>
      </c>
      <c r="L18" s="18">
        <v>2000000</v>
      </c>
    </row>
    <row r="19" spans="1:12">
      <c r="A19" s="12">
        <v>45182</v>
      </c>
      <c r="B19" s="13">
        <v>1000000</v>
      </c>
      <c r="C19" s="13">
        <v>7190000</v>
      </c>
      <c r="D19" s="58">
        <f>B19+C19</f>
        <v>8190000</v>
      </c>
      <c r="E19" s="60">
        <v>2355000</v>
      </c>
      <c r="F19" s="13">
        <f>D19-E19</f>
        <v>5835000</v>
      </c>
      <c r="G19" s="62">
        <f t="shared" si="3"/>
        <v>4835000</v>
      </c>
      <c r="H19" s="24"/>
      <c r="I19" s="29"/>
      <c r="J19" s="27">
        <v>45183</v>
      </c>
      <c r="K19" s="30" t="s">
        <v>47</v>
      </c>
      <c r="L19" s="18">
        <v>1300000</v>
      </c>
    </row>
    <row r="20" spans="1:12">
      <c r="A20" s="12">
        <v>45183</v>
      </c>
      <c r="B20" s="13">
        <v>750000</v>
      </c>
      <c r="C20" s="13">
        <v>4675000</v>
      </c>
      <c r="D20" s="58">
        <f>B20+C20</f>
        <v>5425000</v>
      </c>
      <c r="E20" s="60">
        <v>1550000</v>
      </c>
      <c r="F20" s="13">
        <f>D20-E20</f>
        <v>3875000</v>
      </c>
      <c r="G20" s="62">
        <f t="shared" si="3"/>
        <v>3125000</v>
      </c>
      <c r="H20" s="24"/>
      <c r="I20" s="31"/>
      <c r="J20" s="32">
        <v>45185</v>
      </c>
      <c r="K20" s="23" t="s">
        <v>351</v>
      </c>
      <c r="L20" s="18">
        <v>1000000</v>
      </c>
    </row>
    <row r="21" spans="1:12">
      <c r="A21" s="53">
        <v>45184</v>
      </c>
      <c r="B21" s="54"/>
      <c r="C21" s="54">
        <v>7000000</v>
      </c>
      <c r="D21" s="58">
        <v>7000000</v>
      </c>
      <c r="E21" s="60">
        <v>1980000</v>
      </c>
      <c r="F21" s="54">
        <f>C21-E21</f>
        <v>5020000</v>
      </c>
      <c r="G21" s="62">
        <f t="shared" si="3"/>
        <v>5020000</v>
      </c>
      <c r="H21" s="55"/>
      <c r="I21" s="29"/>
      <c r="J21" s="27">
        <v>45186</v>
      </c>
      <c r="K21" s="30" t="s">
        <v>352</v>
      </c>
      <c r="L21" s="18">
        <v>1125000</v>
      </c>
    </row>
    <row r="22" spans="1:12">
      <c r="A22" s="12">
        <v>45185</v>
      </c>
      <c r="B22" s="13">
        <v>3550000</v>
      </c>
      <c r="C22" s="13">
        <v>200000</v>
      </c>
      <c r="D22" s="58">
        <f>B22+C22</f>
        <v>3750000</v>
      </c>
      <c r="E22" s="60">
        <v>3190000</v>
      </c>
      <c r="F22" s="13">
        <f>C22-E22</f>
        <v>-2990000</v>
      </c>
      <c r="G22" s="62">
        <f t="shared" si="3"/>
        <v>-2990000</v>
      </c>
      <c r="H22" s="14"/>
      <c r="I22" s="29"/>
      <c r="J22" s="27">
        <v>45186</v>
      </c>
      <c r="K22" s="30" t="s">
        <v>353</v>
      </c>
      <c r="L22" s="18">
        <v>455000</v>
      </c>
    </row>
    <row r="23" spans="1:12">
      <c r="A23" s="48">
        <v>45186</v>
      </c>
      <c r="B23" s="73"/>
      <c r="C23" s="73"/>
      <c r="D23" s="73"/>
      <c r="E23" s="73"/>
      <c r="F23" s="73"/>
      <c r="G23" s="73"/>
      <c r="H23" s="14"/>
      <c r="I23" s="31"/>
      <c r="J23" s="27">
        <v>45189</v>
      </c>
      <c r="K23" s="30" t="s">
        <v>209</v>
      </c>
      <c r="L23" s="18">
        <v>500000</v>
      </c>
    </row>
    <row r="24" spans="1:12">
      <c r="A24" s="12">
        <v>45187</v>
      </c>
      <c r="B24" s="13">
        <v>975000</v>
      </c>
      <c r="C24" s="13">
        <v>3450000</v>
      </c>
      <c r="D24" s="58">
        <f t="shared" ref="D24:D29" si="4">B24+C24</f>
        <v>4425000</v>
      </c>
      <c r="E24" s="60">
        <v>1550000</v>
      </c>
      <c r="F24" s="13">
        <f t="shared" ref="F24:F29" si="5">D24-E24</f>
        <v>2875000</v>
      </c>
      <c r="G24" s="62">
        <f t="shared" ref="G24:G29" si="6">C24-E24</f>
        <v>1900000</v>
      </c>
      <c r="H24" s="14"/>
      <c r="I24" s="29"/>
      <c r="J24" s="27">
        <v>45190</v>
      </c>
      <c r="K24" s="30" t="s">
        <v>354</v>
      </c>
      <c r="L24" s="18">
        <v>10000000</v>
      </c>
    </row>
    <row r="25" spans="1:12">
      <c r="A25" s="12">
        <v>45188</v>
      </c>
      <c r="B25" s="13">
        <v>1000000</v>
      </c>
      <c r="C25" s="13">
        <v>4300000</v>
      </c>
      <c r="D25" s="58">
        <f t="shared" si="4"/>
        <v>5300000</v>
      </c>
      <c r="E25" s="60">
        <v>2250000</v>
      </c>
      <c r="F25" s="13">
        <f t="shared" si="5"/>
        <v>3050000</v>
      </c>
      <c r="G25" s="62">
        <f t="shared" si="6"/>
        <v>2050000</v>
      </c>
      <c r="H25" s="34"/>
      <c r="I25" s="29"/>
      <c r="J25" s="27">
        <v>45191</v>
      </c>
      <c r="K25" s="30" t="s">
        <v>153</v>
      </c>
      <c r="L25" s="18">
        <v>230000</v>
      </c>
    </row>
    <row r="26" spans="1:12">
      <c r="A26" s="12">
        <v>45189</v>
      </c>
      <c r="B26" s="13">
        <v>5700000</v>
      </c>
      <c r="C26" s="13">
        <v>3650000</v>
      </c>
      <c r="D26" s="58">
        <f t="shared" si="4"/>
        <v>9350000</v>
      </c>
      <c r="E26" s="60">
        <v>3115000</v>
      </c>
      <c r="F26" s="13">
        <f t="shared" si="5"/>
        <v>6235000</v>
      </c>
      <c r="G26" s="62">
        <f t="shared" si="6"/>
        <v>535000</v>
      </c>
      <c r="H26" s="14"/>
      <c r="I26" s="29"/>
      <c r="J26" s="27">
        <v>45193</v>
      </c>
      <c r="K26" s="30" t="s">
        <v>355</v>
      </c>
      <c r="L26" s="18">
        <v>9200000</v>
      </c>
    </row>
    <row r="27" spans="1:12">
      <c r="A27" s="12">
        <v>45190</v>
      </c>
      <c r="B27" s="13">
        <v>4125000</v>
      </c>
      <c r="C27" s="13">
        <v>3250000</v>
      </c>
      <c r="D27" s="58">
        <f t="shared" si="4"/>
        <v>7375000</v>
      </c>
      <c r="E27" s="60">
        <v>2280000</v>
      </c>
      <c r="F27" s="13">
        <f t="shared" si="5"/>
        <v>5095000</v>
      </c>
      <c r="G27" s="62">
        <f t="shared" si="6"/>
        <v>970000</v>
      </c>
      <c r="H27" s="14"/>
      <c r="I27" s="29"/>
      <c r="J27" s="27">
        <v>45193</v>
      </c>
      <c r="K27" s="30" t="s">
        <v>325</v>
      </c>
      <c r="L27" s="18">
        <v>32500000</v>
      </c>
    </row>
    <row r="28" spans="1:12">
      <c r="A28" s="53">
        <v>45191</v>
      </c>
      <c r="B28" s="54">
        <v>9750000</v>
      </c>
      <c r="C28" s="54">
        <v>5925000</v>
      </c>
      <c r="D28" s="58">
        <f t="shared" si="4"/>
        <v>15675000</v>
      </c>
      <c r="E28" s="60">
        <v>2940000</v>
      </c>
      <c r="F28" s="54">
        <f t="shared" si="5"/>
        <v>12735000</v>
      </c>
      <c r="G28" s="62">
        <f t="shared" si="6"/>
        <v>2985000</v>
      </c>
      <c r="H28" s="55"/>
      <c r="I28" s="29"/>
      <c r="J28" s="27">
        <v>45196</v>
      </c>
      <c r="K28" s="30" t="s">
        <v>325</v>
      </c>
      <c r="L28" s="18">
        <v>27500000</v>
      </c>
    </row>
    <row r="29" spans="1:12">
      <c r="A29" s="53">
        <v>45192</v>
      </c>
      <c r="B29" s="54">
        <v>2670000</v>
      </c>
      <c r="C29" s="54">
        <v>2500000</v>
      </c>
      <c r="D29" s="58">
        <f t="shared" si="4"/>
        <v>5170000</v>
      </c>
      <c r="E29" s="60">
        <v>1455000</v>
      </c>
      <c r="F29" s="54">
        <f t="shared" si="5"/>
        <v>3715000</v>
      </c>
      <c r="G29" s="62">
        <f t="shared" si="6"/>
        <v>1045000</v>
      </c>
      <c r="H29" s="55"/>
      <c r="I29" s="29"/>
      <c r="J29" s="27">
        <v>45196</v>
      </c>
      <c r="K29" s="30" t="s">
        <v>356</v>
      </c>
      <c r="L29" s="18">
        <v>3000000</v>
      </c>
    </row>
    <row r="30" spans="1:12">
      <c r="A30" s="48">
        <v>45193</v>
      </c>
      <c r="B30" s="73"/>
      <c r="C30" s="73"/>
      <c r="D30" s="73"/>
      <c r="E30" s="73"/>
      <c r="F30" s="73"/>
      <c r="G30" s="73"/>
      <c r="H30" s="55"/>
      <c r="I30" s="29"/>
      <c r="J30" s="27">
        <v>45196</v>
      </c>
      <c r="K30" s="30" t="s">
        <v>357</v>
      </c>
      <c r="L30" s="18">
        <v>240000</v>
      </c>
    </row>
    <row r="31" spans="1:12">
      <c r="A31" s="53">
        <v>45194</v>
      </c>
      <c r="B31" s="54"/>
      <c r="C31" s="54">
        <v>1000000</v>
      </c>
      <c r="D31" s="58">
        <v>1000000</v>
      </c>
      <c r="E31" s="60">
        <v>2845000</v>
      </c>
      <c r="F31" s="54">
        <f t="shared" ref="F31:F36" si="7">D31-E31</f>
        <v>-1845000</v>
      </c>
      <c r="G31" s="62">
        <f t="shared" ref="G31:G36" si="8">C31-E31</f>
        <v>-1845000</v>
      </c>
      <c r="H31" s="55"/>
      <c r="I31" s="29"/>
      <c r="J31" s="27">
        <v>45196</v>
      </c>
      <c r="K31" s="30" t="s">
        <v>358</v>
      </c>
      <c r="L31" s="18">
        <v>390000</v>
      </c>
    </row>
    <row r="32" spans="1:12">
      <c r="A32" s="53">
        <v>45195</v>
      </c>
      <c r="B32" s="54">
        <v>5160000</v>
      </c>
      <c r="C32" s="54">
        <v>250000</v>
      </c>
      <c r="D32" s="58">
        <f>B32+C32</f>
        <v>5410000</v>
      </c>
      <c r="E32" s="60">
        <v>1250000</v>
      </c>
      <c r="F32" s="54">
        <f t="shared" si="7"/>
        <v>4160000</v>
      </c>
      <c r="G32" s="62">
        <f t="shared" si="8"/>
        <v>-1000000</v>
      </c>
      <c r="H32" s="55"/>
      <c r="I32" s="29"/>
      <c r="J32" s="27">
        <v>37891</v>
      </c>
      <c r="K32" s="30" t="s">
        <v>359</v>
      </c>
      <c r="L32" s="18">
        <v>3000000</v>
      </c>
    </row>
    <row r="33" spans="1:12">
      <c r="A33" s="53">
        <v>45196</v>
      </c>
      <c r="B33" s="54">
        <v>1000000</v>
      </c>
      <c r="C33" s="54">
        <v>3370000</v>
      </c>
      <c r="D33" s="58">
        <f>B33+C33</f>
        <v>4370000</v>
      </c>
      <c r="E33" s="60">
        <v>1645000</v>
      </c>
      <c r="F33" s="54">
        <f t="shared" si="7"/>
        <v>2725000</v>
      </c>
      <c r="G33" s="62">
        <f t="shared" si="8"/>
        <v>1725000</v>
      </c>
      <c r="H33" s="55"/>
      <c r="I33" s="29"/>
      <c r="J33" s="27">
        <v>45198</v>
      </c>
      <c r="K33" s="30" t="s">
        <v>360</v>
      </c>
      <c r="L33" s="18">
        <v>18870000</v>
      </c>
    </row>
    <row r="34" spans="1:12">
      <c r="A34" s="53">
        <v>45197</v>
      </c>
      <c r="B34" s="54">
        <v>850000</v>
      </c>
      <c r="C34" s="54">
        <v>2340000</v>
      </c>
      <c r="D34" s="58">
        <f>B34+C34</f>
        <v>3190000</v>
      </c>
      <c r="E34" s="60">
        <v>1095000</v>
      </c>
      <c r="F34" s="54">
        <f t="shared" si="7"/>
        <v>2095000</v>
      </c>
      <c r="G34" s="62">
        <f t="shared" si="8"/>
        <v>1245000</v>
      </c>
      <c r="H34" s="55"/>
      <c r="I34" s="29"/>
      <c r="J34" s="27">
        <v>45199</v>
      </c>
      <c r="K34" s="30" t="s">
        <v>361</v>
      </c>
      <c r="L34" s="18">
        <v>1500000</v>
      </c>
    </row>
    <row r="35" spans="1:12">
      <c r="A35" s="53">
        <v>45198</v>
      </c>
      <c r="B35" s="54">
        <v>350000</v>
      </c>
      <c r="C35" s="54">
        <v>1200000</v>
      </c>
      <c r="D35" s="58">
        <f>B35+C35</f>
        <v>1550000</v>
      </c>
      <c r="E35" s="60">
        <v>1460000</v>
      </c>
      <c r="F35" s="54">
        <f t="shared" si="7"/>
        <v>90000</v>
      </c>
      <c r="G35" s="62">
        <f t="shared" si="8"/>
        <v>-260000</v>
      </c>
      <c r="H35" s="55"/>
      <c r="I35" s="29"/>
      <c r="J35" s="27"/>
      <c r="K35" s="30"/>
      <c r="L35" s="18"/>
    </row>
    <row r="36" spans="1:12">
      <c r="A36" s="53">
        <v>45199</v>
      </c>
      <c r="B36" s="54">
        <v>200000</v>
      </c>
      <c r="C36" s="54">
        <v>3650000</v>
      </c>
      <c r="D36" s="58">
        <f>B36+C36</f>
        <v>3850000</v>
      </c>
      <c r="E36" s="60">
        <v>7455000</v>
      </c>
      <c r="F36" s="54">
        <f t="shared" si="7"/>
        <v>-3605000</v>
      </c>
      <c r="G36" s="62">
        <f t="shared" si="8"/>
        <v>-3805000</v>
      </c>
      <c r="H36" s="55"/>
      <c r="I36" s="29"/>
      <c r="J36" s="27"/>
      <c r="K36" s="30"/>
      <c r="L36" s="18"/>
    </row>
    <row r="37" spans="1:12">
      <c r="A37" s="53"/>
      <c r="B37" s="54"/>
      <c r="C37" s="54"/>
      <c r="D37" s="58"/>
      <c r="E37" s="60"/>
      <c r="F37" s="54"/>
      <c r="G37" s="62"/>
      <c r="H37" s="55"/>
      <c r="I37" s="29"/>
      <c r="J37" s="27"/>
      <c r="K37" s="30"/>
      <c r="L37" s="18"/>
    </row>
    <row r="38" spans="1:12">
      <c r="A38" s="53"/>
      <c r="B38" s="54"/>
      <c r="C38" s="54"/>
      <c r="D38" s="58"/>
      <c r="E38" s="60"/>
      <c r="F38" s="54"/>
      <c r="G38" s="62"/>
      <c r="H38" s="55"/>
      <c r="I38" s="29"/>
      <c r="J38" s="27"/>
      <c r="K38" s="30"/>
      <c r="L38" s="18"/>
    </row>
    <row r="39" spans="1:12">
      <c r="A39" s="12"/>
      <c r="B39" s="13"/>
      <c r="C39" s="13"/>
      <c r="D39" s="58"/>
      <c r="E39" s="60"/>
      <c r="F39" s="13"/>
      <c r="G39" s="62"/>
      <c r="H39" s="14"/>
      <c r="I39" s="29"/>
      <c r="J39" s="27"/>
      <c r="K39" s="30"/>
      <c r="L39" s="18"/>
    </row>
    <row r="40" spans="1:12">
      <c r="A40" s="12"/>
      <c r="B40" s="13"/>
      <c r="C40" s="13"/>
      <c r="D40" s="58"/>
      <c r="E40" s="60"/>
      <c r="F40" s="13"/>
      <c r="G40" s="62"/>
      <c r="H40" s="14"/>
      <c r="I40" s="29"/>
      <c r="J40" s="35"/>
      <c r="K40" s="23"/>
      <c r="L40" s="66">
        <f>SUM(L7:L39)</f>
        <v>136165000</v>
      </c>
    </row>
    <row r="41" spans="1:12">
      <c r="A41" s="12"/>
      <c r="B41" s="13"/>
      <c r="C41" s="13"/>
      <c r="D41" s="58"/>
      <c r="E41" s="60"/>
      <c r="F41" s="13"/>
      <c r="G41" s="62"/>
      <c r="H41" s="14"/>
      <c r="I41" s="29"/>
      <c r="J41" s="28"/>
      <c r="K41" s="1"/>
      <c r="L41" s="1"/>
    </row>
    <row r="42" spans="1:12" ht="15.75">
      <c r="A42" s="12"/>
      <c r="B42" s="13"/>
      <c r="C42" s="13"/>
      <c r="D42" s="58"/>
      <c r="E42" s="60"/>
      <c r="F42" s="13"/>
      <c r="G42" s="62"/>
      <c r="H42" s="14"/>
      <c r="I42" s="29"/>
      <c r="J42" s="36" t="s">
        <v>14</v>
      </c>
      <c r="K42" s="37" t="s">
        <v>15</v>
      </c>
      <c r="L42" s="64">
        <f>B49+C49</f>
        <v>196655000</v>
      </c>
    </row>
    <row r="43" spans="1:12" ht="15.75">
      <c r="A43" s="12"/>
      <c r="B43" s="13"/>
      <c r="C43" s="13"/>
      <c r="D43" s="58"/>
      <c r="E43" s="60"/>
      <c r="F43" s="13"/>
      <c r="G43" s="62"/>
      <c r="H43" s="14"/>
      <c r="I43" s="39"/>
      <c r="J43" s="40"/>
      <c r="K43" s="41" t="s">
        <v>16</v>
      </c>
      <c r="L43" s="65">
        <v>59500000</v>
      </c>
    </row>
    <row r="44" spans="1:12" ht="15.75">
      <c r="A44" s="12"/>
      <c r="B44" s="13"/>
      <c r="C44" s="13"/>
      <c r="D44" s="58"/>
      <c r="E44" s="60"/>
      <c r="F44" s="13"/>
      <c r="G44" s="62"/>
      <c r="H44" s="14"/>
      <c r="I44" s="29"/>
      <c r="J44" s="40"/>
      <c r="K44" s="41" t="s">
        <v>17</v>
      </c>
      <c r="L44" s="65">
        <v>136165000</v>
      </c>
    </row>
    <row r="45" spans="1:12" ht="15.75">
      <c r="A45" s="53"/>
      <c r="B45" s="54"/>
      <c r="C45" s="54"/>
      <c r="D45" s="58"/>
      <c r="E45" s="60"/>
      <c r="F45" s="54"/>
      <c r="G45" s="62"/>
      <c r="H45" s="55"/>
      <c r="I45" s="29"/>
      <c r="J45" s="40"/>
      <c r="K45" s="41" t="s">
        <v>18</v>
      </c>
      <c r="L45" s="42">
        <f>L43+L44</f>
        <v>195665000</v>
      </c>
    </row>
    <row r="46" spans="1:12" ht="15.75">
      <c r="A46" s="12"/>
      <c r="B46" s="13"/>
      <c r="C46" s="13"/>
      <c r="D46" s="58"/>
      <c r="E46" s="60"/>
      <c r="F46" s="13"/>
      <c r="G46" s="62"/>
      <c r="H46" s="14"/>
      <c r="I46" s="29"/>
      <c r="J46" s="40"/>
      <c r="K46" s="44"/>
      <c r="L46" s="38"/>
    </row>
    <row r="47" spans="1:12" ht="18">
      <c r="A47" s="12"/>
      <c r="B47" s="13"/>
      <c r="C47" s="13"/>
      <c r="D47" s="58"/>
      <c r="E47" s="60"/>
      <c r="F47" s="13"/>
      <c r="G47" s="62"/>
      <c r="H47" s="14"/>
      <c r="I47" s="29"/>
      <c r="J47" s="82" t="s">
        <v>34</v>
      </c>
      <c r="K47" s="82"/>
      <c r="L47" s="45">
        <f>L42-L45</f>
        <v>990000</v>
      </c>
    </row>
    <row r="48" spans="1:12">
      <c r="A48" s="12"/>
      <c r="B48" s="13"/>
      <c r="C48" s="13"/>
      <c r="D48" s="58"/>
      <c r="E48" s="60"/>
      <c r="F48" s="13"/>
      <c r="G48" s="62"/>
      <c r="H48" s="14"/>
      <c r="I48" s="1"/>
      <c r="J48" s="29"/>
      <c r="K48" s="29"/>
      <c r="L48" s="1"/>
    </row>
    <row r="49" spans="1:12">
      <c r="A49" s="12"/>
      <c r="B49" s="46">
        <f t="shared" ref="B49:G49" si="9">SUM(B7:B48)</f>
        <v>116735000</v>
      </c>
      <c r="C49" s="46">
        <f t="shared" si="9"/>
        <v>79920000</v>
      </c>
      <c r="D49" s="59">
        <f t="shared" si="9"/>
        <v>196655000</v>
      </c>
      <c r="E49" s="61">
        <f t="shared" si="9"/>
        <v>59500000</v>
      </c>
      <c r="F49" s="57">
        <f t="shared" si="9"/>
        <v>133605000</v>
      </c>
      <c r="G49" s="63">
        <f t="shared" si="9"/>
        <v>20420000</v>
      </c>
      <c r="H49" s="29"/>
      <c r="I49" s="1"/>
      <c r="J49" s="1"/>
      <c r="K49" s="1"/>
      <c r="L49" s="1"/>
    </row>
    <row r="50" spans="1:12">
      <c r="A50" s="1"/>
      <c r="B50" s="1"/>
      <c r="C50" s="1"/>
      <c r="D50" s="47"/>
      <c r="E50" s="1"/>
      <c r="F50" s="1"/>
      <c r="G50" s="1"/>
      <c r="H50" s="29"/>
      <c r="I50" s="1"/>
      <c r="J50" s="1"/>
      <c r="K50" s="1"/>
      <c r="L50" s="1"/>
    </row>
  </sheetData>
  <mergeCells count="8">
    <mergeCell ref="G4:G5"/>
    <mergeCell ref="J47:K47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L50"/>
  <sheetViews>
    <sheetView topLeftCell="A22" workbookViewId="0">
      <selection activeCell="J53" sqref="J53"/>
    </sheetView>
  </sheetViews>
  <sheetFormatPr defaultRowHeight="15"/>
  <cols>
    <col min="2" max="2" width="15.140625" customWidth="1"/>
    <col min="3" max="3" width="14.7109375" customWidth="1"/>
    <col min="4" max="4" width="15.42578125" customWidth="1"/>
    <col min="5" max="5" width="15.28515625" customWidth="1"/>
    <col min="6" max="6" width="15.42578125" customWidth="1"/>
    <col min="7" max="7" width="16.140625" customWidth="1"/>
    <col min="11" max="11" width="49.7109375" customWidth="1"/>
    <col min="12" max="12" width="19.85546875" customWidth="1"/>
  </cols>
  <sheetData>
    <row r="2" spans="1:12">
      <c r="A2" s="83" t="s">
        <v>35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/>
      <c r="B6" s="69"/>
      <c r="C6" s="69"/>
      <c r="D6" s="71"/>
      <c r="E6" s="70"/>
      <c r="F6" s="69"/>
      <c r="G6" s="72"/>
      <c r="H6" s="55"/>
      <c r="I6" s="6"/>
      <c r="J6" s="12" t="s">
        <v>362</v>
      </c>
      <c r="K6" s="15" t="s">
        <v>363</v>
      </c>
      <c r="L6" s="16">
        <v>2000000</v>
      </c>
    </row>
    <row r="7" spans="1:12">
      <c r="A7" s="53" t="s">
        <v>362</v>
      </c>
      <c r="B7" s="54">
        <v>1500000</v>
      </c>
      <c r="C7" s="54"/>
      <c r="D7" s="58">
        <v>1500000</v>
      </c>
      <c r="E7" s="60">
        <v>670000</v>
      </c>
      <c r="F7" s="54">
        <f t="shared" ref="F7:F12" si="0">D7-E7</f>
        <v>830000</v>
      </c>
      <c r="G7" s="62">
        <f t="shared" ref="G7:G21" si="1">C7-E7</f>
        <v>-670000</v>
      </c>
      <c r="H7" s="55"/>
      <c r="I7" s="6"/>
      <c r="J7" s="75" t="s">
        <v>362</v>
      </c>
      <c r="K7" s="68" t="s">
        <v>366</v>
      </c>
      <c r="L7" s="18">
        <v>950000</v>
      </c>
    </row>
    <row r="8" spans="1:12">
      <c r="A8" s="12" t="s">
        <v>364</v>
      </c>
      <c r="B8" s="13">
        <v>1300000</v>
      </c>
      <c r="C8" s="13">
        <v>6950000</v>
      </c>
      <c r="D8" s="58">
        <f>B8+C8</f>
        <v>8250000</v>
      </c>
      <c r="E8" s="60">
        <v>2245000</v>
      </c>
      <c r="F8" s="13">
        <f t="shared" si="0"/>
        <v>6005000</v>
      </c>
      <c r="G8" s="62">
        <f t="shared" si="1"/>
        <v>4705000</v>
      </c>
      <c r="H8" s="14"/>
      <c r="I8" s="19"/>
      <c r="J8" s="75" t="s">
        <v>368</v>
      </c>
      <c r="K8" s="68" t="s">
        <v>369</v>
      </c>
      <c r="L8" s="18">
        <v>2000000</v>
      </c>
    </row>
    <row r="9" spans="1:12">
      <c r="A9" s="12" t="s">
        <v>365</v>
      </c>
      <c r="B9" s="13">
        <v>450000</v>
      </c>
      <c r="C9" s="13">
        <v>275000</v>
      </c>
      <c r="D9" s="58">
        <f>B9+C9</f>
        <v>725000</v>
      </c>
      <c r="E9" s="60">
        <v>935000</v>
      </c>
      <c r="F9" s="13">
        <f t="shared" si="0"/>
        <v>-210000</v>
      </c>
      <c r="G9" s="62">
        <f t="shared" si="1"/>
        <v>-660000</v>
      </c>
      <c r="H9" s="14"/>
      <c r="I9" s="6"/>
      <c r="J9" s="20" t="s">
        <v>370</v>
      </c>
      <c r="K9" s="21" t="s">
        <v>369</v>
      </c>
      <c r="L9" s="18">
        <v>1000000</v>
      </c>
    </row>
    <row r="10" spans="1:12">
      <c r="A10" s="12" t="s">
        <v>367</v>
      </c>
      <c r="B10" s="13"/>
      <c r="C10" s="13"/>
      <c r="D10" s="58"/>
      <c r="E10" s="60">
        <v>1180000</v>
      </c>
      <c r="F10" s="54">
        <f t="shared" si="0"/>
        <v>-1180000</v>
      </c>
      <c r="G10" s="62">
        <f t="shared" si="1"/>
        <v>-1180000</v>
      </c>
      <c r="H10" s="14"/>
      <c r="I10" s="22"/>
      <c r="J10" s="20" t="s">
        <v>372</v>
      </c>
      <c r="K10" s="50" t="s">
        <v>369</v>
      </c>
      <c r="L10" s="18">
        <v>1000000</v>
      </c>
    </row>
    <row r="11" spans="1:12">
      <c r="A11" s="12" t="s">
        <v>368</v>
      </c>
      <c r="B11" s="13">
        <v>7400000</v>
      </c>
      <c r="C11" s="13">
        <v>2000000</v>
      </c>
      <c r="D11" s="58">
        <f>B11+C11</f>
        <v>9400000</v>
      </c>
      <c r="E11" s="60">
        <v>2410000</v>
      </c>
      <c r="F11" s="54">
        <f t="shared" si="0"/>
        <v>6990000</v>
      </c>
      <c r="G11" s="62">
        <f t="shared" si="1"/>
        <v>-410000</v>
      </c>
      <c r="H11" s="14"/>
      <c r="I11" s="22"/>
      <c r="J11" s="12" t="s">
        <v>374</v>
      </c>
      <c r="K11" s="68" t="s">
        <v>369</v>
      </c>
      <c r="L11" s="18">
        <v>8100000</v>
      </c>
    </row>
    <row r="12" spans="1:12">
      <c r="A12" s="12" t="s">
        <v>370</v>
      </c>
      <c r="B12" s="13"/>
      <c r="C12" s="54">
        <v>310000</v>
      </c>
      <c r="D12" s="58">
        <v>310000</v>
      </c>
      <c r="E12" s="60">
        <v>1230000</v>
      </c>
      <c r="F12" s="13">
        <f t="shared" si="0"/>
        <v>-920000</v>
      </c>
      <c r="G12" s="62">
        <f t="shared" si="1"/>
        <v>-920000</v>
      </c>
      <c r="H12" s="14"/>
      <c r="I12" s="6"/>
      <c r="J12" s="12" t="s">
        <v>374</v>
      </c>
      <c r="K12" s="21" t="s">
        <v>376</v>
      </c>
      <c r="L12" s="18">
        <v>1300000</v>
      </c>
    </row>
    <row r="13" spans="1:12">
      <c r="A13" s="12" t="s">
        <v>371</v>
      </c>
      <c r="B13" s="13">
        <v>9440000</v>
      </c>
      <c r="C13" s="13">
        <v>10700000</v>
      </c>
      <c r="D13" s="58">
        <f>B13+C13</f>
        <v>20140000</v>
      </c>
      <c r="E13" s="60">
        <v>1335000</v>
      </c>
      <c r="F13" s="13">
        <f t="shared" ref="F13:F18" si="2">D13-E13</f>
        <v>18805000</v>
      </c>
      <c r="G13" s="62">
        <f t="shared" si="1"/>
        <v>9365000</v>
      </c>
      <c r="H13" s="14"/>
      <c r="I13" s="6"/>
      <c r="J13" s="12" t="s">
        <v>374</v>
      </c>
      <c r="K13" s="15" t="s">
        <v>369</v>
      </c>
      <c r="L13" s="18">
        <v>1165000</v>
      </c>
    </row>
    <row r="14" spans="1:12">
      <c r="A14" s="53" t="s">
        <v>372</v>
      </c>
      <c r="B14" s="54"/>
      <c r="C14" s="54">
        <v>2850000</v>
      </c>
      <c r="D14" s="58">
        <v>2850000</v>
      </c>
      <c r="E14" s="60">
        <v>1425000</v>
      </c>
      <c r="F14" s="54">
        <f t="shared" si="2"/>
        <v>1425000</v>
      </c>
      <c r="G14" s="62">
        <f t="shared" si="1"/>
        <v>1425000</v>
      </c>
      <c r="H14" s="56"/>
      <c r="I14" s="6"/>
      <c r="J14" s="12" t="s">
        <v>377</v>
      </c>
      <c r="K14" s="25" t="s">
        <v>378</v>
      </c>
      <c r="L14" s="18">
        <v>1000000</v>
      </c>
    </row>
    <row r="15" spans="1:12">
      <c r="A15" s="12" t="s">
        <v>373</v>
      </c>
      <c r="B15" s="13"/>
      <c r="C15" s="13">
        <v>5850000</v>
      </c>
      <c r="D15" s="58">
        <v>5850000</v>
      </c>
      <c r="E15" s="60">
        <v>1450000</v>
      </c>
      <c r="F15" s="13">
        <f t="shared" si="2"/>
        <v>4400000</v>
      </c>
      <c r="G15" s="62">
        <f t="shared" si="1"/>
        <v>4400000</v>
      </c>
      <c r="H15" s="24"/>
      <c r="I15" s="22"/>
      <c r="J15" s="12" t="s">
        <v>379</v>
      </c>
      <c r="K15" s="25" t="s">
        <v>380</v>
      </c>
      <c r="L15" s="18">
        <v>1350000</v>
      </c>
    </row>
    <row r="16" spans="1:12">
      <c r="A16" s="12" t="s">
        <v>374</v>
      </c>
      <c r="B16" s="13">
        <v>1100000</v>
      </c>
      <c r="C16" s="13">
        <v>30000</v>
      </c>
      <c r="D16" s="58">
        <f>B16+C16</f>
        <v>1130000</v>
      </c>
      <c r="E16" s="60">
        <v>1235000</v>
      </c>
      <c r="F16" s="13">
        <f t="shared" si="2"/>
        <v>-105000</v>
      </c>
      <c r="G16" s="62">
        <f t="shared" si="1"/>
        <v>-1205000</v>
      </c>
      <c r="H16" s="24"/>
      <c r="I16" s="26"/>
      <c r="J16" s="27" t="s">
        <v>381</v>
      </c>
      <c r="K16" s="51" t="s">
        <v>382</v>
      </c>
      <c r="L16" s="52">
        <v>205000</v>
      </c>
    </row>
    <row r="17" spans="1:12">
      <c r="A17" s="12" t="s">
        <v>375</v>
      </c>
      <c r="B17" s="13">
        <v>23900000</v>
      </c>
      <c r="C17" s="13">
        <v>3825000</v>
      </c>
      <c r="D17" s="58">
        <f>B17+C17</f>
        <v>27725000</v>
      </c>
      <c r="E17" s="60">
        <v>1350000</v>
      </c>
      <c r="F17" s="13">
        <f t="shared" si="2"/>
        <v>26375000</v>
      </c>
      <c r="G17" s="62">
        <f t="shared" si="1"/>
        <v>2475000</v>
      </c>
      <c r="H17" s="24"/>
      <c r="I17" s="26"/>
      <c r="J17" s="12" t="s">
        <v>383</v>
      </c>
      <c r="K17" s="25" t="s">
        <v>47</v>
      </c>
      <c r="L17" s="18">
        <v>1300000</v>
      </c>
    </row>
    <row r="18" spans="1:12">
      <c r="A18" s="12" t="s">
        <v>377</v>
      </c>
      <c r="B18" s="13">
        <v>3750000</v>
      </c>
      <c r="C18" s="13">
        <v>2450000</v>
      </c>
      <c r="D18" s="58">
        <f>B18+C18</f>
        <v>6200000</v>
      </c>
      <c r="E18" s="60">
        <v>1245000</v>
      </c>
      <c r="F18" s="13">
        <f t="shared" si="2"/>
        <v>4955000</v>
      </c>
      <c r="G18" s="62">
        <f t="shared" si="1"/>
        <v>1205000</v>
      </c>
      <c r="H18" s="24"/>
      <c r="I18" s="29"/>
      <c r="J18" s="12" t="s">
        <v>386</v>
      </c>
      <c r="K18" s="23" t="s">
        <v>387</v>
      </c>
      <c r="L18" s="18">
        <v>200000</v>
      </c>
    </row>
    <row r="19" spans="1:12">
      <c r="A19" s="12" t="s">
        <v>379</v>
      </c>
      <c r="B19" s="13"/>
      <c r="C19" s="13">
        <v>3075000</v>
      </c>
      <c r="D19" s="58">
        <v>3075000</v>
      </c>
      <c r="E19" s="60">
        <v>2970000</v>
      </c>
      <c r="F19" s="13">
        <f t="shared" ref="F19:F26" si="3">D19-E19</f>
        <v>105000</v>
      </c>
      <c r="G19" s="62">
        <f t="shared" si="1"/>
        <v>105000</v>
      </c>
      <c r="H19" s="24"/>
      <c r="I19" s="29"/>
      <c r="J19" s="27" t="s">
        <v>388</v>
      </c>
      <c r="K19" s="30" t="s">
        <v>382</v>
      </c>
      <c r="L19" s="18">
        <v>500000</v>
      </c>
    </row>
    <row r="20" spans="1:12">
      <c r="A20" s="12" t="s">
        <v>381</v>
      </c>
      <c r="B20" s="13">
        <v>3400000</v>
      </c>
      <c r="C20" s="13">
        <v>2000000</v>
      </c>
      <c r="D20" s="58">
        <f>B20+C20</f>
        <v>5400000</v>
      </c>
      <c r="E20" s="60">
        <v>1840000</v>
      </c>
      <c r="F20" s="13">
        <f t="shared" si="3"/>
        <v>3560000</v>
      </c>
      <c r="G20" s="62">
        <f t="shared" si="1"/>
        <v>160000</v>
      </c>
      <c r="H20" s="24"/>
      <c r="I20" s="31"/>
      <c r="J20" s="32" t="s">
        <v>388</v>
      </c>
      <c r="K20" s="23" t="s">
        <v>13</v>
      </c>
      <c r="L20" s="18">
        <v>900000</v>
      </c>
    </row>
    <row r="21" spans="1:12">
      <c r="A21" s="53" t="s">
        <v>384</v>
      </c>
      <c r="B21" s="54">
        <v>5800000</v>
      </c>
      <c r="C21" s="54">
        <v>250000</v>
      </c>
      <c r="D21" s="58">
        <f>B21+C21</f>
        <v>6050000</v>
      </c>
      <c r="E21" s="60">
        <v>1015000</v>
      </c>
      <c r="F21" s="54">
        <f t="shared" si="3"/>
        <v>5035000</v>
      </c>
      <c r="G21" s="62">
        <f t="shared" si="1"/>
        <v>-765000</v>
      </c>
      <c r="H21" s="55"/>
      <c r="I21" s="29"/>
      <c r="J21" s="27" t="s">
        <v>390</v>
      </c>
      <c r="K21" s="30" t="s">
        <v>391</v>
      </c>
      <c r="L21" s="18">
        <v>3655000</v>
      </c>
    </row>
    <row r="22" spans="1:12">
      <c r="A22" s="12" t="s">
        <v>383</v>
      </c>
      <c r="B22" s="13">
        <v>5525000</v>
      </c>
      <c r="C22" s="13">
        <v>2550000</v>
      </c>
      <c r="D22" s="58">
        <f>B22+C22</f>
        <v>8075000</v>
      </c>
      <c r="E22" s="60">
        <v>3995000</v>
      </c>
      <c r="F22" s="13">
        <f t="shared" si="3"/>
        <v>4080000</v>
      </c>
      <c r="G22" s="62">
        <f t="shared" ref="G22:G27" si="4">C22-E22</f>
        <v>-1445000</v>
      </c>
      <c r="H22" s="14"/>
      <c r="I22" s="29"/>
      <c r="J22" s="27" t="s">
        <v>392</v>
      </c>
      <c r="K22" s="30" t="s">
        <v>394</v>
      </c>
      <c r="L22" s="18">
        <v>1000000</v>
      </c>
    </row>
    <row r="23" spans="1:12">
      <c r="A23" s="12" t="s">
        <v>385</v>
      </c>
      <c r="B23" s="13">
        <v>7050000</v>
      </c>
      <c r="C23" s="13">
        <v>550000</v>
      </c>
      <c r="D23" s="58">
        <f>B23+C23</f>
        <v>7600000</v>
      </c>
      <c r="E23" s="60">
        <v>2950000</v>
      </c>
      <c r="F23" s="13">
        <f t="shared" si="3"/>
        <v>4650000</v>
      </c>
      <c r="G23" s="62">
        <f t="shared" si="4"/>
        <v>-2400000</v>
      </c>
      <c r="H23" s="14"/>
      <c r="I23" s="31"/>
      <c r="J23" s="27" t="s">
        <v>393</v>
      </c>
      <c r="K23" s="30" t="s">
        <v>395</v>
      </c>
      <c r="L23" s="18">
        <v>9200000</v>
      </c>
    </row>
    <row r="24" spans="1:12">
      <c r="A24" s="12" t="s">
        <v>386</v>
      </c>
      <c r="B24" s="13">
        <v>250000</v>
      </c>
      <c r="C24" s="13">
        <v>1800000</v>
      </c>
      <c r="D24" s="58">
        <f>B24+C24</f>
        <v>2050000</v>
      </c>
      <c r="E24" s="60">
        <v>2750000</v>
      </c>
      <c r="F24" s="13">
        <f t="shared" si="3"/>
        <v>-700000</v>
      </c>
      <c r="G24" s="62">
        <f t="shared" si="4"/>
        <v>-950000</v>
      </c>
      <c r="H24" s="14"/>
      <c r="I24" s="29"/>
      <c r="J24" s="27" t="s">
        <v>393</v>
      </c>
      <c r="K24" s="30" t="s">
        <v>396</v>
      </c>
      <c r="L24" s="18">
        <v>1500000</v>
      </c>
    </row>
    <row r="25" spans="1:12">
      <c r="A25" s="12" t="s">
        <v>388</v>
      </c>
      <c r="B25" s="13"/>
      <c r="C25" s="13">
        <v>350000</v>
      </c>
      <c r="D25" s="58">
        <v>350000</v>
      </c>
      <c r="E25" s="60">
        <v>955000</v>
      </c>
      <c r="F25" s="13">
        <f t="shared" si="3"/>
        <v>-605000</v>
      </c>
      <c r="G25" s="62">
        <f t="shared" si="4"/>
        <v>-605000</v>
      </c>
      <c r="H25" s="34"/>
      <c r="I25" s="29"/>
      <c r="J25" s="27" t="s">
        <v>397</v>
      </c>
      <c r="K25" s="30" t="s">
        <v>325</v>
      </c>
      <c r="L25" s="18">
        <v>26000000</v>
      </c>
    </row>
    <row r="26" spans="1:12">
      <c r="A26" s="12" t="s">
        <v>389</v>
      </c>
      <c r="B26" s="13">
        <v>12550000</v>
      </c>
      <c r="C26" s="13"/>
      <c r="D26" s="58">
        <v>12550000</v>
      </c>
      <c r="E26" s="60">
        <v>2490000</v>
      </c>
      <c r="F26" s="13">
        <f t="shared" si="3"/>
        <v>10060000</v>
      </c>
      <c r="G26" s="62">
        <f t="shared" si="4"/>
        <v>-2490000</v>
      </c>
      <c r="H26" s="14"/>
      <c r="I26" s="29"/>
      <c r="J26" s="27" t="s">
        <v>398</v>
      </c>
      <c r="K26" s="30" t="s">
        <v>399</v>
      </c>
      <c r="L26" s="18">
        <v>500000</v>
      </c>
    </row>
    <row r="27" spans="1:12">
      <c r="A27" s="12" t="s">
        <v>390</v>
      </c>
      <c r="B27" s="13">
        <v>2350000</v>
      </c>
      <c r="C27" s="13"/>
      <c r="D27" s="58">
        <v>2350000</v>
      </c>
      <c r="E27" s="60">
        <v>1305000</v>
      </c>
      <c r="F27" s="13">
        <f>D27-E27</f>
        <v>1045000</v>
      </c>
      <c r="G27" s="62">
        <f t="shared" si="4"/>
        <v>-1305000</v>
      </c>
      <c r="H27" s="14"/>
      <c r="I27" s="29"/>
      <c r="J27" s="27" t="s">
        <v>400</v>
      </c>
      <c r="K27" s="30" t="s">
        <v>401</v>
      </c>
      <c r="L27" s="18">
        <v>23500000</v>
      </c>
    </row>
    <row r="28" spans="1:12">
      <c r="A28" s="48" t="s">
        <v>392</v>
      </c>
      <c r="B28" s="73"/>
      <c r="C28" s="73"/>
      <c r="D28" s="73"/>
      <c r="E28" s="73"/>
      <c r="F28" s="73"/>
      <c r="G28" s="73"/>
      <c r="H28" s="55"/>
      <c r="I28" s="29"/>
      <c r="J28" s="27" t="s">
        <v>400</v>
      </c>
      <c r="K28" s="30" t="s">
        <v>402</v>
      </c>
      <c r="L28" s="18">
        <v>7135000</v>
      </c>
    </row>
    <row r="29" spans="1:12">
      <c r="A29" s="53" t="s">
        <v>393</v>
      </c>
      <c r="B29" s="54">
        <v>5550000</v>
      </c>
      <c r="C29" s="54">
        <v>300000</v>
      </c>
      <c r="D29" s="58">
        <f>B29+C29</f>
        <v>5850000</v>
      </c>
      <c r="E29" s="60">
        <v>1550000</v>
      </c>
      <c r="F29" s="54">
        <f t="shared" ref="F29:F37" si="5">D29-E29</f>
        <v>4300000</v>
      </c>
      <c r="G29" s="79">
        <f t="shared" ref="G29:G37" si="6">C29-E29</f>
        <v>-1250000</v>
      </c>
      <c r="H29" s="55"/>
      <c r="I29" s="29"/>
      <c r="J29" s="27" t="s">
        <v>400</v>
      </c>
      <c r="K29" s="30" t="s">
        <v>403</v>
      </c>
      <c r="L29" s="18">
        <v>300000</v>
      </c>
    </row>
    <row r="30" spans="1:12">
      <c r="A30" s="53" t="s">
        <v>397</v>
      </c>
      <c r="B30" s="54"/>
      <c r="C30" s="54">
        <v>1125000</v>
      </c>
      <c r="D30" s="58">
        <v>1125000</v>
      </c>
      <c r="E30" s="60">
        <v>1365000</v>
      </c>
      <c r="F30" s="54">
        <f t="shared" si="5"/>
        <v>-240000</v>
      </c>
      <c r="G30" s="79">
        <f t="shared" si="6"/>
        <v>-240000</v>
      </c>
      <c r="H30" s="55"/>
      <c r="I30" s="29"/>
      <c r="J30" s="27" t="s">
        <v>404</v>
      </c>
      <c r="K30" s="30" t="s">
        <v>274</v>
      </c>
      <c r="L30" s="18">
        <v>36000000</v>
      </c>
    </row>
    <row r="31" spans="1:12">
      <c r="A31" s="53" t="s">
        <v>398</v>
      </c>
      <c r="B31" s="54"/>
      <c r="C31" s="54">
        <v>5900000</v>
      </c>
      <c r="D31" s="58">
        <v>5900000</v>
      </c>
      <c r="E31" s="60">
        <v>1510000</v>
      </c>
      <c r="F31" s="54">
        <f t="shared" si="5"/>
        <v>4390000</v>
      </c>
      <c r="G31" s="79">
        <f t="shared" si="6"/>
        <v>4390000</v>
      </c>
      <c r="H31" s="55"/>
      <c r="I31" s="29"/>
      <c r="J31" s="27" t="s">
        <v>404</v>
      </c>
      <c r="K31" s="30" t="s">
        <v>405</v>
      </c>
      <c r="L31" s="18">
        <v>505000</v>
      </c>
    </row>
    <row r="32" spans="1:12">
      <c r="A32" s="53" t="s">
        <v>400</v>
      </c>
      <c r="B32" s="54">
        <v>3600000</v>
      </c>
      <c r="C32" s="54">
        <v>1000000</v>
      </c>
      <c r="D32" s="58">
        <f t="shared" ref="D32:D37" si="7">B32+C32</f>
        <v>4600000</v>
      </c>
      <c r="E32" s="60">
        <v>1965000</v>
      </c>
      <c r="F32" s="54">
        <f t="shared" si="5"/>
        <v>2635000</v>
      </c>
      <c r="G32" s="79">
        <f t="shared" si="6"/>
        <v>-965000</v>
      </c>
      <c r="H32" s="55"/>
      <c r="I32" s="29"/>
      <c r="J32" s="27" t="s">
        <v>406</v>
      </c>
      <c r="K32" s="30" t="s">
        <v>407</v>
      </c>
      <c r="L32" s="18">
        <v>3500000</v>
      </c>
    </row>
    <row r="33" spans="1:12">
      <c r="A33" s="53" t="s">
        <v>404</v>
      </c>
      <c r="B33" s="54">
        <v>2150000</v>
      </c>
      <c r="C33" s="54">
        <v>3540000</v>
      </c>
      <c r="D33" s="58">
        <f t="shared" si="7"/>
        <v>5690000</v>
      </c>
      <c r="E33" s="60">
        <v>1745000</v>
      </c>
      <c r="F33" s="54">
        <f t="shared" si="5"/>
        <v>3945000</v>
      </c>
      <c r="G33" s="79">
        <f t="shared" si="6"/>
        <v>1795000</v>
      </c>
      <c r="H33" s="55"/>
      <c r="I33" s="29"/>
      <c r="J33" s="27" t="s">
        <v>406</v>
      </c>
      <c r="K33" s="30" t="s">
        <v>382</v>
      </c>
      <c r="L33" s="18">
        <v>500000</v>
      </c>
    </row>
    <row r="34" spans="1:12">
      <c r="A34" s="53" t="s">
        <v>406</v>
      </c>
      <c r="B34" s="54">
        <v>5275000</v>
      </c>
      <c r="C34" s="54">
        <v>5490000</v>
      </c>
      <c r="D34" s="58">
        <f t="shared" si="7"/>
        <v>10765000</v>
      </c>
      <c r="E34" s="60">
        <v>1320000</v>
      </c>
      <c r="F34" s="54">
        <f t="shared" si="5"/>
        <v>9445000</v>
      </c>
      <c r="G34" s="79">
        <f t="shared" si="6"/>
        <v>4170000</v>
      </c>
      <c r="H34" s="55"/>
      <c r="I34" s="29"/>
      <c r="J34" s="27" t="s">
        <v>409</v>
      </c>
      <c r="K34" s="30" t="s">
        <v>67</v>
      </c>
      <c r="L34" s="18">
        <v>1550000</v>
      </c>
    </row>
    <row r="35" spans="1:12">
      <c r="A35" s="53" t="s">
        <v>408</v>
      </c>
      <c r="B35" s="54">
        <v>2300000</v>
      </c>
      <c r="C35" s="54">
        <v>800000</v>
      </c>
      <c r="D35" s="58">
        <f t="shared" si="7"/>
        <v>3100000</v>
      </c>
      <c r="E35" s="60">
        <v>720000</v>
      </c>
      <c r="F35" s="54">
        <f t="shared" si="5"/>
        <v>2380000</v>
      </c>
      <c r="G35" s="79">
        <f t="shared" si="6"/>
        <v>80000</v>
      </c>
      <c r="H35" s="55"/>
      <c r="I35" s="29"/>
      <c r="J35" s="27" t="s">
        <v>410</v>
      </c>
      <c r="K35" s="30" t="s">
        <v>411</v>
      </c>
      <c r="L35" s="18">
        <v>10000000</v>
      </c>
    </row>
    <row r="36" spans="1:12">
      <c r="A36" s="53" t="s">
        <v>409</v>
      </c>
      <c r="B36" s="54">
        <v>6500000</v>
      </c>
      <c r="C36" s="54">
        <v>5115000</v>
      </c>
      <c r="D36" s="58">
        <f t="shared" si="7"/>
        <v>11615000</v>
      </c>
      <c r="E36" s="60">
        <v>3520000</v>
      </c>
      <c r="F36" s="54">
        <f t="shared" si="5"/>
        <v>8095000</v>
      </c>
      <c r="G36" s="79">
        <f t="shared" si="6"/>
        <v>1595000</v>
      </c>
      <c r="H36" s="55"/>
      <c r="I36" s="29"/>
      <c r="J36" s="27" t="s">
        <v>410</v>
      </c>
      <c r="K36" s="30" t="s">
        <v>412</v>
      </c>
      <c r="L36" s="18">
        <v>10100000</v>
      </c>
    </row>
    <row r="37" spans="1:12">
      <c r="A37" s="53" t="s">
        <v>410</v>
      </c>
      <c r="B37" s="54">
        <v>8650000</v>
      </c>
      <c r="C37" s="54">
        <v>2925000</v>
      </c>
      <c r="D37" s="58">
        <f t="shared" si="7"/>
        <v>11575000</v>
      </c>
      <c r="E37" s="60">
        <v>2435000</v>
      </c>
      <c r="F37" s="54">
        <f t="shared" si="5"/>
        <v>9140000</v>
      </c>
      <c r="G37" s="79">
        <f t="shared" si="6"/>
        <v>490000</v>
      </c>
      <c r="H37" s="55"/>
      <c r="I37" s="29"/>
      <c r="J37" s="27"/>
      <c r="K37" s="30"/>
      <c r="L37" s="18"/>
    </row>
    <row r="38" spans="1:12">
      <c r="A38" s="53"/>
      <c r="B38" s="54"/>
      <c r="C38" s="54"/>
      <c r="D38" s="58"/>
      <c r="E38" s="60"/>
      <c r="F38" s="54"/>
      <c r="G38" s="79"/>
      <c r="H38" s="55"/>
      <c r="I38" s="29"/>
      <c r="J38" s="27"/>
      <c r="K38" s="30"/>
      <c r="L38" s="18"/>
    </row>
    <row r="39" spans="1:12">
      <c r="A39" s="12"/>
      <c r="B39" s="13"/>
      <c r="C39" s="13"/>
      <c r="D39" s="58"/>
      <c r="E39" s="60"/>
      <c r="F39" s="13"/>
      <c r="G39" s="62"/>
      <c r="H39" s="14"/>
      <c r="I39" s="29"/>
      <c r="J39" s="27"/>
      <c r="K39" s="30"/>
      <c r="L39" s="18"/>
    </row>
    <row r="40" spans="1:12">
      <c r="A40" s="12"/>
      <c r="B40" s="13"/>
      <c r="C40" s="13"/>
      <c r="D40" s="58"/>
      <c r="E40" s="60"/>
      <c r="F40" s="13"/>
      <c r="G40" s="62"/>
      <c r="H40" s="14"/>
      <c r="I40" s="29"/>
      <c r="J40" s="35"/>
      <c r="K40" s="23"/>
      <c r="L40" s="66">
        <f>SUM(L6:L39)</f>
        <v>157915000</v>
      </c>
    </row>
    <row r="41" spans="1:12">
      <c r="A41" s="12"/>
      <c r="B41" s="13"/>
      <c r="C41" s="13"/>
      <c r="D41" s="58"/>
      <c r="E41" s="60"/>
      <c r="F41" s="13"/>
      <c r="G41" s="62"/>
      <c r="H41" s="14"/>
      <c r="I41" s="29"/>
      <c r="J41" s="28"/>
      <c r="K41" s="1"/>
      <c r="L41" s="1"/>
    </row>
    <row r="42" spans="1:12" ht="15.75">
      <c r="A42" s="12"/>
      <c r="B42" s="13"/>
      <c r="C42" s="13"/>
      <c r="D42" s="58"/>
      <c r="E42" s="60"/>
      <c r="F42" s="13"/>
      <c r="G42" s="62"/>
      <c r="H42" s="14"/>
      <c r="I42" s="29"/>
      <c r="J42" s="36" t="s">
        <v>14</v>
      </c>
      <c r="K42" s="37" t="s">
        <v>15</v>
      </c>
      <c r="L42" s="64">
        <f>B49+C49</f>
        <v>191800000</v>
      </c>
    </row>
    <row r="43" spans="1:12" ht="15.75">
      <c r="A43" s="12"/>
      <c r="B43" s="13"/>
      <c r="C43" s="13"/>
      <c r="D43" s="58"/>
      <c r="E43" s="60"/>
      <c r="F43" s="13"/>
      <c r="G43" s="62"/>
      <c r="H43" s="14"/>
      <c r="I43" s="39"/>
      <c r="J43" s="40"/>
      <c r="K43" s="41" t="s">
        <v>16</v>
      </c>
      <c r="L43" s="65">
        <v>53110000</v>
      </c>
    </row>
    <row r="44" spans="1:12" ht="15.75">
      <c r="A44" s="12"/>
      <c r="B44" s="13"/>
      <c r="C44" s="13"/>
      <c r="D44" s="58"/>
      <c r="E44" s="60"/>
      <c r="F44" s="13"/>
      <c r="G44" s="62"/>
      <c r="H44" s="14"/>
      <c r="I44" s="29"/>
      <c r="J44" s="40"/>
      <c r="K44" s="41" t="s">
        <v>17</v>
      </c>
      <c r="L44" s="65">
        <v>157915000</v>
      </c>
    </row>
    <row r="45" spans="1:12" ht="15.75">
      <c r="A45" s="53"/>
      <c r="B45" s="54"/>
      <c r="C45" s="54"/>
      <c r="D45" s="58"/>
      <c r="E45" s="60"/>
      <c r="F45" s="54"/>
      <c r="G45" s="62"/>
      <c r="H45" s="55"/>
      <c r="I45" s="29"/>
      <c r="J45" s="40"/>
      <c r="K45" s="41" t="s">
        <v>18</v>
      </c>
      <c r="L45" s="42">
        <f>L43+L44</f>
        <v>211025000</v>
      </c>
    </row>
    <row r="46" spans="1:12" ht="15.75">
      <c r="A46" s="12"/>
      <c r="B46" s="13"/>
      <c r="C46" s="13"/>
      <c r="D46" s="58"/>
      <c r="E46" s="60"/>
      <c r="F46" s="13"/>
      <c r="G46" s="62"/>
      <c r="H46" s="14"/>
      <c r="I46" s="29"/>
      <c r="J46" s="40"/>
      <c r="K46" s="44"/>
      <c r="L46" s="38"/>
    </row>
    <row r="47" spans="1:12" ht="18">
      <c r="A47" s="12"/>
      <c r="B47" s="13"/>
      <c r="C47" s="13"/>
      <c r="D47" s="58"/>
      <c r="E47" s="60"/>
      <c r="F47" s="13"/>
      <c r="G47" s="62"/>
      <c r="H47" s="14"/>
      <c r="I47" s="29"/>
      <c r="J47" s="82" t="s">
        <v>22</v>
      </c>
      <c r="K47" s="82"/>
      <c r="L47" s="45">
        <f>L42-L45</f>
        <v>-19225000</v>
      </c>
    </row>
    <row r="48" spans="1:12">
      <c r="A48" s="12"/>
      <c r="B48" s="13"/>
      <c r="C48" s="13"/>
      <c r="D48" s="58"/>
      <c r="E48" s="60"/>
      <c r="F48" s="13"/>
      <c r="G48" s="62"/>
      <c r="H48" s="14"/>
      <c r="I48" s="1"/>
      <c r="J48" s="29"/>
      <c r="K48" s="29"/>
      <c r="L48" s="1"/>
    </row>
    <row r="49" spans="1:12">
      <c r="A49" s="12"/>
      <c r="B49" s="46">
        <f t="shared" ref="B49:G49" si="8">SUM(B7:B48)</f>
        <v>119790000</v>
      </c>
      <c r="C49" s="46">
        <f t="shared" si="8"/>
        <v>72010000</v>
      </c>
      <c r="D49" s="59">
        <f t="shared" si="8"/>
        <v>191800000</v>
      </c>
      <c r="E49" s="61">
        <f t="shared" si="8"/>
        <v>53110000</v>
      </c>
      <c r="F49" s="57">
        <f t="shared" si="8"/>
        <v>138690000</v>
      </c>
      <c r="G49" s="63">
        <f t="shared" si="8"/>
        <v>18900000</v>
      </c>
      <c r="H49" s="29"/>
      <c r="I49" s="1"/>
      <c r="J49" s="1"/>
      <c r="K49" s="1"/>
      <c r="L49" s="1"/>
    </row>
    <row r="50" spans="1:12">
      <c r="A50" s="1"/>
      <c r="B50" s="1"/>
      <c r="C50" s="1"/>
      <c r="D50" s="47"/>
      <c r="E50" s="1"/>
      <c r="F50" s="1"/>
      <c r="G50" s="1"/>
      <c r="H50" s="29"/>
      <c r="I50" s="1"/>
      <c r="J50" s="1"/>
      <c r="K50" s="1"/>
      <c r="L50" s="1"/>
    </row>
  </sheetData>
  <mergeCells count="8">
    <mergeCell ref="G4:G5"/>
    <mergeCell ref="J47:K47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L45"/>
  <sheetViews>
    <sheetView topLeftCell="D19" workbookViewId="0">
      <selection activeCell="K54" sqref="K54"/>
    </sheetView>
  </sheetViews>
  <sheetFormatPr defaultRowHeight="15"/>
  <cols>
    <col min="1" max="1" width="7.42578125" customWidth="1"/>
    <col min="2" max="2" width="16.140625" customWidth="1"/>
    <col min="3" max="3" width="14.28515625" customWidth="1"/>
    <col min="4" max="4" width="15.7109375" customWidth="1"/>
    <col min="5" max="5" width="14.5703125" customWidth="1"/>
    <col min="6" max="6" width="15.42578125" customWidth="1"/>
    <col min="7" max="7" width="14" customWidth="1"/>
    <col min="11" max="11" width="57.5703125" customWidth="1"/>
    <col min="12" max="12" width="19" customWidth="1"/>
  </cols>
  <sheetData>
    <row r="2" spans="1:12">
      <c r="A2" s="83" t="s">
        <v>418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/>
      <c r="B6" s="69"/>
      <c r="C6" s="69"/>
      <c r="D6" s="71"/>
      <c r="E6" s="70"/>
      <c r="F6" s="69"/>
      <c r="G6" s="72"/>
      <c r="H6" s="55"/>
      <c r="I6" s="6"/>
      <c r="J6" s="12">
        <v>45233</v>
      </c>
      <c r="K6" s="15" t="s">
        <v>413</v>
      </c>
      <c r="L6" s="16">
        <v>585000</v>
      </c>
    </row>
    <row r="7" spans="1:12">
      <c r="A7" s="53">
        <v>45231</v>
      </c>
      <c r="B7" s="54">
        <v>4100000</v>
      </c>
      <c r="C7" s="54">
        <v>1275000</v>
      </c>
      <c r="D7" s="58">
        <f t="shared" ref="D7:D14" si="0">B7+C7</f>
        <v>5375000</v>
      </c>
      <c r="E7" s="60">
        <v>1710000</v>
      </c>
      <c r="F7" s="54">
        <f t="shared" ref="F7:F14" si="1">D7-E7</f>
        <v>3665000</v>
      </c>
      <c r="G7" s="62">
        <f t="shared" ref="G7:G17" si="2">C7-E7</f>
        <v>-435000</v>
      </c>
      <c r="H7" s="55"/>
      <c r="I7" s="6"/>
      <c r="J7" s="17">
        <v>45233</v>
      </c>
      <c r="K7" s="68" t="s">
        <v>414</v>
      </c>
      <c r="L7" s="18">
        <v>775000</v>
      </c>
    </row>
    <row r="8" spans="1:12">
      <c r="A8" s="12">
        <v>45232</v>
      </c>
      <c r="B8" s="13">
        <v>4500000</v>
      </c>
      <c r="C8" s="13">
        <v>200000</v>
      </c>
      <c r="D8" s="58">
        <f t="shared" si="0"/>
        <v>4700000</v>
      </c>
      <c r="E8" s="60">
        <v>1550000</v>
      </c>
      <c r="F8" s="13">
        <f t="shared" si="1"/>
        <v>3150000</v>
      </c>
      <c r="G8" s="62">
        <f t="shared" si="2"/>
        <v>-1350000</v>
      </c>
      <c r="H8" s="14"/>
      <c r="I8" s="19"/>
      <c r="J8" s="17">
        <v>45235</v>
      </c>
      <c r="K8" s="68" t="s">
        <v>184</v>
      </c>
      <c r="L8" s="18">
        <v>300000</v>
      </c>
    </row>
    <row r="9" spans="1:12">
      <c r="A9" s="12">
        <v>45233</v>
      </c>
      <c r="B9" s="13">
        <v>8800000</v>
      </c>
      <c r="C9" s="13">
        <v>1800000</v>
      </c>
      <c r="D9" s="58">
        <f t="shared" si="0"/>
        <v>10600000</v>
      </c>
      <c r="E9" s="60">
        <v>2110000</v>
      </c>
      <c r="F9" s="13">
        <f t="shared" si="1"/>
        <v>8490000</v>
      </c>
      <c r="G9" s="62">
        <f t="shared" si="2"/>
        <v>-310000</v>
      </c>
      <c r="H9" s="14"/>
      <c r="I9" s="6"/>
      <c r="J9" s="20">
        <v>45236</v>
      </c>
      <c r="K9" s="21" t="s">
        <v>415</v>
      </c>
      <c r="L9" s="18">
        <v>1000000</v>
      </c>
    </row>
    <row r="10" spans="1:12">
      <c r="A10" s="12">
        <v>45234</v>
      </c>
      <c r="B10" s="13">
        <v>1500000</v>
      </c>
      <c r="C10" s="13">
        <v>12050000</v>
      </c>
      <c r="D10" s="58">
        <f t="shared" si="0"/>
        <v>13550000</v>
      </c>
      <c r="E10" s="60">
        <v>1665000</v>
      </c>
      <c r="F10" s="54">
        <f t="shared" si="1"/>
        <v>11885000</v>
      </c>
      <c r="G10" s="62">
        <f t="shared" si="2"/>
        <v>10385000</v>
      </c>
      <c r="H10" s="14"/>
      <c r="I10" s="22"/>
      <c r="J10" s="20">
        <v>45237</v>
      </c>
      <c r="K10" s="50" t="s">
        <v>416</v>
      </c>
      <c r="L10" s="18">
        <v>3100000</v>
      </c>
    </row>
    <row r="11" spans="1:12">
      <c r="A11" s="12">
        <v>45235</v>
      </c>
      <c r="B11" s="13">
        <v>825000</v>
      </c>
      <c r="C11" s="13">
        <v>1200000</v>
      </c>
      <c r="D11" s="58">
        <f t="shared" si="0"/>
        <v>2025000</v>
      </c>
      <c r="E11" s="60">
        <v>520000</v>
      </c>
      <c r="F11" s="54">
        <f t="shared" si="1"/>
        <v>1505000</v>
      </c>
      <c r="G11" s="62">
        <f t="shared" si="2"/>
        <v>680000</v>
      </c>
      <c r="H11" s="14"/>
      <c r="I11" s="22"/>
      <c r="J11" s="12">
        <v>45238</v>
      </c>
      <c r="K11" s="68" t="s">
        <v>417</v>
      </c>
      <c r="L11" s="18">
        <v>350000</v>
      </c>
    </row>
    <row r="12" spans="1:12">
      <c r="A12" s="12">
        <v>45236</v>
      </c>
      <c r="B12" s="13">
        <v>350000</v>
      </c>
      <c r="C12" s="54">
        <v>650000</v>
      </c>
      <c r="D12" s="58">
        <f t="shared" si="0"/>
        <v>1000000</v>
      </c>
      <c r="E12" s="60">
        <v>1465000</v>
      </c>
      <c r="F12" s="13">
        <f t="shared" si="1"/>
        <v>-465000</v>
      </c>
      <c r="G12" s="62">
        <f t="shared" si="2"/>
        <v>-815000</v>
      </c>
      <c r="H12" s="14"/>
      <c r="I12" s="6"/>
      <c r="J12" s="12">
        <v>45240</v>
      </c>
      <c r="K12" s="21" t="s">
        <v>420</v>
      </c>
      <c r="L12" s="18">
        <v>7150000</v>
      </c>
    </row>
    <row r="13" spans="1:12">
      <c r="A13" s="12">
        <v>45237</v>
      </c>
      <c r="B13" s="13">
        <v>6025000</v>
      </c>
      <c r="C13" s="13">
        <v>6375000</v>
      </c>
      <c r="D13" s="58">
        <f t="shared" si="0"/>
        <v>12400000</v>
      </c>
      <c r="E13" s="60">
        <v>2100000</v>
      </c>
      <c r="F13" s="13">
        <f t="shared" si="1"/>
        <v>10300000</v>
      </c>
      <c r="G13" s="62">
        <f t="shared" si="2"/>
        <v>4275000</v>
      </c>
      <c r="H13" s="14"/>
      <c r="I13" s="6"/>
      <c r="J13" s="12">
        <v>45242</v>
      </c>
      <c r="K13" s="15" t="s">
        <v>382</v>
      </c>
      <c r="L13" s="18">
        <v>500000</v>
      </c>
    </row>
    <row r="14" spans="1:12">
      <c r="A14" s="53">
        <v>45238</v>
      </c>
      <c r="B14" s="54">
        <v>1300000</v>
      </c>
      <c r="C14" s="54">
        <v>1090000</v>
      </c>
      <c r="D14" s="58">
        <f t="shared" si="0"/>
        <v>2390000</v>
      </c>
      <c r="E14" s="60">
        <v>1575000</v>
      </c>
      <c r="F14" s="54">
        <f t="shared" si="1"/>
        <v>815000</v>
      </c>
      <c r="G14" s="62">
        <f t="shared" si="2"/>
        <v>-485000</v>
      </c>
      <c r="H14" s="56"/>
      <c r="I14" s="6"/>
      <c r="J14" s="12">
        <v>45245</v>
      </c>
      <c r="K14" s="25" t="s">
        <v>421</v>
      </c>
      <c r="L14" s="18">
        <v>650000</v>
      </c>
    </row>
    <row r="15" spans="1:12">
      <c r="A15" s="12">
        <v>45239</v>
      </c>
      <c r="B15" s="13"/>
      <c r="C15" s="13">
        <v>1150000</v>
      </c>
      <c r="D15" s="58">
        <v>1150000</v>
      </c>
      <c r="E15" s="60">
        <v>1300000</v>
      </c>
      <c r="F15" s="13">
        <f t="shared" ref="F15:F21" si="3">D15-E15</f>
        <v>-150000</v>
      </c>
      <c r="G15" s="62">
        <f t="shared" si="2"/>
        <v>-150000</v>
      </c>
      <c r="H15" s="24"/>
      <c r="I15" s="22"/>
      <c r="J15" s="12">
        <v>45245</v>
      </c>
      <c r="K15" s="25" t="s">
        <v>184</v>
      </c>
      <c r="L15" s="18">
        <v>500000</v>
      </c>
    </row>
    <row r="16" spans="1:12">
      <c r="A16" s="12">
        <v>45240</v>
      </c>
      <c r="B16" s="13">
        <v>3130000</v>
      </c>
      <c r="C16" s="13">
        <v>250000</v>
      </c>
      <c r="D16" s="58">
        <f>B16+C16</f>
        <v>3380000</v>
      </c>
      <c r="E16" s="60">
        <v>2960000</v>
      </c>
      <c r="F16" s="13">
        <f t="shared" si="3"/>
        <v>420000</v>
      </c>
      <c r="G16" s="62">
        <f t="shared" si="2"/>
        <v>-2710000</v>
      </c>
      <c r="H16" s="24"/>
      <c r="I16" s="26"/>
      <c r="J16" s="27">
        <v>45249</v>
      </c>
      <c r="K16" s="51" t="s">
        <v>422</v>
      </c>
      <c r="L16" s="52">
        <v>1100000</v>
      </c>
    </row>
    <row r="17" spans="1:12">
      <c r="A17" s="12">
        <v>45241</v>
      </c>
      <c r="B17" s="13">
        <v>200000</v>
      </c>
      <c r="C17" s="13">
        <v>150000</v>
      </c>
      <c r="D17" s="58">
        <f>B17+C17</f>
        <v>350000</v>
      </c>
      <c r="E17" s="60">
        <v>1130000</v>
      </c>
      <c r="F17" s="13">
        <f t="shared" si="3"/>
        <v>-780000</v>
      </c>
      <c r="G17" s="62">
        <f t="shared" si="2"/>
        <v>-980000</v>
      </c>
      <c r="H17" s="24"/>
      <c r="I17" s="26"/>
      <c r="J17" s="12">
        <v>45252</v>
      </c>
      <c r="K17" s="25" t="s">
        <v>423</v>
      </c>
      <c r="L17" s="18">
        <v>775000</v>
      </c>
    </row>
    <row r="18" spans="1:12">
      <c r="A18" s="12">
        <v>45242</v>
      </c>
      <c r="B18" s="13">
        <v>2900000</v>
      </c>
      <c r="C18" s="13"/>
      <c r="D18" s="58">
        <v>2900000</v>
      </c>
      <c r="E18" s="60">
        <v>770000</v>
      </c>
      <c r="F18" s="13">
        <f t="shared" si="3"/>
        <v>2130000</v>
      </c>
      <c r="G18" s="62">
        <f t="shared" ref="G18:G24" si="4">C18-E18</f>
        <v>-770000</v>
      </c>
      <c r="H18" s="24"/>
      <c r="I18" s="29"/>
      <c r="J18" s="12">
        <v>45252</v>
      </c>
      <c r="K18" s="23" t="s">
        <v>382</v>
      </c>
      <c r="L18" s="18">
        <v>200000</v>
      </c>
    </row>
    <row r="19" spans="1:12">
      <c r="A19" s="12">
        <v>45243</v>
      </c>
      <c r="B19" s="13">
        <v>4000000</v>
      </c>
      <c r="C19" s="13"/>
      <c r="D19" s="58">
        <v>4000000</v>
      </c>
      <c r="E19" s="60">
        <v>4010000</v>
      </c>
      <c r="F19" s="13">
        <f t="shared" si="3"/>
        <v>-10000</v>
      </c>
      <c r="G19" s="62">
        <f t="shared" si="4"/>
        <v>-4010000</v>
      </c>
      <c r="H19" s="24"/>
      <c r="I19" s="29"/>
      <c r="J19" s="27">
        <v>45252</v>
      </c>
      <c r="K19" s="30" t="s">
        <v>424</v>
      </c>
      <c r="L19" s="18">
        <v>1000000</v>
      </c>
    </row>
    <row r="20" spans="1:12">
      <c r="A20" s="12">
        <v>45244</v>
      </c>
      <c r="B20" s="13">
        <v>3300000</v>
      </c>
      <c r="C20" s="13">
        <v>6360000</v>
      </c>
      <c r="D20" s="58">
        <f>B20+C20</f>
        <v>9660000</v>
      </c>
      <c r="E20" s="60">
        <v>1165000</v>
      </c>
      <c r="F20" s="13">
        <f t="shared" si="3"/>
        <v>8495000</v>
      </c>
      <c r="G20" s="62">
        <f t="shared" si="4"/>
        <v>5195000</v>
      </c>
      <c r="H20" s="24"/>
      <c r="I20" s="31"/>
      <c r="J20" s="32">
        <v>45253</v>
      </c>
      <c r="K20" s="23" t="s">
        <v>425</v>
      </c>
      <c r="L20" s="18">
        <v>300000</v>
      </c>
    </row>
    <row r="21" spans="1:12">
      <c r="A21" s="53">
        <v>45245</v>
      </c>
      <c r="B21" s="54">
        <v>5200000</v>
      </c>
      <c r="C21" s="54"/>
      <c r="D21" s="58">
        <v>5200000</v>
      </c>
      <c r="E21" s="60">
        <v>1670000</v>
      </c>
      <c r="F21" s="54">
        <f t="shared" si="3"/>
        <v>3530000</v>
      </c>
      <c r="G21" s="62">
        <f t="shared" si="4"/>
        <v>-1670000</v>
      </c>
      <c r="H21" s="55"/>
      <c r="I21" s="29"/>
      <c r="J21" s="27">
        <v>45254</v>
      </c>
      <c r="K21" s="30" t="s">
        <v>426</v>
      </c>
      <c r="L21" s="18">
        <v>9500000</v>
      </c>
    </row>
    <row r="22" spans="1:12">
      <c r="A22" s="12">
        <v>45246</v>
      </c>
      <c r="B22" s="13">
        <v>450000</v>
      </c>
      <c r="C22" s="13">
        <v>1100000</v>
      </c>
      <c r="D22" s="58">
        <f>B22+C22</f>
        <v>1550000</v>
      </c>
      <c r="E22" s="60">
        <v>1050000</v>
      </c>
      <c r="F22" s="13">
        <f>D22-E22</f>
        <v>500000</v>
      </c>
      <c r="G22" s="62">
        <f t="shared" si="4"/>
        <v>50000</v>
      </c>
      <c r="H22" s="14"/>
      <c r="I22" s="29"/>
      <c r="J22" s="27">
        <v>45254</v>
      </c>
      <c r="K22" s="30" t="s">
        <v>427</v>
      </c>
      <c r="L22" s="18">
        <v>35000000</v>
      </c>
    </row>
    <row r="23" spans="1:12">
      <c r="A23" s="12">
        <v>45247</v>
      </c>
      <c r="B23" s="13">
        <v>5850000</v>
      </c>
      <c r="C23" s="13">
        <v>5150000</v>
      </c>
      <c r="D23" s="58">
        <f>B23+C23</f>
        <v>11000000</v>
      </c>
      <c r="E23" s="60">
        <v>1605000</v>
      </c>
      <c r="F23" s="13">
        <f>D23-E23</f>
        <v>9395000</v>
      </c>
      <c r="G23" s="62">
        <f t="shared" si="4"/>
        <v>3545000</v>
      </c>
      <c r="H23" s="14"/>
      <c r="I23" s="31"/>
      <c r="J23" s="27">
        <v>45257</v>
      </c>
      <c r="K23" s="30" t="s">
        <v>382</v>
      </c>
      <c r="L23" s="18">
        <v>550000</v>
      </c>
    </row>
    <row r="24" spans="1:12">
      <c r="A24" s="12">
        <v>45248</v>
      </c>
      <c r="B24" s="13">
        <v>26125000</v>
      </c>
      <c r="C24" s="13">
        <v>3325000</v>
      </c>
      <c r="D24" s="58">
        <f>B24+C24</f>
        <v>29450000</v>
      </c>
      <c r="E24" s="60">
        <v>2670000</v>
      </c>
      <c r="F24" s="13">
        <f>D24-E24</f>
        <v>26780000</v>
      </c>
      <c r="G24" s="62">
        <f t="shared" si="4"/>
        <v>655000</v>
      </c>
      <c r="H24" s="14"/>
      <c r="I24" s="29"/>
      <c r="J24" s="27">
        <v>45257</v>
      </c>
      <c r="K24" s="30" t="s">
        <v>428</v>
      </c>
      <c r="L24" s="18">
        <v>845000</v>
      </c>
    </row>
    <row r="25" spans="1:12">
      <c r="A25" s="48">
        <v>45249</v>
      </c>
      <c r="B25" s="73"/>
      <c r="C25" s="73"/>
      <c r="D25" s="73"/>
      <c r="E25" s="73"/>
      <c r="F25" s="73"/>
      <c r="G25" s="73"/>
      <c r="H25" s="34"/>
      <c r="I25" s="29"/>
      <c r="J25" s="27">
        <v>45258</v>
      </c>
      <c r="K25" s="30" t="s">
        <v>429</v>
      </c>
      <c r="L25" s="18">
        <v>4000000</v>
      </c>
    </row>
    <row r="26" spans="1:12">
      <c r="A26" s="12">
        <v>45250</v>
      </c>
      <c r="B26" s="13">
        <v>1950000</v>
      </c>
      <c r="C26" s="13">
        <v>5000000</v>
      </c>
      <c r="D26" s="58">
        <f t="shared" ref="D26:D31" si="5">B26+C26</f>
        <v>6950000</v>
      </c>
      <c r="E26" s="60">
        <v>3970000</v>
      </c>
      <c r="F26" s="13">
        <f t="shared" ref="F26:F32" si="6">D26-E26</f>
        <v>2980000</v>
      </c>
      <c r="G26" s="62">
        <f t="shared" ref="G26:G32" si="7">C26-E26</f>
        <v>1030000</v>
      </c>
      <c r="H26" s="14"/>
      <c r="I26" s="29"/>
      <c r="J26" s="27">
        <v>45258</v>
      </c>
      <c r="K26" s="30" t="s">
        <v>430</v>
      </c>
      <c r="L26" s="18">
        <v>24500000</v>
      </c>
    </row>
    <row r="27" spans="1:12">
      <c r="A27" s="12">
        <v>45251</v>
      </c>
      <c r="B27" s="13">
        <v>1550000</v>
      </c>
      <c r="C27" s="13">
        <v>1075000</v>
      </c>
      <c r="D27" s="58">
        <f t="shared" si="5"/>
        <v>2625000</v>
      </c>
      <c r="E27" s="60">
        <v>1445000</v>
      </c>
      <c r="F27" s="13">
        <f t="shared" si="6"/>
        <v>1180000</v>
      </c>
      <c r="G27" s="62">
        <f t="shared" si="7"/>
        <v>-370000</v>
      </c>
      <c r="H27" s="14"/>
      <c r="I27" s="29"/>
      <c r="J27" s="27">
        <v>45259</v>
      </c>
      <c r="K27" s="30" t="s">
        <v>431</v>
      </c>
      <c r="L27" s="18">
        <v>53000000</v>
      </c>
    </row>
    <row r="28" spans="1:12">
      <c r="A28" s="53">
        <v>45252</v>
      </c>
      <c r="B28" s="54">
        <v>550000</v>
      </c>
      <c r="C28" s="54">
        <v>2800000</v>
      </c>
      <c r="D28" s="58">
        <f t="shared" si="5"/>
        <v>3350000</v>
      </c>
      <c r="E28" s="60">
        <v>2250000</v>
      </c>
      <c r="F28" s="54">
        <f t="shared" si="6"/>
        <v>1100000</v>
      </c>
      <c r="G28" s="62">
        <f t="shared" si="7"/>
        <v>550000</v>
      </c>
      <c r="H28" s="55"/>
      <c r="I28" s="29"/>
      <c r="J28" s="27">
        <v>45259</v>
      </c>
      <c r="K28" s="30" t="s">
        <v>432</v>
      </c>
      <c r="L28" s="18">
        <v>1380000</v>
      </c>
    </row>
    <row r="29" spans="1:12">
      <c r="A29" s="53">
        <v>45253</v>
      </c>
      <c r="B29" s="54">
        <v>8100000</v>
      </c>
      <c r="C29" s="54">
        <v>3550000</v>
      </c>
      <c r="D29" s="58">
        <f t="shared" si="5"/>
        <v>11650000</v>
      </c>
      <c r="E29" s="60">
        <v>1345000</v>
      </c>
      <c r="F29" s="54">
        <f t="shared" si="6"/>
        <v>10305000</v>
      </c>
      <c r="G29" s="62">
        <f t="shared" si="7"/>
        <v>2205000</v>
      </c>
      <c r="H29" s="55"/>
      <c r="I29" s="29"/>
      <c r="J29" s="27"/>
      <c r="K29" s="30"/>
      <c r="L29" s="18"/>
    </row>
    <row r="30" spans="1:12">
      <c r="A30" s="53">
        <v>45254</v>
      </c>
      <c r="B30" s="54">
        <v>4000000</v>
      </c>
      <c r="C30" s="54">
        <v>3375000</v>
      </c>
      <c r="D30" s="58">
        <f t="shared" si="5"/>
        <v>7375000</v>
      </c>
      <c r="E30" s="60">
        <v>1955000</v>
      </c>
      <c r="F30" s="54">
        <f t="shared" si="6"/>
        <v>5420000</v>
      </c>
      <c r="G30" s="62">
        <f t="shared" si="7"/>
        <v>1420000</v>
      </c>
      <c r="H30" s="55"/>
      <c r="I30" s="29"/>
      <c r="J30" s="27"/>
      <c r="K30" s="30"/>
      <c r="L30" s="18"/>
    </row>
    <row r="31" spans="1:12">
      <c r="A31" s="53">
        <v>45255</v>
      </c>
      <c r="B31" s="54">
        <v>1700000</v>
      </c>
      <c r="C31" s="54">
        <v>4875000</v>
      </c>
      <c r="D31" s="58">
        <f t="shared" si="5"/>
        <v>6575000</v>
      </c>
      <c r="E31" s="60">
        <v>1455000</v>
      </c>
      <c r="F31" s="54">
        <f t="shared" si="6"/>
        <v>5120000</v>
      </c>
      <c r="G31" s="62">
        <f t="shared" si="7"/>
        <v>3420000</v>
      </c>
      <c r="H31" s="55"/>
      <c r="I31" s="29"/>
      <c r="J31" s="27"/>
      <c r="K31" s="30"/>
      <c r="L31" s="18"/>
    </row>
    <row r="32" spans="1:12">
      <c r="A32" s="53">
        <v>45256</v>
      </c>
      <c r="B32" s="54">
        <v>10055000</v>
      </c>
      <c r="C32" s="54"/>
      <c r="D32" s="58">
        <v>10055000</v>
      </c>
      <c r="E32" s="60">
        <v>1600000</v>
      </c>
      <c r="F32" s="54">
        <f t="shared" si="6"/>
        <v>8455000</v>
      </c>
      <c r="G32" s="62">
        <f t="shared" si="7"/>
        <v>-1600000</v>
      </c>
      <c r="H32" s="55"/>
      <c r="I32" s="29"/>
      <c r="J32" s="27"/>
      <c r="K32" s="30"/>
      <c r="L32" s="18"/>
    </row>
    <row r="33" spans="1:12">
      <c r="A33" s="53">
        <v>45257</v>
      </c>
      <c r="B33" s="54">
        <v>16725000</v>
      </c>
      <c r="C33" s="54">
        <v>2400000</v>
      </c>
      <c r="D33" s="58">
        <f>B33+C33</f>
        <v>19125000</v>
      </c>
      <c r="E33" s="60">
        <v>1420000</v>
      </c>
      <c r="F33" s="54">
        <f>D33-E33</f>
        <v>17705000</v>
      </c>
      <c r="G33" s="62">
        <f>C33-E33</f>
        <v>980000</v>
      </c>
      <c r="H33" s="55"/>
      <c r="I33" s="29"/>
      <c r="J33" s="27"/>
      <c r="K33" s="30"/>
      <c r="L33" s="18"/>
    </row>
    <row r="34" spans="1:12">
      <c r="A34" s="12">
        <v>45258</v>
      </c>
      <c r="B34" s="13">
        <v>4400000</v>
      </c>
      <c r="C34" s="13">
        <v>2000000</v>
      </c>
      <c r="D34" s="58">
        <f>B34+C34</f>
        <v>6400000</v>
      </c>
      <c r="E34" s="60">
        <v>1515000</v>
      </c>
      <c r="F34" s="13">
        <f>D34-E34</f>
        <v>4885000</v>
      </c>
      <c r="G34" s="62">
        <f>C34-E34</f>
        <v>485000</v>
      </c>
      <c r="H34" s="14"/>
      <c r="I34" s="29"/>
      <c r="J34" s="27"/>
      <c r="K34" s="30"/>
      <c r="L34" s="18"/>
    </row>
    <row r="35" spans="1:12">
      <c r="A35" s="12">
        <v>45259</v>
      </c>
      <c r="B35" s="13">
        <v>200000</v>
      </c>
      <c r="C35" s="13">
        <v>1100000</v>
      </c>
      <c r="D35" s="58">
        <f>B35+C35</f>
        <v>1300000</v>
      </c>
      <c r="E35" s="60">
        <v>1075000</v>
      </c>
      <c r="F35" s="13">
        <f>D35-E35</f>
        <v>225000</v>
      </c>
      <c r="G35" s="62">
        <f>C35-E35</f>
        <v>25000</v>
      </c>
      <c r="H35" s="14"/>
      <c r="I35" s="29"/>
      <c r="J35" s="35"/>
      <c r="K35" s="23"/>
      <c r="L35" s="66">
        <f>SUM(L6:L34)</f>
        <v>147060000</v>
      </c>
    </row>
    <row r="36" spans="1:12">
      <c r="A36" s="12">
        <v>45260</v>
      </c>
      <c r="B36" s="13">
        <v>2000000</v>
      </c>
      <c r="C36" s="13">
        <v>2500000</v>
      </c>
      <c r="D36" s="58">
        <f>B36+C36</f>
        <v>4500000</v>
      </c>
      <c r="E36" s="60">
        <v>1685000</v>
      </c>
      <c r="F36" s="13">
        <f>D36-E36</f>
        <v>2815000</v>
      </c>
      <c r="G36" s="62">
        <f>C36-E36</f>
        <v>815000</v>
      </c>
      <c r="H36" s="14"/>
      <c r="I36" s="29"/>
      <c r="J36" s="28"/>
      <c r="K36" s="1"/>
      <c r="L36" s="1"/>
    </row>
    <row r="37" spans="1:12" ht="15.75">
      <c r="A37" s="12"/>
      <c r="B37" s="13"/>
      <c r="C37" s="13"/>
      <c r="D37" s="58"/>
      <c r="E37" s="60"/>
      <c r="F37" s="13"/>
      <c r="G37" s="62"/>
      <c r="H37" s="14"/>
      <c r="I37" s="29"/>
      <c r="J37" s="36" t="s">
        <v>14</v>
      </c>
      <c r="K37" s="37" t="s">
        <v>15</v>
      </c>
      <c r="L37" s="64">
        <f>B44+C44</f>
        <v>200585000</v>
      </c>
    </row>
    <row r="38" spans="1:12" ht="15.75">
      <c r="A38" s="12"/>
      <c r="B38" s="13"/>
      <c r="C38" s="13"/>
      <c r="D38" s="58"/>
      <c r="E38" s="60"/>
      <c r="F38" s="13"/>
      <c r="G38" s="62"/>
      <c r="H38" s="14"/>
      <c r="I38" s="39"/>
      <c r="J38" s="40"/>
      <c r="K38" s="41" t="s">
        <v>16</v>
      </c>
      <c r="L38" s="65">
        <v>50740000</v>
      </c>
    </row>
    <row r="39" spans="1:12" ht="15.75">
      <c r="A39" s="12"/>
      <c r="B39" s="13"/>
      <c r="C39" s="13"/>
      <c r="D39" s="58"/>
      <c r="E39" s="60"/>
      <c r="F39" s="13"/>
      <c r="G39" s="62"/>
      <c r="H39" s="14"/>
      <c r="I39" s="29"/>
      <c r="J39" s="40"/>
      <c r="K39" s="41" t="s">
        <v>17</v>
      </c>
      <c r="L39" s="65">
        <v>147060000</v>
      </c>
    </row>
    <row r="40" spans="1:12" ht="15.75">
      <c r="A40" s="53"/>
      <c r="B40" s="54"/>
      <c r="C40" s="54"/>
      <c r="D40" s="58"/>
      <c r="E40" s="60"/>
      <c r="F40" s="54"/>
      <c r="G40" s="62"/>
      <c r="H40" s="55"/>
      <c r="I40" s="29"/>
      <c r="J40" s="40"/>
      <c r="K40" s="41" t="s">
        <v>18</v>
      </c>
      <c r="L40" s="42">
        <f>L38+L39</f>
        <v>197800000</v>
      </c>
    </row>
    <row r="41" spans="1:12" ht="15.75">
      <c r="A41" s="12"/>
      <c r="B41" s="13"/>
      <c r="C41" s="13"/>
      <c r="D41" s="58"/>
      <c r="E41" s="60"/>
      <c r="F41" s="13"/>
      <c r="G41" s="62"/>
      <c r="H41" s="14"/>
      <c r="I41" s="29"/>
      <c r="J41" s="40"/>
      <c r="K41" s="44"/>
      <c r="L41" s="38"/>
    </row>
    <row r="42" spans="1:12" ht="18">
      <c r="A42" s="12"/>
      <c r="B42" s="13"/>
      <c r="C42" s="13"/>
      <c r="D42" s="58"/>
      <c r="E42" s="60"/>
      <c r="F42" s="13"/>
      <c r="G42" s="62"/>
      <c r="H42" s="14"/>
      <c r="I42" s="29"/>
      <c r="J42" s="82" t="s">
        <v>419</v>
      </c>
      <c r="K42" s="82"/>
      <c r="L42" s="45">
        <f>L37-L40</f>
        <v>2785000</v>
      </c>
    </row>
    <row r="43" spans="1:12">
      <c r="A43" s="12"/>
      <c r="B43" s="13"/>
      <c r="C43" s="13"/>
      <c r="D43" s="58"/>
      <c r="E43" s="60"/>
      <c r="F43" s="13"/>
      <c r="G43" s="62"/>
      <c r="H43" s="14"/>
      <c r="I43" s="1"/>
      <c r="J43" s="29"/>
      <c r="K43" s="29"/>
      <c r="L43" s="1"/>
    </row>
    <row r="44" spans="1:12">
      <c r="A44" s="12"/>
      <c r="B44" s="46">
        <f t="shared" ref="B44:G44" si="8">SUM(B7:B43)</f>
        <v>129785000</v>
      </c>
      <c r="C44" s="46">
        <f t="shared" si="8"/>
        <v>70800000</v>
      </c>
      <c r="D44" s="59">
        <f t="shared" si="8"/>
        <v>200585000</v>
      </c>
      <c r="E44" s="61">
        <f t="shared" si="8"/>
        <v>50740000</v>
      </c>
      <c r="F44" s="57">
        <f t="shared" si="8"/>
        <v>149845000</v>
      </c>
      <c r="G44" s="63">
        <f t="shared" si="8"/>
        <v>20060000</v>
      </c>
      <c r="H44" s="29"/>
      <c r="I44" s="1"/>
      <c r="J44" s="1"/>
      <c r="K44" s="1"/>
      <c r="L44" s="1"/>
    </row>
    <row r="45" spans="1:12">
      <c r="A45" s="1"/>
      <c r="B45" s="1"/>
      <c r="C45" s="1"/>
      <c r="D45" s="47"/>
      <c r="E45" s="1"/>
      <c r="F45" s="1"/>
      <c r="G45" s="1"/>
      <c r="H45" s="29"/>
      <c r="I45" s="1"/>
      <c r="J45" s="1"/>
      <c r="K45" s="1"/>
      <c r="L45" s="1"/>
    </row>
  </sheetData>
  <mergeCells count="8">
    <mergeCell ref="G4:G5"/>
    <mergeCell ref="J42:K42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L40"/>
  <sheetViews>
    <sheetView tabSelected="1" workbookViewId="0">
      <selection activeCell="K46" sqref="K46"/>
    </sheetView>
  </sheetViews>
  <sheetFormatPr defaultRowHeight="15"/>
  <cols>
    <col min="1" max="1" width="7" customWidth="1"/>
    <col min="2" max="2" width="15.28515625" customWidth="1"/>
    <col min="3" max="3" width="13.85546875" customWidth="1"/>
    <col min="4" max="4" width="15.140625" customWidth="1"/>
    <col min="5" max="5" width="14.28515625" customWidth="1"/>
    <col min="6" max="6" width="15" customWidth="1"/>
    <col min="7" max="7" width="13.7109375" customWidth="1"/>
    <col min="11" max="11" width="40.140625" customWidth="1"/>
    <col min="12" max="12" width="16.85546875" customWidth="1"/>
  </cols>
  <sheetData>
    <row r="2" spans="1:12">
      <c r="A2" s="83" t="s">
        <v>438</v>
      </c>
      <c r="B2" s="84"/>
      <c r="C2" s="84"/>
      <c r="D2" s="84"/>
      <c r="E2" s="84"/>
      <c r="F2" s="1"/>
      <c r="G2" s="1"/>
      <c r="H2" s="1"/>
      <c r="I2" s="1"/>
      <c r="J2" s="1"/>
      <c r="K2" s="1"/>
      <c r="L2" s="1"/>
    </row>
    <row r="3" spans="1:12">
      <c r="A3" s="85"/>
      <c r="B3" s="85"/>
      <c r="C3" s="85"/>
      <c r="D3" s="85"/>
      <c r="E3" s="85"/>
      <c r="F3" s="1"/>
      <c r="G3" s="1"/>
      <c r="H3" s="1"/>
      <c r="I3" s="1"/>
      <c r="J3" s="1"/>
      <c r="K3" s="1"/>
      <c r="L3" s="1"/>
    </row>
    <row r="4" spans="1:12" ht="15.75">
      <c r="A4" s="86" t="s">
        <v>1</v>
      </c>
      <c r="B4" s="88" t="s">
        <v>2</v>
      </c>
      <c r="C4" s="89"/>
      <c r="D4" s="90" t="s">
        <v>3</v>
      </c>
      <c r="E4" s="80" t="s">
        <v>4</v>
      </c>
      <c r="F4" s="90" t="s">
        <v>5</v>
      </c>
      <c r="G4" s="80" t="s">
        <v>6</v>
      </c>
      <c r="H4" s="2"/>
      <c r="I4" s="3"/>
      <c r="J4" s="4" t="s">
        <v>7</v>
      </c>
      <c r="K4" s="5"/>
      <c r="L4" s="6"/>
    </row>
    <row r="5" spans="1:12" ht="15.75">
      <c r="A5" s="87"/>
      <c r="B5" s="7" t="s">
        <v>8</v>
      </c>
      <c r="C5" s="67" t="s">
        <v>9</v>
      </c>
      <c r="D5" s="91"/>
      <c r="E5" s="81"/>
      <c r="F5" s="91"/>
      <c r="G5" s="81"/>
      <c r="H5" s="2"/>
      <c r="I5" s="3"/>
      <c r="J5" s="9" t="s">
        <v>1</v>
      </c>
      <c r="K5" s="10" t="s">
        <v>10</v>
      </c>
      <c r="L5" s="11" t="s">
        <v>11</v>
      </c>
    </row>
    <row r="6" spans="1:12">
      <c r="A6" s="53"/>
      <c r="B6" s="69"/>
      <c r="C6" s="69"/>
      <c r="D6" s="71"/>
      <c r="E6" s="70"/>
      <c r="F6" s="69"/>
      <c r="G6" s="72"/>
      <c r="H6" s="55"/>
      <c r="I6" s="6"/>
      <c r="J6" s="12" t="s">
        <v>433</v>
      </c>
      <c r="K6" s="15" t="s">
        <v>434</v>
      </c>
      <c r="L6" s="16">
        <v>7200000</v>
      </c>
    </row>
    <row r="7" spans="1:12">
      <c r="A7" s="53" t="s">
        <v>433</v>
      </c>
      <c r="B7" s="54">
        <v>7400000</v>
      </c>
      <c r="C7" s="54"/>
      <c r="D7" s="58">
        <f>B7+C7</f>
        <v>7400000</v>
      </c>
      <c r="E7" s="60">
        <v>2485000</v>
      </c>
      <c r="F7" s="54">
        <f t="shared" ref="F7:F22" si="0">D7-E7</f>
        <v>4915000</v>
      </c>
      <c r="G7" s="62">
        <f t="shared" ref="G7:G22" si="1">C7-E7</f>
        <v>-2485000</v>
      </c>
      <c r="H7" s="55"/>
      <c r="I7" s="6"/>
      <c r="J7" s="75" t="s">
        <v>437</v>
      </c>
      <c r="K7" s="68" t="s">
        <v>211</v>
      </c>
      <c r="L7" s="18">
        <v>14500000</v>
      </c>
    </row>
    <row r="8" spans="1:12">
      <c r="A8" s="12" t="s">
        <v>435</v>
      </c>
      <c r="B8" s="13">
        <v>1900000</v>
      </c>
      <c r="C8" s="13">
        <v>1100000</v>
      </c>
      <c r="D8" s="58">
        <f>B8+C8</f>
        <v>3000000</v>
      </c>
      <c r="E8" s="60">
        <v>1300000</v>
      </c>
      <c r="F8" s="13">
        <f t="shared" si="0"/>
        <v>1700000</v>
      </c>
      <c r="G8" s="62">
        <f t="shared" si="1"/>
        <v>-200000</v>
      </c>
      <c r="H8" s="14"/>
      <c r="I8" s="19"/>
      <c r="J8" s="75" t="s">
        <v>445</v>
      </c>
      <c r="K8" s="68" t="s">
        <v>446</v>
      </c>
      <c r="L8" s="18">
        <v>7300000</v>
      </c>
    </row>
    <row r="9" spans="1:12">
      <c r="A9" s="12" t="s">
        <v>436</v>
      </c>
      <c r="B9" s="13"/>
      <c r="C9" s="13"/>
      <c r="D9" s="58"/>
      <c r="E9" s="60">
        <v>800000</v>
      </c>
      <c r="F9" s="13">
        <f t="shared" si="0"/>
        <v>-800000</v>
      </c>
      <c r="G9" s="62">
        <f t="shared" si="1"/>
        <v>-800000</v>
      </c>
      <c r="H9" s="14"/>
      <c r="I9" s="6"/>
      <c r="J9" s="20" t="s">
        <v>448</v>
      </c>
      <c r="K9" s="21" t="s">
        <v>77</v>
      </c>
      <c r="L9" s="18">
        <v>2000000</v>
      </c>
    </row>
    <row r="10" spans="1:12">
      <c r="A10" s="12" t="s">
        <v>437</v>
      </c>
      <c r="B10" s="13"/>
      <c r="C10" s="13">
        <v>850000</v>
      </c>
      <c r="D10" s="58">
        <v>850000</v>
      </c>
      <c r="E10" s="60">
        <v>1330000</v>
      </c>
      <c r="F10" s="54">
        <f t="shared" si="0"/>
        <v>-480000</v>
      </c>
      <c r="G10" s="62">
        <f t="shared" si="1"/>
        <v>-480000</v>
      </c>
      <c r="H10" s="14"/>
      <c r="I10" s="22"/>
      <c r="J10" s="20" t="s">
        <v>448</v>
      </c>
      <c r="K10" s="50" t="s">
        <v>450</v>
      </c>
      <c r="L10" s="18">
        <v>1000000</v>
      </c>
    </row>
    <row r="11" spans="1:12">
      <c r="A11" s="12" t="s">
        <v>440</v>
      </c>
      <c r="B11" s="13">
        <v>4850000</v>
      </c>
      <c r="C11" s="13">
        <v>430000</v>
      </c>
      <c r="D11" s="58">
        <f t="shared" ref="D11:D22" si="2">B11+C11</f>
        <v>5280000</v>
      </c>
      <c r="E11" s="60">
        <v>1470000</v>
      </c>
      <c r="F11" s="54">
        <f t="shared" si="0"/>
        <v>3810000</v>
      </c>
      <c r="G11" s="62">
        <f t="shared" si="1"/>
        <v>-1040000</v>
      </c>
      <c r="H11" s="14"/>
      <c r="I11" s="22"/>
      <c r="J11" s="12" t="s">
        <v>448</v>
      </c>
      <c r="K11" s="68" t="s">
        <v>451</v>
      </c>
      <c r="L11" s="18">
        <v>225000</v>
      </c>
    </row>
    <row r="12" spans="1:12">
      <c r="A12" s="12" t="s">
        <v>441</v>
      </c>
      <c r="B12" s="13">
        <v>1650000</v>
      </c>
      <c r="C12" s="54">
        <v>6850000</v>
      </c>
      <c r="D12" s="58">
        <f t="shared" si="2"/>
        <v>8500000</v>
      </c>
      <c r="E12" s="60">
        <v>1485000</v>
      </c>
      <c r="F12" s="13">
        <f t="shared" si="0"/>
        <v>7015000</v>
      </c>
      <c r="G12" s="62">
        <f t="shared" si="1"/>
        <v>5365000</v>
      </c>
      <c r="H12" s="14"/>
      <c r="I12" s="6"/>
      <c r="J12" s="12" t="s">
        <v>452</v>
      </c>
      <c r="K12" s="21" t="s">
        <v>453</v>
      </c>
      <c r="L12" s="18">
        <v>100000</v>
      </c>
    </row>
    <row r="13" spans="1:12">
      <c r="A13" s="12" t="s">
        <v>442</v>
      </c>
      <c r="B13" s="13">
        <v>6000000</v>
      </c>
      <c r="C13" s="13">
        <v>1200000</v>
      </c>
      <c r="D13" s="58">
        <f t="shared" si="2"/>
        <v>7200000</v>
      </c>
      <c r="E13" s="60">
        <v>1530000</v>
      </c>
      <c r="F13" s="13">
        <f t="shared" si="0"/>
        <v>5670000</v>
      </c>
      <c r="G13" s="62">
        <f t="shared" si="1"/>
        <v>-330000</v>
      </c>
      <c r="H13" s="14"/>
      <c r="I13" s="6"/>
      <c r="J13" s="12" t="s">
        <v>452</v>
      </c>
      <c r="K13" s="15" t="s">
        <v>211</v>
      </c>
      <c r="L13" s="18">
        <v>20000000</v>
      </c>
    </row>
    <row r="14" spans="1:12">
      <c r="A14" s="53" t="s">
        <v>443</v>
      </c>
      <c r="B14" s="54">
        <v>4700000</v>
      </c>
      <c r="C14" s="54">
        <v>2450000</v>
      </c>
      <c r="D14" s="58">
        <f t="shared" si="2"/>
        <v>7150000</v>
      </c>
      <c r="E14" s="60">
        <v>1725000</v>
      </c>
      <c r="F14" s="54">
        <f t="shared" si="0"/>
        <v>5425000</v>
      </c>
      <c r="G14" s="62">
        <f t="shared" si="1"/>
        <v>725000</v>
      </c>
      <c r="H14" s="56"/>
      <c r="I14" s="6"/>
      <c r="J14" s="12" t="s">
        <v>454</v>
      </c>
      <c r="K14" s="25" t="s">
        <v>47</v>
      </c>
      <c r="L14" s="18">
        <v>1300000</v>
      </c>
    </row>
    <row r="15" spans="1:12">
      <c r="A15" s="12" t="s">
        <v>444</v>
      </c>
      <c r="B15" s="13">
        <v>4000000</v>
      </c>
      <c r="C15" s="13">
        <v>900000</v>
      </c>
      <c r="D15" s="58">
        <f t="shared" si="2"/>
        <v>4900000</v>
      </c>
      <c r="E15" s="60">
        <v>1585000</v>
      </c>
      <c r="F15" s="13">
        <f t="shared" si="0"/>
        <v>3315000</v>
      </c>
      <c r="G15" s="62">
        <f t="shared" si="1"/>
        <v>-685000</v>
      </c>
      <c r="H15" s="24"/>
      <c r="I15" s="22"/>
      <c r="J15" s="12" t="s">
        <v>454</v>
      </c>
      <c r="K15" s="25" t="s">
        <v>382</v>
      </c>
      <c r="L15" s="18">
        <v>200000</v>
      </c>
    </row>
    <row r="16" spans="1:12">
      <c r="A16" s="12" t="s">
        <v>445</v>
      </c>
      <c r="B16" s="13">
        <v>1350000</v>
      </c>
      <c r="C16" s="13">
        <v>150000</v>
      </c>
      <c r="D16" s="58">
        <f t="shared" si="2"/>
        <v>1500000</v>
      </c>
      <c r="E16" s="60">
        <v>740000</v>
      </c>
      <c r="F16" s="13">
        <f t="shared" si="0"/>
        <v>760000</v>
      </c>
      <c r="G16" s="62">
        <f t="shared" si="1"/>
        <v>-590000</v>
      </c>
      <c r="H16" s="24"/>
      <c r="I16" s="26"/>
      <c r="J16" s="27">
        <v>45188</v>
      </c>
      <c r="K16" s="51" t="s">
        <v>382</v>
      </c>
      <c r="L16" s="52">
        <v>500000</v>
      </c>
    </row>
    <row r="17" spans="1:12">
      <c r="A17" s="12" t="s">
        <v>447</v>
      </c>
      <c r="B17" s="13">
        <v>11200000</v>
      </c>
      <c r="C17" s="13">
        <v>5485000</v>
      </c>
      <c r="D17" s="58">
        <f t="shared" si="2"/>
        <v>16685000</v>
      </c>
      <c r="E17" s="60">
        <v>2375000</v>
      </c>
      <c r="F17" s="13">
        <f t="shared" si="0"/>
        <v>14310000</v>
      </c>
      <c r="G17" s="62">
        <f t="shared" si="1"/>
        <v>3110000</v>
      </c>
      <c r="H17" s="24"/>
      <c r="I17" s="26"/>
      <c r="J17" s="12" t="s">
        <v>460</v>
      </c>
      <c r="K17" s="25" t="s">
        <v>461</v>
      </c>
      <c r="L17" s="18">
        <v>700000</v>
      </c>
    </row>
    <row r="18" spans="1:12">
      <c r="A18" s="12" t="s">
        <v>448</v>
      </c>
      <c r="B18" s="13">
        <v>3825000</v>
      </c>
      <c r="C18" s="13">
        <v>720000</v>
      </c>
      <c r="D18" s="58">
        <f t="shared" si="2"/>
        <v>4545000</v>
      </c>
      <c r="E18" s="60">
        <v>1670000</v>
      </c>
      <c r="F18" s="13">
        <f t="shared" si="0"/>
        <v>2875000</v>
      </c>
      <c r="G18" s="62">
        <f t="shared" si="1"/>
        <v>-950000</v>
      </c>
      <c r="H18" s="24"/>
      <c r="I18" s="29"/>
      <c r="J18" s="12" t="s">
        <v>460</v>
      </c>
      <c r="K18" s="23" t="s">
        <v>462</v>
      </c>
      <c r="L18" s="18">
        <v>250000</v>
      </c>
    </row>
    <row r="19" spans="1:12">
      <c r="A19" s="12" t="s">
        <v>449</v>
      </c>
      <c r="B19" s="13">
        <v>1450000</v>
      </c>
      <c r="C19" s="13">
        <v>2080000</v>
      </c>
      <c r="D19" s="58">
        <f t="shared" si="2"/>
        <v>3530000</v>
      </c>
      <c r="E19" s="60">
        <v>1475000</v>
      </c>
      <c r="F19" s="13">
        <f t="shared" si="0"/>
        <v>2055000</v>
      </c>
      <c r="G19" s="62">
        <f t="shared" si="1"/>
        <v>605000</v>
      </c>
      <c r="H19" s="24"/>
      <c r="I19" s="29"/>
      <c r="J19" s="27" t="s">
        <v>466</v>
      </c>
      <c r="K19" s="30" t="s">
        <v>467</v>
      </c>
      <c r="L19" s="18">
        <v>9200000</v>
      </c>
    </row>
    <row r="20" spans="1:12">
      <c r="A20" s="12" t="s">
        <v>452</v>
      </c>
      <c r="B20" s="13">
        <v>1700000</v>
      </c>
      <c r="C20" s="13">
        <v>1050000</v>
      </c>
      <c r="D20" s="58">
        <f t="shared" si="2"/>
        <v>2750000</v>
      </c>
      <c r="E20" s="60">
        <v>1505000</v>
      </c>
      <c r="F20" s="13">
        <f t="shared" si="0"/>
        <v>1245000</v>
      </c>
      <c r="G20" s="62">
        <f t="shared" si="1"/>
        <v>-455000</v>
      </c>
      <c r="H20" s="24"/>
      <c r="I20" s="31"/>
      <c r="J20" s="32" t="s">
        <v>466</v>
      </c>
      <c r="K20" s="23" t="s">
        <v>468</v>
      </c>
      <c r="L20" s="18">
        <v>40000000</v>
      </c>
    </row>
    <row r="21" spans="1:12">
      <c r="A21" s="53" t="s">
        <v>454</v>
      </c>
      <c r="B21" s="54">
        <v>2950000</v>
      </c>
      <c r="C21" s="54">
        <v>10100000</v>
      </c>
      <c r="D21" s="58">
        <f t="shared" si="2"/>
        <v>13050000</v>
      </c>
      <c r="E21" s="60">
        <v>2330000</v>
      </c>
      <c r="F21" s="54">
        <f t="shared" si="0"/>
        <v>10720000</v>
      </c>
      <c r="G21" s="62">
        <f t="shared" si="1"/>
        <v>7770000</v>
      </c>
      <c r="H21" s="55"/>
      <c r="I21" s="29"/>
      <c r="J21" s="27" t="s">
        <v>470</v>
      </c>
      <c r="K21" s="30" t="s">
        <v>471</v>
      </c>
      <c r="L21" s="18">
        <v>900000</v>
      </c>
    </row>
    <row r="22" spans="1:12">
      <c r="A22" s="12" t="s">
        <v>455</v>
      </c>
      <c r="B22" s="13">
        <v>5500000</v>
      </c>
      <c r="C22" s="13">
        <v>2200000</v>
      </c>
      <c r="D22" s="58">
        <f t="shared" si="2"/>
        <v>7700000</v>
      </c>
      <c r="E22" s="60">
        <v>1760000</v>
      </c>
      <c r="F22" s="13">
        <f t="shared" si="0"/>
        <v>5940000</v>
      </c>
      <c r="G22" s="62">
        <f t="shared" si="1"/>
        <v>440000</v>
      </c>
      <c r="H22" s="14"/>
      <c r="I22" s="29"/>
      <c r="J22" s="27" t="s">
        <v>470</v>
      </c>
      <c r="K22" s="30" t="s">
        <v>119</v>
      </c>
      <c r="L22" s="18">
        <v>1500000</v>
      </c>
    </row>
    <row r="23" spans="1:12">
      <c r="A23" s="48" t="s">
        <v>456</v>
      </c>
      <c r="B23" s="73"/>
      <c r="C23" s="73"/>
      <c r="D23" s="73"/>
      <c r="E23" s="73"/>
      <c r="F23" s="73"/>
      <c r="G23" s="73"/>
      <c r="H23" s="14"/>
      <c r="I23" s="31"/>
      <c r="J23" s="27" t="s">
        <v>470</v>
      </c>
      <c r="K23" s="30" t="s">
        <v>472</v>
      </c>
      <c r="L23" s="18">
        <v>500000</v>
      </c>
    </row>
    <row r="24" spans="1:12">
      <c r="A24" s="12" t="s">
        <v>457</v>
      </c>
      <c r="B24" s="13">
        <v>4200000</v>
      </c>
      <c r="C24" s="13">
        <v>2750000</v>
      </c>
      <c r="D24" s="58">
        <f t="shared" ref="D24:D36" si="3">B24+C24</f>
        <v>6950000</v>
      </c>
      <c r="E24" s="60">
        <v>1665000</v>
      </c>
      <c r="F24" s="13">
        <f t="shared" ref="F24:F36" si="4">D24-E24</f>
        <v>5285000</v>
      </c>
      <c r="G24" s="62">
        <f t="shared" ref="G24:G36" si="5">C24-E24</f>
        <v>1085000</v>
      </c>
      <c r="H24" s="14"/>
      <c r="I24" s="29"/>
      <c r="J24" s="27" t="s">
        <v>473</v>
      </c>
      <c r="K24" s="30" t="s">
        <v>475</v>
      </c>
      <c r="L24" s="18">
        <v>27700000</v>
      </c>
    </row>
    <row r="25" spans="1:12">
      <c r="A25" s="12" t="s">
        <v>459</v>
      </c>
      <c r="B25" s="13">
        <v>5925000</v>
      </c>
      <c r="C25" s="13">
        <v>1200000</v>
      </c>
      <c r="D25" s="58">
        <f t="shared" si="3"/>
        <v>7125000</v>
      </c>
      <c r="E25" s="60">
        <v>1535000</v>
      </c>
      <c r="F25" s="13">
        <f t="shared" si="4"/>
        <v>5590000</v>
      </c>
      <c r="G25" s="62">
        <f t="shared" si="5"/>
        <v>-335000</v>
      </c>
      <c r="H25" s="34"/>
      <c r="I25" s="29"/>
      <c r="J25" s="27" t="s">
        <v>473</v>
      </c>
      <c r="K25" s="30" t="s">
        <v>382</v>
      </c>
      <c r="L25" s="18">
        <v>200000</v>
      </c>
    </row>
    <row r="26" spans="1:12">
      <c r="A26" s="12" t="s">
        <v>458</v>
      </c>
      <c r="B26" s="13">
        <v>5875000</v>
      </c>
      <c r="C26" s="13">
        <v>3050000</v>
      </c>
      <c r="D26" s="58">
        <f t="shared" si="3"/>
        <v>8925000</v>
      </c>
      <c r="E26" s="60">
        <v>2380000</v>
      </c>
      <c r="F26" s="13">
        <f t="shared" si="4"/>
        <v>6545000</v>
      </c>
      <c r="G26" s="62">
        <f t="shared" si="5"/>
        <v>670000</v>
      </c>
      <c r="H26" s="14"/>
      <c r="I26" s="29"/>
      <c r="J26" s="27" t="s">
        <v>473</v>
      </c>
      <c r="K26" s="30" t="s">
        <v>474</v>
      </c>
      <c r="L26" s="18">
        <v>750000</v>
      </c>
    </row>
    <row r="27" spans="1:12">
      <c r="A27" s="12" t="s">
        <v>460</v>
      </c>
      <c r="B27" s="13">
        <v>6650000</v>
      </c>
      <c r="C27" s="13">
        <v>3400000</v>
      </c>
      <c r="D27" s="58">
        <f t="shared" si="3"/>
        <v>10050000</v>
      </c>
      <c r="E27" s="60">
        <v>3000000</v>
      </c>
      <c r="F27" s="13">
        <f t="shared" si="4"/>
        <v>7050000</v>
      </c>
      <c r="G27" s="62">
        <f t="shared" si="5"/>
        <v>400000</v>
      </c>
      <c r="H27" s="14"/>
      <c r="I27" s="29"/>
      <c r="J27" s="27" t="s">
        <v>477</v>
      </c>
      <c r="K27" s="30" t="s">
        <v>481</v>
      </c>
      <c r="L27" s="18">
        <v>10650000</v>
      </c>
    </row>
    <row r="28" spans="1:12">
      <c r="A28" s="53" t="s">
        <v>463</v>
      </c>
      <c r="B28" s="54">
        <v>3400000</v>
      </c>
      <c r="C28" s="54">
        <v>12300000</v>
      </c>
      <c r="D28" s="58">
        <f t="shared" si="3"/>
        <v>15700000</v>
      </c>
      <c r="E28" s="60">
        <v>2755000</v>
      </c>
      <c r="F28" s="54">
        <f t="shared" si="4"/>
        <v>12945000</v>
      </c>
      <c r="G28" s="62">
        <f t="shared" si="5"/>
        <v>9545000</v>
      </c>
      <c r="H28" s="55"/>
      <c r="I28" s="29"/>
      <c r="J28" s="27" t="s">
        <v>478</v>
      </c>
      <c r="K28" s="30" t="s">
        <v>479</v>
      </c>
      <c r="L28" s="18">
        <v>2500000</v>
      </c>
    </row>
    <row r="29" spans="1:12">
      <c r="A29" s="12" t="s">
        <v>464</v>
      </c>
      <c r="B29" s="13">
        <v>1800000</v>
      </c>
      <c r="C29" s="13">
        <v>2200000</v>
      </c>
      <c r="D29" s="58">
        <f t="shared" si="3"/>
        <v>4000000</v>
      </c>
      <c r="E29" s="60">
        <v>1985000</v>
      </c>
      <c r="F29" s="13">
        <f t="shared" si="4"/>
        <v>2015000</v>
      </c>
      <c r="G29" s="62">
        <f t="shared" si="5"/>
        <v>215000</v>
      </c>
      <c r="H29" s="14"/>
      <c r="I29" s="29"/>
      <c r="J29" s="27" t="s">
        <v>478</v>
      </c>
      <c r="K29" s="30" t="s">
        <v>480</v>
      </c>
      <c r="L29" s="18">
        <v>7760000</v>
      </c>
    </row>
    <row r="30" spans="1:12">
      <c r="A30" s="12" t="s">
        <v>465</v>
      </c>
      <c r="B30" s="13">
        <v>2500000</v>
      </c>
      <c r="C30" s="13">
        <v>700000</v>
      </c>
      <c r="D30" s="58">
        <f t="shared" si="3"/>
        <v>3200000</v>
      </c>
      <c r="E30" s="60">
        <v>770000</v>
      </c>
      <c r="F30" s="13">
        <f t="shared" si="4"/>
        <v>2430000</v>
      </c>
      <c r="G30" s="62">
        <f t="shared" si="5"/>
        <v>-70000</v>
      </c>
      <c r="H30" s="14"/>
      <c r="I30" s="29"/>
      <c r="J30" s="35"/>
      <c r="K30" s="23"/>
      <c r="L30" s="66">
        <f>SUM(L6:L29)</f>
        <v>156935000</v>
      </c>
    </row>
    <row r="31" spans="1:12">
      <c r="A31" s="12" t="s">
        <v>466</v>
      </c>
      <c r="B31" s="13">
        <v>10400000</v>
      </c>
      <c r="C31" s="13">
        <v>2000000</v>
      </c>
      <c r="D31" s="58">
        <f t="shared" si="3"/>
        <v>12400000</v>
      </c>
      <c r="E31" s="60">
        <v>1725000</v>
      </c>
      <c r="F31" s="13">
        <f t="shared" si="4"/>
        <v>10675000</v>
      </c>
      <c r="G31" s="62">
        <f t="shared" si="5"/>
        <v>275000</v>
      </c>
      <c r="H31" s="14"/>
      <c r="I31" s="29"/>
      <c r="J31" s="28"/>
      <c r="K31" s="1"/>
      <c r="L31" s="1"/>
    </row>
    <row r="32" spans="1:12" ht="15.75">
      <c r="A32" s="12" t="s">
        <v>469</v>
      </c>
      <c r="B32" s="13">
        <v>2300000</v>
      </c>
      <c r="C32" s="13">
        <v>600000</v>
      </c>
      <c r="D32" s="58">
        <f t="shared" si="3"/>
        <v>2900000</v>
      </c>
      <c r="E32" s="60">
        <v>1670000</v>
      </c>
      <c r="F32" s="13">
        <f t="shared" si="4"/>
        <v>1230000</v>
      </c>
      <c r="G32" s="62">
        <f t="shared" si="5"/>
        <v>-1070000</v>
      </c>
      <c r="H32" s="14"/>
      <c r="I32" s="29"/>
      <c r="J32" s="36" t="s">
        <v>14</v>
      </c>
      <c r="K32" s="37" t="s">
        <v>15</v>
      </c>
      <c r="L32" s="64">
        <f>B39+C39</f>
        <v>207745000</v>
      </c>
    </row>
    <row r="33" spans="1:12" ht="15.75">
      <c r="A33" s="12" t="s">
        <v>470</v>
      </c>
      <c r="B33" s="13">
        <v>4300000</v>
      </c>
      <c r="C33" s="13">
        <v>2550000</v>
      </c>
      <c r="D33" s="58">
        <f t="shared" si="3"/>
        <v>6850000</v>
      </c>
      <c r="E33" s="60">
        <v>1635000</v>
      </c>
      <c r="F33" s="13">
        <f t="shared" si="4"/>
        <v>5215000</v>
      </c>
      <c r="G33" s="62">
        <f t="shared" si="5"/>
        <v>915000</v>
      </c>
      <c r="H33" s="14"/>
      <c r="I33" s="39"/>
      <c r="J33" s="40"/>
      <c r="K33" s="41" t="s">
        <v>16</v>
      </c>
      <c r="L33" s="65">
        <v>49860000</v>
      </c>
    </row>
    <row r="34" spans="1:12" ht="15.75">
      <c r="A34" s="12" t="s">
        <v>473</v>
      </c>
      <c r="B34" s="13">
        <v>580000</v>
      </c>
      <c r="C34" s="13">
        <v>5575000</v>
      </c>
      <c r="D34" s="58">
        <f t="shared" si="3"/>
        <v>6155000</v>
      </c>
      <c r="E34" s="60">
        <v>1185000</v>
      </c>
      <c r="F34" s="13">
        <f t="shared" si="4"/>
        <v>4970000</v>
      </c>
      <c r="G34" s="62">
        <f t="shared" si="5"/>
        <v>4390000</v>
      </c>
      <c r="H34" s="14"/>
      <c r="I34" s="29"/>
      <c r="J34" s="40"/>
      <c r="K34" s="41" t="s">
        <v>17</v>
      </c>
      <c r="L34" s="65">
        <v>156935000</v>
      </c>
    </row>
    <row r="35" spans="1:12" ht="15.75">
      <c r="A35" s="53" t="s">
        <v>476</v>
      </c>
      <c r="B35" s="54">
        <v>1550000</v>
      </c>
      <c r="C35" s="54">
        <v>2800000</v>
      </c>
      <c r="D35" s="58">
        <f t="shared" si="3"/>
        <v>4350000</v>
      </c>
      <c r="E35" s="60">
        <v>2540000</v>
      </c>
      <c r="F35" s="54">
        <f t="shared" si="4"/>
        <v>1810000</v>
      </c>
      <c r="G35" s="62">
        <f t="shared" si="5"/>
        <v>260000</v>
      </c>
      <c r="H35" s="55"/>
      <c r="I35" s="29"/>
      <c r="J35" s="40"/>
      <c r="K35" s="41" t="s">
        <v>18</v>
      </c>
      <c r="L35" s="42">
        <f>L33+L34</f>
        <v>206795000</v>
      </c>
    </row>
    <row r="36" spans="1:12" ht="15.75">
      <c r="A36" s="12" t="s">
        <v>476</v>
      </c>
      <c r="B36" s="13">
        <v>19500000</v>
      </c>
      <c r="C36" s="13">
        <v>5600000</v>
      </c>
      <c r="D36" s="58">
        <f t="shared" si="3"/>
        <v>25100000</v>
      </c>
      <c r="E36" s="60">
        <v>1450000</v>
      </c>
      <c r="F36" s="13">
        <f t="shared" si="4"/>
        <v>23650000</v>
      </c>
      <c r="G36" s="62">
        <f t="shared" si="5"/>
        <v>4150000</v>
      </c>
      <c r="H36" s="14"/>
      <c r="I36" s="29"/>
      <c r="J36" s="40"/>
      <c r="K36" s="44"/>
      <c r="L36" s="38"/>
    </row>
    <row r="37" spans="1:12" ht="18">
      <c r="A37" s="12"/>
      <c r="B37" s="13"/>
      <c r="C37" s="13"/>
      <c r="D37" s="58"/>
      <c r="E37" s="60"/>
      <c r="F37" s="13"/>
      <c r="G37" s="62"/>
      <c r="H37" s="14"/>
      <c r="I37" s="29"/>
      <c r="J37" s="82" t="s">
        <v>439</v>
      </c>
      <c r="K37" s="82"/>
      <c r="L37" s="45">
        <f>L32-L35</f>
        <v>950000</v>
      </c>
    </row>
    <row r="38" spans="1:12">
      <c r="A38" s="12"/>
      <c r="B38" s="13"/>
      <c r="C38" s="13"/>
      <c r="D38" s="58"/>
      <c r="E38" s="60"/>
      <c r="F38" s="13"/>
      <c r="G38" s="62"/>
      <c r="H38" s="14"/>
      <c r="I38" s="1"/>
      <c r="J38" s="29"/>
      <c r="K38" s="29"/>
      <c r="L38" s="1"/>
    </row>
    <row r="39" spans="1:12">
      <c r="A39" s="12"/>
      <c r="B39" s="46">
        <f t="shared" ref="B39:G39" si="6">SUM(B7:B38)</f>
        <v>127455000</v>
      </c>
      <c r="C39" s="46">
        <f t="shared" si="6"/>
        <v>80290000</v>
      </c>
      <c r="D39" s="59">
        <f t="shared" si="6"/>
        <v>207745000</v>
      </c>
      <c r="E39" s="61">
        <f t="shared" si="6"/>
        <v>49860000</v>
      </c>
      <c r="F39" s="57">
        <f t="shared" si="6"/>
        <v>157885000</v>
      </c>
      <c r="G39" s="63">
        <f t="shared" si="6"/>
        <v>30430000</v>
      </c>
      <c r="H39" s="29"/>
      <c r="I39" s="1"/>
      <c r="J39" s="1"/>
      <c r="K39" s="1"/>
      <c r="L39" s="1"/>
    </row>
    <row r="40" spans="1:12">
      <c r="A40" s="1"/>
      <c r="B40" s="1"/>
      <c r="C40" s="1"/>
      <c r="D40" s="47"/>
      <c r="E40" s="1"/>
      <c r="F40" s="1"/>
      <c r="G40" s="1"/>
      <c r="H40" s="29"/>
      <c r="I40" s="1"/>
      <c r="J40" s="1"/>
      <c r="K40" s="1"/>
      <c r="L40" s="1"/>
    </row>
  </sheetData>
  <mergeCells count="8">
    <mergeCell ref="G4:G5"/>
    <mergeCell ref="J37:K37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MAI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araw film</dc:creator>
  <cp:lastModifiedBy>user</cp:lastModifiedBy>
  <cp:lastPrinted>2023-06-01T05:26:21Z</cp:lastPrinted>
  <dcterms:created xsi:type="dcterms:W3CDTF">2023-01-09T03:31:31Z</dcterms:created>
  <dcterms:modified xsi:type="dcterms:W3CDTF">2024-01-02T04:05:46Z</dcterms:modified>
</cp:coreProperties>
</file>