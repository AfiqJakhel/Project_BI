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9210" activeTab="2"/>
  </bookViews>
  <sheets>
    <sheet name="JAN" sheetId="1" r:id="rId1"/>
    <sheet name="FEB" sheetId="2" r:id="rId2"/>
    <sheet name="MAR" sheetId="3" r:id="rId3"/>
    <sheet name="APRIL" sheetId="4" r:id="rId4"/>
    <sheet name="MEI" sheetId="5" r:id="rId5"/>
    <sheet name="JUNI" sheetId="6" r:id="rId6"/>
    <sheet name="JULI" sheetId="7" r:id="rId7"/>
    <sheet name="AGUS" sheetId="8" r:id="rId8"/>
    <sheet name="SEPT" sheetId="9" r:id="rId9"/>
    <sheet name="OKT" sheetId="10" r:id="rId10"/>
    <sheet name="NOV" sheetId="11" r:id="rId11"/>
    <sheet name="DES" sheetId="12" r:id="rId12"/>
  </sheets>
  <calcPr calcId="124519"/>
</workbook>
</file>

<file path=xl/calcChain.xml><?xml version="1.0" encoding="utf-8"?>
<calcChain xmlns="http://schemas.openxmlformats.org/spreadsheetml/2006/main">
  <c r="E51" i="12"/>
  <c r="C51"/>
  <c r="B51"/>
  <c r="L45"/>
  <c r="L44"/>
  <c r="L46" s="1"/>
  <c r="L43"/>
  <c r="L41"/>
  <c r="G38"/>
  <c r="D38"/>
  <c r="F38" s="1"/>
  <c r="G37"/>
  <c r="F37"/>
  <c r="D37"/>
  <c r="G36"/>
  <c r="D36"/>
  <c r="F36" s="1"/>
  <c r="G35"/>
  <c r="F35"/>
  <c r="D35"/>
  <c r="G34"/>
  <c r="D34"/>
  <c r="F34" s="1"/>
  <c r="G33"/>
  <c r="F33"/>
  <c r="D33"/>
  <c r="G32"/>
  <c r="D32"/>
  <c r="F32" s="1"/>
  <c r="G31"/>
  <c r="F31"/>
  <c r="D31"/>
  <c r="G30"/>
  <c r="G29"/>
  <c r="D29"/>
  <c r="F29" s="1"/>
  <c r="G28"/>
  <c r="D28"/>
  <c r="F28" s="1"/>
  <c r="G27"/>
  <c r="F27"/>
  <c r="D27"/>
  <c r="G26"/>
  <c r="D26"/>
  <c r="F26" s="1"/>
  <c r="G25"/>
  <c r="F25"/>
  <c r="D25"/>
  <c r="G24"/>
  <c r="D24"/>
  <c r="F24" s="1"/>
  <c r="G23"/>
  <c r="F23"/>
  <c r="D23"/>
  <c r="G22"/>
  <c r="D22"/>
  <c r="F22" s="1"/>
  <c r="G21"/>
  <c r="D21"/>
  <c r="F21" s="1"/>
  <c r="G20"/>
  <c r="D20"/>
  <c r="F20" s="1"/>
  <c r="G19"/>
  <c r="F19"/>
  <c r="D19"/>
  <c r="G18"/>
  <c r="D18"/>
  <c r="F18" s="1"/>
  <c r="G17"/>
  <c r="F17"/>
  <c r="D17"/>
  <c r="G16"/>
  <c r="D16"/>
  <c r="F16" s="1"/>
  <c r="G15"/>
  <c r="F15"/>
  <c r="D15"/>
  <c r="G14"/>
  <c r="D14"/>
  <c r="F14" s="1"/>
  <c r="G13"/>
  <c r="F13"/>
  <c r="D13"/>
  <c r="G12"/>
  <c r="D12"/>
  <c r="F12" s="1"/>
  <c r="G11"/>
  <c r="F11"/>
  <c r="D11"/>
  <c r="G10"/>
  <c r="D10"/>
  <c r="F10" s="1"/>
  <c r="G9"/>
  <c r="F9"/>
  <c r="D9"/>
  <c r="G8"/>
  <c r="D8"/>
  <c r="D51" s="1"/>
  <c r="G7"/>
  <c r="G51" s="1"/>
  <c r="E51" i="11"/>
  <c r="C51"/>
  <c r="B51"/>
  <c r="L43" s="1"/>
  <c r="L44"/>
  <c r="L41"/>
  <c r="L45" s="1"/>
  <c r="G38"/>
  <c r="F38"/>
  <c r="D38"/>
  <c r="G37"/>
  <c r="D37"/>
  <c r="F37" s="1"/>
  <c r="G36"/>
  <c r="F36"/>
  <c r="D36"/>
  <c r="G35"/>
  <c r="D35"/>
  <c r="F35" s="1"/>
  <c r="G34"/>
  <c r="F34"/>
  <c r="D34"/>
  <c r="G33"/>
  <c r="D33"/>
  <c r="F33" s="1"/>
  <c r="G32"/>
  <c r="F32"/>
  <c r="D32"/>
  <c r="G31"/>
  <c r="D31"/>
  <c r="F31" s="1"/>
  <c r="G30"/>
  <c r="G29"/>
  <c r="D29"/>
  <c r="F29" s="1"/>
  <c r="G28"/>
  <c r="F28"/>
  <c r="D28"/>
  <c r="G27"/>
  <c r="D27"/>
  <c r="F27" s="1"/>
  <c r="G26"/>
  <c r="F26"/>
  <c r="D26"/>
  <c r="G25"/>
  <c r="D25"/>
  <c r="F25" s="1"/>
  <c r="G24"/>
  <c r="F24"/>
  <c r="D24"/>
  <c r="G23"/>
  <c r="D23"/>
  <c r="F23" s="1"/>
  <c r="G22"/>
  <c r="F22"/>
  <c r="D22"/>
  <c r="G21"/>
  <c r="D21"/>
  <c r="F21" s="1"/>
  <c r="G20"/>
  <c r="F20"/>
  <c r="D20"/>
  <c r="G19"/>
  <c r="D19"/>
  <c r="F19" s="1"/>
  <c r="G18"/>
  <c r="F18"/>
  <c r="D18"/>
  <c r="G17"/>
  <c r="D17"/>
  <c r="F17" s="1"/>
  <c r="G16"/>
  <c r="F16"/>
  <c r="D16"/>
  <c r="G15"/>
  <c r="D15"/>
  <c r="F15" s="1"/>
  <c r="G14"/>
  <c r="F14"/>
  <c r="D14"/>
  <c r="G13"/>
  <c r="D13"/>
  <c r="F13" s="1"/>
  <c r="G12"/>
  <c r="F12"/>
  <c r="D12"/>
  <c r="G11"/>
  <c r="D11"/>
  <c r="F11" s="1"/>
  <c r="G10"/>
  <c r="F10"/>
  <c r="D10"/>
  <c r="G9"/>
  <c r="D9"/>
  <c r="F9" s="1"/>
  <c r="G8"/>
  <c r="F8"/>
  <c r="D8"/>
  <c r="G7"/>
  <c r="G51" s="1"/>
  <c r="E51" i="10"/>
  <c r="C51"/>
  <c r="B51"/>
  <c r="L44"/>
  <c r="L43"/>
  <c r="L41"/>
  <c r="L45" s="1"/>
  <c r="G38"/>
  <c r="D38"/>
  <c r="F38" s="1"/>
  <c r="G37"/>
  <c r="D37"/>
  <c r="F37" s="1"/>
  <c r="G36"/>
  <c r="F36"/>
  <c r="D36"/>
  <c r="G35"/>
  <c r="D35"/>
  <c r="F35" s="1"/>
  <c r="G34"/>
  <c r="F34"/>
  <c r="D34"/>
  <c r="G33"/>
  <c r="D33"/>
  <c r="F33" s="1"/>
  <c r="G32"/>
  <c r="F32"/>
  <c r="D32"/>
  <c r="G31"/>
  <c r="D31"/>
  <c r="F31" s="1"/>
  <c r="G30"/>
  <c r="G29"/>
  <c r="D29"/>
  <c r="F29" s="1"/>
  <c r="G28"/>
  <c r="F28"/>
  <c r="D28"/>
  <c r="G27"/>
  <c r="D27"/>
  <c r="F27" s="1"/>
  <c r="G26"/>
  <c r="F26"/>
  <c r="D26"/>
  <c r="G25"/>
  <c r="D25"/>
  <c r="F25" s="1"/>
  <c r="G24"/>
  <c r="F24"/>
  <c r="D24"/>
  <c r="G23"/>
  <c r="D23"/>
  <c r="F23" s="1"/>
  <c r="G22"/>
  <c r="F22"/>
  <c r="D22"/>
  <c r="G21"/>
  <c r="D21"/>
  <c r="F21" s="1"/>
  <c r="G20"/>
  <c r="F20"/>
  <c r="D20"/>
  <c r="G19"/>
  <c r="D19"/>
  <c r="F19" s="1"/>
  <c r="G18"/>
  <c r="F18"/>
  <c r="D18"/>
  <c r="G17"/>
  <c r="D17"/>
  <c r="F17" s="1"/>
  <c r="G16"/>
  <c r="F16"/>
  <c r="D16"/>
  <c r="G15"/>
  <c r="D15"/>
  <c r="F15" s="1"/>
  <c r="G14"/>
  <c r="D14"/>
  <c r="F14" s="1"/>
  <c r="G13"/>
  <c r="D13"/>
  <c r="F13" s="1"/>
  <c r="G12"/>
  <c r="F12"/>
  <c r="D12"/>
  <c r="G11"/>
  <c r="D11"/>
  <c r="F11" s="1"/>
  <c r="G10"/>
  <c r="F10"/>
  <c r="D10"/>
  <c r="G9"/>
  <c r="D9"/>
  <c r="F9" s="1"/>
  <c r="G8"/>
  <c r="F8"/>
  <c r="F51" s="1"/>
  <c r="D8"/>
  <c r="D51" s="1"/>
  <c r="G7"/>
  <c r="G51" s="1"/>
  <c r="E51" i="9"/>
  <c r="C51"/>
  <c r="B51"/>
  <c r="L44"/>
  <c r="L43"/>
  <c r="L41"/>
  <c r="L45" s="1"/>
  <c r="G38"/>
  <c r="D38"/>
  <c r="F38" s="1"/>
  <c r="G37"/>
  <c r="D37"/>
  <c r="F37" s="1"/>
  <c r="G36"/>
  <c r="D36"/>
  <c r="F36" s="1"/>
  <c r="G35"/>
  <c r="F35"/>
  <c r="D35"/>
  <c r="G34"/>
  <c r="D34"/>
  <c r="F34" s="1"/>
  <c r="G33"/>
  <c r="F33"/>
  <c r="D33"/>
  <c r="G32"/>
  <c r="D32"/>
  <c r="F32" s="1"/>
  <c r="G31"/>
  <c r="F31"/>
  <c r="D31"/>
  <c r="G30"/>
  <c r="G29"/>
  <c r="D29"/>
  <c r="F29" s="1"/>
  <c r="G28"/>
  <c r="D28"/>
  <c r="F28" s="1"/>
  <c r="G27"/>
  <c r="F27"/>
  <c r="D27"/>
  <c r="G26"/>
  <c r="D26"/>
  <c r="F26" s="1"/>
  <c r="G25"/>
  <c r="F25"/>
  <c r="D25"/>
  <c r="G24"/>
  <c r="D24"/>
  <c r="F24" s="1"/>
  <c r="G23"/>
  <c r="F23"/>
  <c r="D23"/>
  <c r="G22"/>
  <c r="D22"/>
  <c r="F22" s="1"/>
  <c r="G21"/>
  <c r="F21"/>
  <c r="D21"/>
  <c r="G20"/>
  <c r="D20"/>
  <c r="F20" s="1"/>
  <c r="G19"/>
  <c r="F19"/>
  <c r="D19"/>
  <c r="G18"/>
  <c r="D18"/>
  <c r="F18" s="1"/>
  <c r="G17"/>
  <c r="F17"/>
  <c r="D17"/>
  <c r="G16"/>
  <c r="D16"/>
  <c r="F16" s="1"/>
  <c r="G15"/>
  <c r="F15"/>
  <c r="D15"/>
  <c r="G14"/>
  <c r="D14"/>
  <c r="F14" s="1"/>
  <c r="G13"/>
  <c r="F13"/>
  <c r="D13"/>
  <c r="G12"/>
  <c r="D12"/>
  <c r="F12" s="1"/>
  <c r="G11"/>
  <c r="F11"/>
  <c r="D11"/>
  <c r="G10"/>
  <c r="D10"/>
  <c r="F10" s="1"/>
  <c r="G9"/>
  <c r="F9"/>
  <c r="D9"/>
  <c r="G8"/>
  <c r="D8"/>
  <c r="D51" s="1"/>
  <c r="G7"/>
  <c r="G51" s="1"/>
  <c r="E51" i="8"/>
  <c r="C51"/>
  <c r="B51"/>
  <c r="L44"/>
  <c r="L43"/>
  <c r="L41"/>
  <c r="L45" s="1"/>
  <c r="G38"/>
  <c r="F38"/>
  <c r="D38"/>
  <c r="G37"/>
  <c r="D37"/>
  <c r="F37" s="1"/>
  <c r="G36"/>
  <c r="F36"/>
  <c r="D36"/>
  <c r="G35"/>
  <c r="D35"/>
  <c r="F35" s="1"/>
  <c r="G34"/>
  <c r="F34"/>
  <c r="D34"/>
  <c r="G33"/>
  <c r="D33"/>
  <c r="F33" s="1"/>
  <c r="G32"/>
  <c r="F32"/>
  <c r="D32"/>
  <c r="G31"/>
  <c r="D31"/>
  <c r="F31" s="1"/>
  <c r="G30"/>
  <c r="G29"/>
  <c r="D29"/>
  <c r="F29" s="1"/>
  <c r="G28"/>
  <c r="D28"/>
  <c r="F28" s="1"/>
  <c r="G27"/>
  <c r="D27"/>
  <c r="F27" s="1"/>
  <c r="G26"/>
  <c r="D26"/>
  <c r="F26" s="1"/>
  <c r="G25"/>
  <c r="D25"/>
  <c r="F25" s="1"/>
  <c r="G24"/>
  <c r="F24"/>
  <c r="D24"/>
  <c r="G23"/>
  <c r="D23"/>
  <c r="F23" s="1"/>
  <c r="G22"/>
  <c r="F22"/>
  <c r="D22"/>
  <c r="G21"/>
  <c r="D21"/>
  <c r="F21" s="1"/>
  <c r="G20"/>
  <c r="F20"/>
  <c r="D20"/>
  <c r="G19"/>
  <c r="D19"/>
  <c r="F19" s="1"/>
  <c r="G18"/>
  <c r="F18"/>
  <c r="D18"/>
  <c r="G17"/>
  <c r="D17"/>
  <c r="F17" s="1"/>
  <c r="G16"/>
  <c r="F16"/>
  <c r="D16"/>
  <c r="G15"/>
  <c r="D15"/>
  <c r="F15" s="1"/>
  <c r="G14"/>
  <c r="F14"/>
  <c r="D14"/>
  <c r="G13"/>
  <c r="D13"/>
  <c r="F13" s="1"/>
  <c r="G12"/>
  <c r="F12"/>
  <c r="D12"/>
  <c r="G11"/>
  <c r="D11"/>
  <c r="F11" s="1"/>
  <c r="G10"/>
  <c r="F10"/>
  <c r="D10"/>
  <c r="G9"/>
  <c r="D9"/>
  <c r="F9" s="1"/>
  <c r="G8"/>
  <c r="F8"/>
  <c r="F51" s="1"/>
  <c r="D8"/>
  <c r="D51" s="1"/>
  <c r="G7"/>
  <c r="G51" s="1"/>
  <c r="E51" i="7"/>
  <c r="C51"/>
  <c r="B51"/>
  <c r="L44"/>
  <c r="L43"/>
  <c r="L41"/>
  <c r="L45" s="1"/>
  <c r="G38"/>
  <c r="D38"/>
  <c r="F38" s="1"/>
  <c r="G37"/>
  <c r="D37"/>
  <c r="F37" s="1"/>
  <c r="G36"/>
  <c r="F36"/>
  <c r="D36"/>
  <c r="G35"/>
  <c r="D35"/>
  <c r="F35" s="1"/>
  <c r="G34"/>
  <c r="F34"/>
  <c r="D34"/>
  <c r="G33"/>
  <c r="D33"/>
  <c r="F33" s="1"/>
  <c r="G32"/>
  <c r="F32"/>
  <c r="D32"/>
  <c r="G31"/>
  <c r="D31"/>
  <c r="F31" s="1"/>
  <c r="G30"/>
  <c r="G29"/>
  <c r="D29"/>
  <c r="F29" s="1"/>
  <c r="G28"/>
  <c r="F28"/>
  <c r="D28"/>
  <c r="G27"/>
  <c r="D27"/>
  <c r="F27" s="1"/>
  <c r="G26"/>
  <c r="F26"/>
  <c r="D26"/>
  <c r="G25"/>
  <c r="D25"/>
  <c r="F25" s="1"/>
  <c r="G24"/>
  <c r="F24"/>
  <c r="D24"/>
  <c r="G23"/>
  <c r="D23"/>
  <c r="F23" s="1"/>
  <c r="G22"/>
  <c r="F22"/>
  <c r="D22"/>
  <c r="G21"/>
  <c r="D21"/>
  <c r="F21" s="1"/>
  <c r="G20"/>
  <c r="F20"/>
  <c r="D20"/>
  <c r="G19"/>
  <c r="D19"/>
  <c r="F19" s="1"/>
  <c r="G18"/>
  <c r="F18"/>
  <c r="D18"/>
  <c r="G17"/>
  <c r="D17"/>
  <c r="F17" s="1"/>
  <c r="G16"/>
  <c r="D16"/>
  <c r="F16" s="1"/>
  <c r="G15"/>
  <c r="D15"/>
  <c r="F15" s="1"/>
  <c r="G14"/>
  <c r="F14"/>
  <c r="D14"/>
  <c r="G13"/>
  <c r="D13"/>
  <c r="F13" s="1"/>
  <c r="G12"/>
  <c r="F12"/>
  <c r="D12"/>
  <c r="G11"/>
  <c r="D11"/>
  <c r="F11" s="1"/>
  <c r="G10"/>
  <c r="F10"/>
  <c r="D10"/>
  <c r="G9"/>
  <c r="D9"/>
  <c r="F9" s="1"/>
  <c r="G8"/>
  <c r="F8"/>
  <c r="F51" s="1"/>
  <c r="D8"/>
  <c r="D51" s="1"/>
  <c r="G7"/>
  <c r="G51" s="1"/>
  <c r="E51" i="6"/>
  <c r="C51"/>
  <c r="B51"/>
  <c r="L44"/>
  <c r="L43"/>
  <c r="L41"/>
  <c r="L45" s="1"/>
  <c r="G38"/>
  <c r="F38"/>
  <c r="D38"/>
  <c r="G37"/>
  <c r="D37"/>
  <c r="F37" s="1"/>
  <c r="G36"/>
  <c r="F36"/>
  <c r="D36"/>
  <c r="G35"/>
  <c r="D35"/>
  <c r="F35" s="1"/>
  <c r="G34"/>
  <c r="F34"/>
  <c r="D34"/>
  <c r="G33"/>
  <c r="D33"/>
  <c r="F33" s="1"/>
  <c r="G32"/>
  <c r="F32"/>
  <c r="D32"/>
  <c r="G31"/>
  <c r="D31"/>
  <c r="F31" s="1"/>
  <c r="G30"/>
  <c r="G29"/>
  <c r="D29"/>
  <c r="F29" s="1"/>
  <c r="G28"/>
  <c r="F28"/>
  <c r="D28"/>
  <c r="G27"/>
  <c r="D27"/>
  <c r="F27" s="1"/>
  <c r="G26"/>
  <c r="F26"/>
  <c r="D26"/>
  <c r="G25"/>
  <c r="D25"/>
  <c r="F25" s="1"/>
  <c r="G24"/>
  <c r="F24"/>
  <c r="D24"/>
  <c r="G23"/>
  <c r="D23"/>
  <c r="F23" s="1"/>
  <c r="G22"/>
  <c r="D22"/>
  <c r="F22" s="1"/>
  <c r="G21"/>
  <c r="D21"/>
  <c r="F21" s="1"/>
  <c r="G20"/>
  <c r="D20"/>
  <c r="F20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F14"/>
  <c r="D14"/>
  <c r="G13"/>
  <c r="D13"/>
  <c r="F13" s="1"/>
  <c r="G12"/>
  <c r="F12"/>
  <c r="D12"/>
  <c r="G11"/>
  <c r="D11"/>
  <c r="F11" s="1"/>
  <c r="G10"/>
  <c r="D10"/>
  <c r="F10" s="1"/>
  <c r="G9"/>
  <c r="D9"/>
  <c r="F9" s="1"/>
  <c r="G8"/>
  <c r="D8"/>
  <c r="D51" s="1"/>
  <c r="G7"/>
  <c r="G51" s="1"/>
  <c r="E51" i="5"/>
  <c r="C51"/>
  <c r="B51"/>
  <c r="L44"/>
  <c r="L43"/>
  <c r="L41"/>
  <c r="L45" s="1"/>
  <c r="G38"/>
  <c r="F38"/>
  <c r="D38"/>
  <c r="G37"/>
  <c r="D37"/>
  <c r="F37" s="1"/>
  <c r="G36"/>
  <c r="F36"/>
  <c r="D36"/>
  <c r="G35"/>
  <c r="D35"/>
  <c r="F35" s="1"/>
  <c r="G34"/>
  <c r="F34"/>
  <c r="D34"/>
  <c r="G33"/>
  <c r="D33"/>
  <c r="F33" s="1"/>
  <c r="G32"/>
  <c r="F32"/>
  <c r="D32"/>
  <c r="G31"/>
  <c r="D31"/>
  <c r="F31" s="1"/>
  <c r="G30"/>
  <c r="G29"/>
  <c r="D29"/>
  <c r="F29" s="1"/>
  <c r="G28"/>
  <c r="F28"/>
  <c r="D28"/>
  <c r="G27"/>
  <c r="D27"/>
  <c r="F27" s="1"/>
  <c r="G26"/>
  <c r="F26"/>
  <c r="D26"/>
  <c r="G25"/>
  <c r="D25"/>
  <c r="F25" s="1"/>
  <c r="G24"/>
  <c r="F24"/>
  <c r="D24"/>
  <c r="G23"/>
  <c r="D23"/>
  <c r="F23" s="1"/>
  <c r="G22"/>
  <c r="F22"/>
  <c r="D22"/>
  <c r="G21"/>
  <c r="D21"/>
  <c r="F21" s="1"/>
  <c r="G20"/>
  <c r="F20"/>
  <c r="D20"/>
  <c r="G19"/>
  <c r="D19"/>
  <c r="F19" s="1"/>
  <c r="G18"/>
  <c r="D18"/>
  <c r="F18" s="1"/>
  <c r="G17"/>
  <c r="D17"/>
  <c r="F17" s="1"/>
  <c r="G16"/>
  <c r="F16"/>
  <c r="D16"/>
  <c r="G15"/>
  <c r="D15"/>
  <c r="F15" s="1"/>
  <c r="G14"/>
  <c r="F14"/>
  <c r="D14"/>
  <c r="G13"/>
  <c r="D13"/>
  <c r="F13" s="1"/>
  <c r="G12"/>
  <c r="F12"/>
  <c r="D12"/>
  <c r="G11"/>
  <c r="D11"/>
  <c r="F11" s="1"/>
  <c r="G10"/>
  <c r="F10"/>
  <c r="D10"/>
  <c r="G9"/>
  <c r="D9"/>
  <c r="F9" s="1"/>
  <c r="G8"/>
  <c r="D8"/>
  <c r="D51" s="1"/>
  <c r="G7"/>
  <c r="G51" s="1"/>
  <c r="E51" i="4"/>
  <c r="C51"/>
  <c r="B51"/>
  <c r="L44"/>
  <c r="L43"/>
  <c r="L41"/>
  <c r="L45" s="1"/>
  <c r="G38"/>
  <c r="D38"/>
  <c r="F38" s="1"/>
  <c r="G37"/>
  <c r="D37"/>
  <c r="F37" s="1"/>
  <c r="G36"/>
  <c r="F36"/>
  <c r="D36"/>
  <c r="G35"/>
  <c r="D35"/>
  <c r="F35" s="1"/>
  <c r="G34"/>
  <c r="F34"/>
  <c r="D34"/>
  <c r="G33"/>
  <c r="D33"/>
  <c r="F33" s="1"/>
  <c r="G32"/>
  <c r="F32"/>
  <c r="D32"/>
  <c r="G31"/>
  <c r="D31"/>
  <c r="F31" s="1"/>
  <c r="G30"/>
  <c r="G29"/>
  <c r="D29"/>
  <c r="F29" s="1"/>
  <c r="G28"/>
  <c r="F28"/>
  <c r="D28"/>
  <c r="G27"/>
  <c r="D27"/>
  <c r="F27" s="1"/>
  <c r="G26"/>
  <c r="F26"/>
  <c r="D26"/>
  <c r="G25"/>
  <c r="D25"/>
  <c r="F25" s="1"/>
  <c r="G24"/>
  <c r="F24"/>
  <c r="D24"/>
  <c r="G23"/>
  <c r="D23"/>
  <c r="F23" s="1"/>
  <c r="G22"/>
  <c r="F22"/>
  <c r="D22"/>
  <c r="G21"/>
  <c r="D21"/>
  <c r="F21" s="1"/>
  <c r="G20"/>
  <c r="F20"/>
  <c r="D20"/>
  <c r="G19"/>
  <c r="D19"/>
  <c r="F19" s="1"/>
  <c r="G18"/>
  <c r="F18"/>
  <c r="D18"/>
  <c r="G17"/>
  <c r="D17"/>
  <c r="F17" s="1"/>
  <c r="G16"/>
  <c r="F16"/>
  <c r="D16"/>
  <c r="G15"/>
  <c r="D15"/>
  <c r="F15" s="1"/>
  <c r="G14"/>
  <c r="F14"/>
  <c r="D14"/>
  <c r="G13"/>
  <c r="D13"/>
  <c r="F13" s="1"/>
  <c r="G12"/>
  <c r="F12"/>
  <c r="D12"/>
  <c r="G11"/>
  <c r="D11"/>
  <c r="F11" s="1"/>
  <c r="G10"/>
  <c r="F10"/>
  <c r="D10"/>
  <c r="G9"/>
  <c r="D9"/>
  <c r="F9" s="1"/>
  <c r="G8"/>
  <c r="F8"/>
  <c r="D8"/>
  <c r="D51" s="1"/>
  <c r="G7"/>
  <c r="G51" s="1"/>
  <c r="E51" i="2"/>
  <c r="C51"/>
  <c r="B51"/>
  <c r="L41"/>
  <c r="L45" s="1"/>
  <c r="G38"/>
  <c r="D38"/>
  <c r="F38" s="1"/>
  <c r="G37"/>
  <c r="D37"/>
  <c r="F37" s="1"/>
  <c r="G36"/>
  <c r="F36"/>
  <c r="D36"/>
  <c r="G35"/>
  <c r="D35"/>
  <c r="F35" s="1"/>
  <c r="G34"/>
  <c r="D34"/>
  <c r="F34" s="1"/>
  <c r="G33"/>
  <c r="D33"/>
  <c r="F33" s="1"/>
  <c r="G32"/>
  <c r="D32"/>
  <c r="F32" s="1"/>
  <c r="G31"/>
  <c r="F31"/>
  <c r="G30"/>
  <c r="G29"/>
  <c r="D29"/>
  <c r="F29" s="1"/>
  <c r="G28"/>
  <c r="D28"/>
  <c r="F28" s="1"/>
  <c r="G27"/>
  <c r="F27"/>
  <c r="G26"/>
  <c r="F26"/>
  <c r="G25"/>
  <c r="D25"/>
  <c r="F25" s="1"/>
  <c r="G24"/>
  <c r="F24"/>
  <c r="G23"/>
  <c r="D23"/>
  <c r="F23" s="1"/>
  <c r="G22"/>
  <c r="D22"/>
  <c r="F22" s="1"/>
  <c r="G21"/>
  <c r="D21"/>
  <c r="F21" s="1"/>
  <c r="G20"/>
  <c r="D20"/>
  <c r="F20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F14"/>
  <c r="D14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G7"/>
  <c r="E51" i="1"/>
  <c r="L44" s="1"/>
  <c r="C51"/>
  <c r="B51"/>
  <c r="L41"/>
  <c r="L45" s="1"/>
  <c r="G38"/>
  <c r="F38"/>
  <c r="D38"/>
  <c r="G37"/>
  <c r="D37"/>
  <c r="F37" s="1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G29"/>
  <c r="D29"/>
  <c r="F29" s="1"/>
  <c r="G28"/>
  <c r="F28"/>
  <c r="G27"/>
  <c r="D27"/>
  <c r="F27" s="1"/>
  <c r="G26"/>
  <c r="D26"/>
  <c r="F26" s="1"/>
  <c r="G25"/>
  <c r="D25"/>
  <c r="F25" s="1"/>
  <c r="G24"/>
  <c r="D24"/>
  <c r="F24" s="1"/>
  <c r="G23"/>
  <c r="D23"/>
  <c r="F23" s="1"/>
  <c r="G22"/>
  <c r="D22"/>
  <c r="F22" s="1"/>
  <c r="G21"/>
  <c r="D21"/>
  <c r="F21" s="1"/>
  <c r="G20"/>
  <c r="D20"/>
  <c r="F20" s="1"/>
  <c r="G19"/>
  <c r="D19"/>
  <c r="F19" s="1"/>
  <c r="G18"/>
  <c r="D18"/>
  <c r="F18" s="1"/>
  <c r="G17"/>
  <c r="D17"/>
  <c r="F17" s="1"/>
  <c r="G16"/>
  <c r="F16"/>
  <c r="D16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F8" s="1"/>
  <c r="G7"/>
  <c r="D8" i="3"/>
  <c r="F8" s="1"/>
  <c r="G8"/>
  <c r="D9"/>
  <c r="F9" s="1"/>
  <c r="G9"/>
  <c r="D10"/>
  <c r="F10" s="1"/>
  <c r="G10"/>
  <c r="D11"/>
  <c r="F11" s="1"/>
  <c r="G11"/>
  <c r="D12"/>
  <c r="F12" s="1"/>
  <c r="G12"/>
  <c r="D13"/>
  <c r="F13" s="1"/>
  <c r="G13"/>
  <c r="D14"/>
  <c r="F14" s="1"/>
  <c r="G14"/>
  <c r="F15"/>
  <c r="G15"/>
  <c r="D16"/>
  <c r="F16" s="1"/>
  <c r="G16"/>
  <c r="D17"/>
  <c r="F17" s="1"/>
  <c r="G17"/>
  <c r="D18"/>
  <c r="F18" s="1"/>
  <c r="G18"/>
  <c r="D19"/>
  <c r="F19" s="1"/>
  <c r="G19"/>
  <c r="D20"/>
  <c r="F20" s="1"/>
  <c r="G20"/>
  <c r="D21"/>
  <c r="F21"/>
  <c r="G21"/>
  <c r="D22"/>
  <c r="F22" s="1"/>
  <c r="G22"/>
  <c r="D23"/>
  <c r="F23" s="1"/>
  <c r="G23"/>
  <c r="D24"/>
  <c r="F24" s="1"/>
  <c r="G24"/>
  <c r="D25"/>
  <c r="F25"/>
  <c r="G25"/>
  <c r="D26"/>
  <c r="F26" s="1"/>
  <c r="G26"/>
  <c r="D27"/>
  <c r="F27" s="1"/>
  <c r="G27"/>
  <c r="D28"/>
  <c r="F28" s="1"/>
  <c r="G28"/>
  <c r="D29"/>
  <c r="F29"/>
  <c r="G29"/>
  <c r="G30"/>
  <c r="D31"/>
  <c r="F31"/>
  <c r="G31"/>
  <c r="D32"/>
  <c r="F32" s="1"/>
  <c r="G32"/>
  <c r="D33"/>
  <c r="F33"/>
  <c r="G33"/>
  <c r="D34"/>
  <c r="F34" s="1"/>
  <c r="G34"/>
  <c r="D35"/>
  <c r="F35"/>
  <c r="G35"/>
  <c r="D36"/>
  <c r="F36" s="1"/>
  <c r="G36"/>
  <c r="D37"/>
  <c r="F37"/>
  <c r="G37"/>
  <c r="D38"/>
  <c r="F38" s="1"/>
  <c r="G38"/>
  <c r="L41"/>
  <c r="L45" s="1"/>
  <c r="G7"/>
  <c r="B51"/>
  <c r="C51"/>
  <c r="E51"/>
  <c r="L44" s="1"/>
  <c r="L46" l="1"/>
  <c r="G51" i="2"/>
  <c r="D51"/>
  <c r="F8"/>
  <c r="G51" i="1"/>
  <c r="F51"/>
  <c r="L43"/>
  <c r="L48" i="12"/>
  <c r="F8"/>
  <c r="F51" s="1"/>
  <c r="F51" i="11"/>
  <c r="L46"/>
  <c r="L48" s="1"/>
  <c r="D51"/>
  <c r="L48" i="10"/>
  <c r="L46"/>
  <c r="L48" i="9"/>
  <c r="L46"/>
  <c r="F8"/>
  <c r="F51" s="1"/>
  <c r="L48" i="8"/>
  <c r="L46"/>
  <c r="L48" i="7"/>
  <c r="L46"/>
  <c r="L48" i="6"/>
  <c r="L46"/>
  <c r="F8"/>
  <c r="F51" s="1"/>
  <c r="L48" i="5"/>
  <c r="L46"/>
  <c r="F8"/>
  <c r="F51" s="1"/>
  <c r="F51" i="4"/>
  <c r="L46"/>
  <c r="L48" s="1"/>
  <c r="F51" i="2"/>
  <c r="L46"/>
  <c r="L48" s="1"/>
  <c r="L46" i="1"/>
  <c r="D51"/>
  <c r="G51" i="3"/>
  <c r="D51"/>
  <c r="L43"/>
  <c r="F51"/>
  <c r="L48" l="1"/>
  <c r="L48" i="1"/>
</calcChain>
</file>

<file path=xl/sharedStrings.xml><?xml version="1.0" encoding="utf-8"?>
<sst xmlns="http://schemas.openxmlformats.org/spreadsheetml/2006/main" count="340" uniqueCount="116">
  <si>
    <t>LAPORAN BULAN JANUARI 2026</t>
  </si>
  <si>
    <t>TGL</t>
  </si>
  <si>
    <t>PEMASUKAN</t>
  </si>
  <si>
    <t>BRUTO</t>
  </si>
  <si>
    <t>BY. KELUAR HARIAN</t>
  </si>
  <si>
    <t>NETT</t>
  </si>
  <si>
    <t>NET TUNAI</t>
  </si>
  <si>
    <t>PENGELUARAN</t>
  </si>
  <si>
    <t>NON TUNAI</t>
  </si>
  <si>
    <t>TUNAI</t>
  </si>
  <si>
    <t>KETERANGAN</t>
  </si>
  <si>
    <t>JUMLAH</t>
  </si>
  <si>
    <t>KET:</t>
  </si>
  <si>
    <t>PENDAPATAN KOTOR</t>
  </si>
  <si>
    <t>PENGELUARAN HARIAN</t>
  </si>
  <si>
    <t>PENGELUARAN BULANAN</t>
  </si>
  <si>
    <t>TOTAL PENGELUARAN</t>
  </si>
  <si>
    <t>LAPORAN BULAN FEBRUARY 2026</t>
  </si>
  <si>
    <t>LAPORAN BULAN MARET</t>
  </si>
  <si>
    <t>LAPORAN BULAN APRIL 2026</t>
  </si>
  <si>
    <t>LAPORAN BULAN MEI 2026</t>
  </si>
  <si>
    <t>LAPORAN BULAN JUNI 2026</t>
  </si>
  <si>
    <t>TF KE FIRMAN</t>
  </si>
  <si>
    <t>TF KE AKRI/ADAM</t>
  </si>
  <si>
    <t>INDO DANA</t>
  </si>
  <si>
    <t>FEE SALES DIAN FERNANDO</t>
  </si>
  <si>
    <t>TOKEN TOKO</t>
  </si>
  <si>
    <t>TF KE DADONE</t>
  </si>
  <si>
    <t>FEE RINI</t>
  </si>
  <si>
    <t>FEE VINA</t>
  </si>
  <si>
    <t>KUR</t>
  </si>
  <si>
    <t>ASURANSI INARA</t>
  </si>
  <si>
    <t>UKT FAIZ</t>
  </si>
  <si>
    <t>BANK NAGARI</t>
  </si>
  <si>
    <t>TF KE JKI</t>
  </si>
  <si>
    <t>TF KE OTOPROJEC</t>
  </si>
  <si>
    <t>TF KE YUSUF</t>
  </si>
  <si>
    <t>TF KE VICTORY GOLD</t>
  </si>
  <si>
    <t>BYR GIRO</t>
  </si>
  <si>
    <t>TF KE M FAJRI IHSAN/PAPAN BUNGA</t>
  </si>
  <si>
    <t>FEE DIRGA</t>
  </si>
  <si>
    <t>BELI SARUNG JOK AVANZA/ADAM</t>
  </si>
  <si>
    <t>ILHAM</t>
  </si>
  <si>
    <t>TF KE WINCOS</t>
  </si>
  <si>
    <t>31-JAM</t>
  </si>
  <si>
    <t>TF KE FIRMAN/BERAS</t>
  </si>
  <si>
    <t>BROBAT BG YAN</t>
  </si>
  <si>
    <t>SEKOLAH INARA</t>
  </si>
  <si>
    <t>BG YAN</t>
  </si>
  <si>
    <t>TF KE HERMAN</t>
  </si>
  <si>
    <t>TF KE MR BOSS</t>
  </si>
  <si>
    <t>FEE ANDI</t>
  </si>
  <si>
    <t>FEE MARISA</t>
  </si>
  <si>
    <t>TF KE FAJRI</t>
  </si>
  <si>
    <t>BAYAR AYEAH</t>
  </si>
  <si>
    <t>TF KE YAN FARIZON / GIRO</t>
  </si>
  <si>
    <t>BYR NI RAM</t>
  </si>
  <si>
    <t>PENDAPATAN BERSIH FEBRUARI  2026</t>
  </si>
  <si>
    <t>PENDAPATAN BERSIH JANUARI 2026</t>
  </si>
  <si>
    <t>PENDAPATAN BERSIH MARET 2026</t>
  </si>
  <si>
    <t>PENDAPATAN BERSIH APRIL 2026</t>
  </si>
  <si>
    <t>PENDAPATAN BERSIH MEI 2026</t>
  </si>
  <si>
    <t>PENDAPATAN BERSIH JUNI 2026</t>
  </si>
  <si>
    <t>PENDAPATAN BERSIH JULI 2026</t>
  </si>
  <si>
    <t>PENDAPATAN BERSIH AGUSTUS 2026</t>
  </si>
  <si>
    <t>LAPORAN BULAN SEPTEMBER 2026</t>
  </si>
  <si>
    <t>LAPORAN BULAN AGUSTUS 2026</t>
  </si>
  <si>
    <t>LAPORAN BULAN JULI 2026</t>
  </si>
  <si>
    <t>PENDAPATAN BERSIH SEPTEMBER 2026</t>
  </si>
  <si>
    <t>LAPORAN BULAN OKTOBER 2026</t>
  </si>
  <si>
    <t>PENDAPATAN BERSIH OKTOBER 2026</t>
  </si>
  <si>
    <t>LAPORAN BULAN NOVEMBER 2026</t>
  </si>
  <si>
    <t>PENDAPATAN BERSIH NOVEMBER 2026</t>
  </si>
  <si>
    <t>BUNGA BANK/NAGARI</t>
  </si>
  <si>
    <t>TF KE ADAM</t>
  </si>
  <si>
    <t>FEE M TAUFIQ RAHMAN</t>
  </si>
  <si>
    <t>FEE PAUL</t>
  </si>
  <si>
    <t>FEE RIYADH</t>
  </si>
  <si>
    <t>BG YAN ,RUKO</t>
  </si>
  <si>
    <t>2-MARET</t>
  </si>
  <si>
    <t>3-MARET</t>
  </si>
  <si>
    <t>4-MARET</t>
  </si>
  <si>
    <t>FEE GIPI</t>
  </si>
  <si>
    <t>5-MARET</t>
  </si>
  <si>
    <t>TF KE RAFELLO</t>
  </si>
  <si>
    <t>6-MARET</t>
  </si>
  <si>
    <t>7-MARET</t>
  </si>
  <si>
    <t>FEE  M TAUFIQ RAHMAN</t>
  </si>
  <si>
    <t>7-MARER</t>
  </si>
  <si>
    <t>8-MARET</t>
  </si>
  <si>
    <t>9-MARET</t>
  </si>
  <si>
    <t>10-MARET</t>
  </si>
  <si>
    <t>11-MARET</t>
  </si>
  <si>
    <t>12-MARET</t>
  </si>
  <si>
    <t>13-MARET</t>
  </si>
  <si>
    <t>14-MARET</t>
  </si>
  <si>
    <t>15-MARET</t>
  </si>
  <si>
    <t>16-MARET</t>
  </si>
  <si>
    <t>17-MARET</t>
  </si>
  <si>
    <t>18-MARET</t>
  </si>
  <si>
    <t>19-MARET</t>
  </si>
  <si>
    <t>20-MARET</t>
  </si>
  <si>
    <t>21-MARET</t>
  </si>
  <si>
    <t>22-MARET</t>
  </si>
  <si>
    <t>23-MARET</t>
  </si>
  <si>
    <t>24-MARET</t>
  </si>
  <si>
    <t>25-MARET</t>
  </si>
  <si>
    <t>26-MARET</t>
  </si>
  <si>
    <t>27-MARET</t>
  </si>
  <si>
    <t>28-MARET</t>
  </si>
  <si>
    <t>29-MARET</t>
  </si>
  <si>
    <t>30-MARET</t>
  </si>
  <si>
    <t>31-MARET</t>
  </si>
  <si>
    <t>TOKEN  YOKO</t>
  </si>
  <si>
    <t>TF KE MINANG JAYA</t>
  </si>
  <si>
    <t>FEE ZUGENG</t>
  </si>
</sst>
</file>

<file path=xl/styles.xml><?xml version="1.0" encoding="utf-8"?>
<styleSheet xmlns="http://schemas.openxmlformats.org/spreadsheetml/2006/main">
  <numFmts count="4">
    <numFmt numFmtId="164" formatCode="_-&quot;£&quot;* #,##0_-;\-&quot;£&quot;* #,##0_-;_-&quot;£&quot;* &quot;-&quot;_-;_-@_-"/>
    <numFmt numFmtId="165" formatCode="_-* #,##0.00_-;\-* #,##0.00_-;_-* &quot;-&quot;??_-;_-@_-"/>
    <numFmt numFmtId="166" formatCode="_(&quot;Rp&quot;* #,##0_);_(&quot;Rp&quot;* \(#,##0\);_(&quot;Rp&quot;* &quot;-&quot;_);_(@_)"/>
    <numFmt numFmtId="167" formatCode="dd/mm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charset val="1"/>
      <scheme val="minor"/>
    </font>
    <font>
      <b/>
      <u/>
      <sz val="1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charset val="1"/>
      <scheme val="minor"/>
    </font>
    <font>
      <b/>
      <sz val="12"/>
      <color rgb="FFC00000"/>
      <name val="Calibri"/>
      <family val="2"/>
      <scheme val="minor"/>
    </font>
    <font>
      <u/>
      <sz val="11"/>
      <name val="Calibri"/>
      <family val="2"/>
      <charset val="1"/>
      <scheme val="minor"/>
    </font>
    <font>
      <b/>
      <u val="singleAccounting"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charset val="1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u/>
      <sz val="14"/>
      <name val="Calibri"/>
      <family val="2"/>
      <scheme val="minor"/>
    </font>
    <font>
      <b/>
      <u val="singleAccounting"/>
      <sz val="1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/>
    <xf numFmtId="0" fontId="1" fillId="0" borderId="0" xfId="21"/>
    <xf numFmtId="166" fontId="6" fillId="0" borderId="0" xfId="22" applyNumberFormat="1" applyFont="1" applyFill="1" applyBorder="1" applyAlignment="1">
      <alignment horizontal="center" vertical="center" wrapText="1"/>
    </xf>
    <xf numFmtId="166" fontId="7" fillId="0" borderId="0" xfId="22" applyNumberFormat="1" applyFont="1" applyFill="1" applyAlignment="1">
      <alignment horizontal="center" vertical="center"/>
    </xf>
    <xf numFmtId="0" fontId="8" fillId="0" borderId="0" xfId="21" applyFont="1" applyFill="1" applyAlignment="1"/>
    <xf numFmtId="166" fontId="7" fillId="0" borderId="0" xfId="21" applyNumberFormat="1" applyFont="1" applyFill="1"/>
    <xf numFmtId="166" fontId="7" fillId="0" borderId="0" xfId="22" applyNumberFormat="1" applyFont="1" applyFill="1"/>
    <xf numFmtId="166" fontId="6" fillId="2" borderId="6" xfId="22" applyNumberFormat="1" applyFont="1" applyFill="1" applyBorder="1" applyAlignment="1">
      <alignment horizontal="center" vertical="center"/>
    </xf>
    <xf numFmtId="167" fontId="7" fillId="0" borderId="6" xfId="21" applyNumberFormat="1" applyFont="1" applyFill="1" applyBorder="1" applyAlignment="1">
      <alignment horizontal="center"/>
    </xf>
    <xf numFmtId="166" fontId="7" fillId="0" borderId="6" xfId="21" applyNumberFormat="1" applyFont="1" applyFill="1" applyBorder="1" applyAlignment="1">
      <alignment horizontal="center"/>
    </xf>
    <xf numFmtId="166" fontId="7" fillId="0" borderId="6" xfId="22" applyNumberFormat="1" applyFont="1" applyFill="1" applyBorder="1" applyAlignment="1">
      <alignment horizontal="center"/>
    </xf>
    <xf numFmtId="16" fontId="7" fillId="0" borderId="6" xfId="21" applyNumberFormat="1" applyFont="1" applyFill="1" applyBorder="1" applyAlignment="1">
      <alignment horizontal="center" vertical="center"/>
    </xf>
    <xf numFmtId="166" fontId="7" fillId="0" borderId="6" xfId="22" applyNumberFormat="1" applyFont="1" applyFill="1" applyBorder="1" applyAlignment="1">
      <alignment horizontal="center" vertical="center"/>
    </xf>
    <xf numFmtId="166" fontId="7" fillId="0" borderId="0" xfId="22" applyNumberFormat="1" applyFont="1" applyFill="1" applyBorder="1" applyAlignment="1">
      <alignment horizontal="center" vertical="center"/>
    </xf>
    <xf numFmtId="0" fontId="7" fillId="0" borderId="6" xfId="21" applyFont="1" applyFill="1" applyBorder="1" applyAlignment="1">
      <alignment horizontal="left" vertical="center" wrapText="1"/>
    </xf>
    <xf numFmtId="166" fontId="4" fillId="0" borderId="6" xfId="22" applyNumberFormat="1" applyFont="1" applyFill="1" applyBorder="1" applyAlignment="1">
      <alignment wrapText="1"/>
    </xf>
    <xf numFmtId="166" fontId="7" fillId="0" borderId="0" xfId="22" applyNumberFormat="1" applyFont="1" applyFill="1" applyAlignment="1">
      <alignment horizontal="right" vertical="center" wrapText="1"/>
    </xf>
    <xf numFmtId="16" fontId="7" fillId="0" borderId="6" xfId="21" applyNumberFormat="1" applyFont="1" applyFill="1" applyBorder="1" applyAlignment="1">
      <alignment horizontal="center" vertical="center" wrapText="1"/>
    </xf>
    <xf numFmtId="0" fontId="7" fillId="0" borderId="6" xfId="21" applyFont="1" applyFill="1" applyBorder="1" applyAlignment="1">
      <alignment horizontal="left" vertical="center"/>
    </xf>
    <xf numFmtId="166" fontId="7" fillId="0" borderId="0" xfId="22" applyNumberFormat="1" applyFont="1" applyFill="1" applyAlignment="1">
      <alignment vertical="center"/>
    </xf>
    <xf numFmtId="0" fontId="7" fillId="0" borderId="6" xfId="21" applyFont="1" applyFill="1" applyBorder="1" applyAlignment="1">
      <alignment vertical="center" wrapText="1"/>
    </xf>
    <xf numFmtId="166" fontId="7" fillId="0" borderId="0" xfId="22" applyNumberFormat="1" applyFont="1" applyFill="1" applyBorder="1" applyAlignment="1">
      <alignment horizontal="left" vertical="center"/>
    </xf>
    <xf numFmtId="0" fontId="7" fillId="0" borderId="6" xfId="21" applyFont="1" applyFill="1" applyBorder="1" applyAlignment="1">
      <alignment wrapText="1"/>
    </xf>
    <xf numFmtId="0" fontId="1" fillId="0" borderId="0" xfId="21" applyFill="1" applyAlignment="1"/>
    <xf numFmtId="16" fontId="7" fillId="0" borderId="6" xfId="21" applyNumberFormat="1" applyFont="1" applyFill="1" applyBorder="1" applyAlignment="1">
      <alignment horizontal="center"/>
    </xf>
    <xf numFmtId="0" fontId="1" fillId="0" borderId="0" xfId="21" applyAlignment="1"/>
    <xf numFmtId="0" fontId="1" fillId="0" borderId="0" xfId="21" applyFill="1"/>
    <xf numFmtId="0" fontId="7" fillId="0" borderId="6" xfId="21" applyFont="1" applyFill="1" applyBorder="1"/>
    <xf numFmtId="0" fontId="1" fillId="0" borderId="0" xfId="21" applyFill="1" applyAlignment="1">
      <alignment wrapText="1"/>
    </xf>
    <xf numFmtId="16" fontId="7" fillId="0" borderId="6" xfId="21" applyNumberFormat="1" applyFont="1" applyFill="1" applyBorder="1" applyAlignment="1">
      <alignment horizontal="center" wrapText="1"/>
    </xf>
    <xf numFmtId="166" fontId="4" fillId="0" borderId="0" xfId="22" applyNumberFormat="1" applyFont="1" applyFill="1" applyBorder="1" applyAlignment="1">
      <alignment horizontal="center" vertical="center"/>
    </xf>
    <xf numFmtId="16" fontId="7" fillId="0" borderId="6" xfId="21" applyNumberFormat="1" applyFont="1" applyFill="1" applyBorder="1" applyAlignment="1">
      <alignment vertical="center"/>
    </xf>
    <xf numFmtId="167" fontId="7" fillId="0" borderId="0" xfId="21" applyNumberFormat="1" applyFont="1" applyFill="1" applyAlignment="1"/>
    <xf numFmtId="14" fontId="7" fillId="0" borderId="0" xfId="21" applyNumberFormat="1" applyFont="1" applyFill="1"/>
    <xf numFmtId="166" fontId="6" fillId="0" borderId="0" xfId="22" applyNumberFormat="1" applyFont="1" applyFill="1"/>
    <xf numFmtId="0" fontId="2" fillId="0" borderId="0" xfId="21" applyFont="1" applyFill="1"/>
    <xf numFmtId="0" fontId="7" fillId="0" borderId="0" xfId="21" applyFont="1" applyFill="1" applyAlignment="1"/>
    <xf numFmtId="0" fontId="10" fillId="0" borderId="0" xfId="21" applyFont="1" applyFill="1"/>
    <xf numFmtId="166" fontId="11" fillId="0" borderId="0" xfId="22" applyNumberFormat="1" applyFont="1" applyFill="1"/>
    <xf numFmtId="0" fontId="7" fillId="0" borderId="0" xfId="21" applyFont="1" applyFill="1"/>
    <xf numFmtId="166" fontId="13" fillId="0" borderId="0" xfId="22" applyNumberFormat="1" applyFont="1" applyFill="1"/>
    <xf numFmtId="166" fontId="2" fillId="0" borderId="6" xfId="22" applyNumberFormat="1" applyFont="1" applyBorder="1" applyAlignment="1">
      <alignment horizontal="center" vertical="center"/>
    </xf>
    <xf numFmtId="0" fontId="7" fillId="0" borderId="6" xfId="21" applyFont="1" applyFill="1" applyBorder="1" applyAlignment="1">
      <alignment vertical="center"/>
    </xf>
    <xf numFmtId="0" fontId="7" fillId="0" borderId="6" xfId="21" applyFont="1" applyFill="1" applyBorder="1" applyAlignment="1">
      <alignment horizontal="left" wrapText="1"/>
    </xf>
    <xf numFmtId="166" fontId="4" fillId="0" borderId="6" xfId="22" applyNumberFormat="1" applyFont="1" applyFill="1" applyBorder="1" applyAlignment="1">
      <alignment vertical="center" wrapText="1"/>
    </xf>
    <xf numFmtId="16" fontId="7" fillId="3" borderId="6" xfId="21" applyNumberFormat="1" applyFont="1" applyFill="1" applyBorder="1" applyAlignment="1">
      <alignment horizontal="center" vertical="center"/>
    </xf>
    <xf numFmtId="166" fontId="7" fillId="3" borderId="6" xfId="22" applyNumberFormat="1" applyFont="1" applyFill="1" applyBorder="1" applyAlignment="1">
      <alignment horizontal="center" vertical="center"/>
    </xf>
    <xf numFmtId="166" fontId="7" fillId="3" borderId="0" xfId="22" applyNumberFormat="1" applyFont="1" applyFill="1" applyBorder="1" applyAlignment="1">
      <alignment horizontal="center" vertical="center"/>
    </xf>
    <xf numFmtId="166" fontId="7" fillId="3" borderId="0" xfId="22" applyNumberFormat="1" applyFont="1" applyFill="1" applyBorder="1" applyAlignment="1">
      <alignment horizontal="left" vertical="center"/>
    </xf>
    <xf numFmtId="166" fontId="14" fillId="3" borderId="6" xfId="22" applyNumberFormat="1" applyFont="1" applyFill="1" applyBorder="1" applyAlignment="1">
      <alignment horizontal="center" vertical="center"/>
    </xf>
    <xf numFmtId="166" fontId="7" fillId="6" borderId="6" xfId="22" applyNumberFormat="1" applyFont="1" applyFill="1" applyBorder="1" applyAlignment="1">
      <alignment horizontal="center" vertical="center"/>
    </xf>
    <xf numFmtId="166" fontId="14" fillId="6" borderId="6" xfId="22" applyNumberFormat="1" applyFont="1" applyFill="1" applyBorder="1" applyAlignment="1">
      <alignment horizontal="center" vertical="center"/>
    </xf>
    <xf numFmtId="166" fontId="7" fillId="5" borderId="6" xfId="22" applyNumberFormat="1" applyFont="1" applyFill="1" applyBorder="1" applyAlignment="1">
      <alignment horizontal="center" vertical="center"/>
    </xf>
    <xf numFmtId="166" fontId="14" fillId="5" borderId="6" xfId="22" applyNumberFormat="1" applyFont="1" applyFill="1" applyBorder="1" applyAlignment="1">
      <alignment horizontal="center" vertical="center"/>
    </xf>
    <xf numFmtId="166" fontId="7" fillId="4" borderId="6" xfId="22" applyNumberFormat="1" applyFont="1" applyFill="1" applyBorder="1" applyAlignment="1">
      <alignment horizontal="center" vertical="center"/>
    </xf>
    <xf numFmtId="166" fontId="14" fillId="4" borderId="6" xfId="22" applyNumberFormat="1" applyFont="1" applyFill="1" applyBorder="1" applyAlignment="1">
      <alignment horizontal="center" vertical="center"/>
    </xf>
    <xf numFmtId="166" fontId="6" fillId="6" borderId="0" xfId="22" applyNumberFormat="1" applyFont="1" applyFill="1"/>
    <xf numFmtId="166" fontId="11" fillId="5" borderId="0" xfId="22" applyNumberFormat="1" applyFont="1" applyFill="1"/>
    <xf numFmtId="166" fontId="9" fillId="5" borderId="6" xfId="22" applyNumberFormat="1" applyFont="1" applyFill="1" applyBorder="1" applyAlignment="1">
      <alignment vertical="center"/>
    </xf>
    <xf numFmtId="0" fontId="0" fillId="0" borderId="6" xfId="21" applyFont="1" applyBorder="1"/>
    <xf numFmtId="16" fontId="0" fillId="0" borderId="6" xfId="21" applyNumberFormat="1" applyFont="1" applyBorder="1" applyAlignment="1">
      <alignment horizontal="center"/>
    </xf>
    <xf numFmtId="166" fontId="1" fillId="0" borderId="0" xfId="21" applyNumberFormat="1"/>
    <xf numFmtId="166" fontId="6" fillId="2" borderId="4" xfId="22" applyNumberFormat="1" applyFont="1" applyFill="1" applyBorder="1" applyAlignment="1">
      <alignment horizontal="center" vertical="center"/>
    </xf>
    <xf numFmtId="16" fontId="7" fillId="7" borderId="6" xfId="21" applyNumberFormat="1" applyFont="1" applyFill="1" applyBorder="1" applyAlignment="1">
      <alignment horizontal="center" vertical="center"/>
    </xf>
    <xf numFmtId="166" fontId="7" fillId="7" borderId="6" xfId="22" applyNumberFormat="1" applyFont="1" applyFill="1" applyBorder="1" applyAlignment="1">
      <alignment horizontal="center" vertical="center"/>
    </xf>
    <xf numFmtId="166" fontId="15" fillId="2" borderId="6" xfId="22" applyNumberFormat="1" applyFont="1" applyFill="1" applyBorder="1" applyAlignment="1">
      <alignment horizontal="center" vertical="center"/>
    </xf>
    <xf numFmtId="166" fontId="16" fillId="0" borderId="6" xfId="22" applyNumberFormat="1" applyFont="1" applyFill="1" applyBorder="1" applyAlignment="1">
      <alignment horizontal="center" vertical="center"/>
    </xf>
    <xf numFmtId="166" fontId="16" fillId="3" borderId="6" xfId="22" applyNumberFormat="1" applyFont="1" applyFill="1" applyBorder="1" applyAlignment="1">
      <alignment horizontal="center" vertical="center"/>
    </xf>
    <xf numFmtId="166" fontId="15" fillId="2" borderId="4" xfId="22" applyNumberFormat="1" applyFont="1" applyFill="1" applyBorder="1" applyAlignment="1">
      <alignment horizontal="center" vertical="center"/>
    </xf>
    <xf numFmtId="0" fontId="17" fillId="0" borderId="0" xfId="21" applyFont="1" applyFill="1" applyAlignment="1"/>
    <xf numFmtId="166" fontId="18" fillId="0" borderId="0" xfId="21" applyNumberFormat="1" applyFont="1" applyFill="1"/>
    <xf numFmtId="166" fontId="18" fillId="0" borderId="0" xfId="22" applyNumberFormat="1" applyFont="1" applyFill="1"/>
    <xf numFmtId="167" fontId="18" fillId="0" borderId="6" xfId="21" applyNumberFormat="1" applyFont="1" applyFill="1" applyBorder="1" applyAlignment="1">
      <alignment horizontal="center"/>
    </xf>
    <xf numFmtId="166" fontId="18" fillId="0" borderId="6" xfId="21" applyNumberFormat="1" applyFont="1" applyFill="1" applyBorder="1" applyAlignment="1">
      <alignment horizontal="center"/>
    </xf>
    <xf numFmtId="166" fontId="18" fillId="0" borderId="6" xfId="22" applyNumberFormat="1" applyFont="1" applyFill="1" applyBorder="1" applyAlignment="1">
      <alignment horizontal="center"/>
    </xf>
    <xf numFmtId="16" fontId="19" fillId="0" borderId="6" xfId="21" applyNumberFormat="1" applyFont="1" applyBorder="1" applyAlignment="1">
      <alignment horizontal="center"/>
    </xf>
    <xf numFmtId="0" fontId="19" fillId="0" borderId="6" xfId="21" applyFont="1" applyBorder="1"/>
    <xf numFmtId="166" fontId="20" fillId="0" borderId="6" xfId="22" applyNumberFormat="1" applyFont="1" applyFill="1" applyBorder="1" applyAlignment="1">
      <alignment wrapText="1"/>
    </xf>
    <xf numFmtId="16" fontId="18" fillId="0" borderId="6" xfId="21" applyNumberFormat="1" applyFont="1" applyFill="1" applyBorder="1" applyAlignment="1">
      <alignment horizontal="center" vertical="center" wrapText="1"/>
    </xf>
    <xf numFmtId="0" fontId="18" fillId="0" borderId="6" xfId="21" applyFont="1" applyFill="1" applyBorder="1" applyAlignment="1">
      <alignment horizontal="left" vertical="center"/>
    </xf>
    <xf numFmtId="0" fontId="18" fillId="0" borderId="6" xfId="21" applyFont="1" applyFill="1" applyBorder="1" applyAlignment="1">
      <alignment vertical="center"/>
    </xf>
    <xf numFmtId="16" fontId="18" fillId="0" borderId="6" xfId="21" applyNumberFormat="1" applyFont="1" applyFill="1" applyBorder="1" applyAlignment="1">
      <alignment horizontal="center" vertical="center"/>
    </xf>
    <xf numFmtId="0" fontId="18" fillId="0" borderId="6" xfId="21" applyFont="1" applyFill="1" applyBorder="1" applyAlignment="1">
      <alignment horizontal="left" vertical="center" wrapText="1"/>
    </xf>
    <xf numFmtId="0" fontId="18" fillId="0" borderId="6" xfId="21" applyFont="1" applyFill="1" applyBorder="1" applyAlignment="1">
      <alignment wrapText="1"/>
    </xf>
    <xf numFmtId="16" fontId="18" fillId="0" borderId="6" xfId="21" applyNumberFormat="1" applyFont="1" applyFill="1" applyBorder="1" applyAlignment="1">
      <alignment horizontal="center"/>
    </xf>
    <xf numFmtId="0" fontId="18" fillId="0" borderId="6" xfId="21" applyFont="1" applyFill="1" applyBorder="1" applyAlignment="1">
      <alignment horizontal="left" wrapText="1"/>
    </xf>
    <xf numFmtId="166" fontId="20" fillId="0" borderId="6" xfId="22" applyNumberFormat="1" applyFont="1" applyFill="1" applyBorder="1" applyAlignment="1">
      <alignment vertical="center" wrapText="1"/>
    </xf>
    <xf numFmtId="0" fontId="18" fillId="0" borderId="6" xfId="21" applyFont="1" applyFill="1" applyBorder="1" applyAlignment="1">
      <alignment vertical="center" wrapText="1"/>
    </xf>
    <xf numFmtId="0" fontId="18" fillId="0" borderId="6" xfId="21" applyFont="1" applyFill="1" applyBorder="1"/>
    <xf numFmtId="16" fontId="18" fillId="0" borderId="6" xfId="21" applyNumberFormat="1" applyFont="1" applyFill="1" applyBorder="1" applyAlignment="1">
      <alignment horizontal="center" wrapText="1"/>
    </xf>
    <xf numFmtId="16" fontId="18" fillId="0" borderId="6" xfId="21" applyNumberFormat="1" applyFont="1" applyFill="1" applyBorder="1" applyAlignment="1">
      <alignment vertical="center"/>
    </xf>
    <xf numFmtId="166" fontId="21" fillId="5" borderId="6" xfId="22" applyNumberFormat="1" applyFont="1" applyFill="1" applyBorder="1" applyAlignment="1">
      <alignment vertical="center"/>
    </xf>
    <xf numFmtId="0" fontId="19" fillId="0" borderId="0" xfId="21" applyFont="1" applyAlignment="1"/>
    <xf numFmtId="0" fontId="19" fillId="0" borderId="0" xfId="21" applyFont="1"/>
    <xf numFmtId="167" fontId="18" fillId="0" borderId="0" xfId="21" applyNumberFormat="1" applyFont="1" applyFill="1" applyAlignment="1"/>
    <xf numFmtId="14" fontId="18" fillId="0" borderId="0" xfId="21" applyNumberFormat="1" applyFont="1" applyFill="1"/>
    <xf numFmtId="166" fontId="15" fillId="6" borderId="0" xfId="22" applyNumberFormat="1" applyFont="1" applyFill="1"/>
    <xf numFmtId="0" fontId="18" fillId="0" borderId="0" xfId="21" applyFont="1" applyFill="1" applyAlignment="1"/>
    <xf numFmtId="0" fontId="22" fillId="0" borderId="0" xfId="21" applyFont="1" applyFill="1"/>
    <xf numFmtId="166" fontId="21" fillId="5" borderId="0" xfId="22" applyNumberFormat="1" applyFont="1" applyFill="1"/>
    <xf numFmtId="166" fontId="21" fillId="0" borderId="0" xfId="22" applyNumberFormat="1" applyFont="1" applyFill="1"/>
    <xf numFmtId="0" fontId="18" fillId="0" borderId="0" xfId="21" applyFont="1" applyFill="1"/>
    <xf numFmtId="166" fontId="15" fillId="0" borderId="0" xfId="22" applyNumberFormat="1" applyFont="1" applyFill="1"/>
    <xf numFmtId="166" fontId="24" fillId="0" borderId="0" xfId="22" applyNumberFormat="1" applyFont="1" applyFill="1"/>
    <xf numFmtId="0" fontId="19" fillId="0" borderId="0" xfId="21" applyFont="1" applyFill="1"/>
    <xf numFmtId="0" fontId="19" fillId="0" borderId="0" xfId="0" applyFont="1"/>
    <xf numFmtId="16" fontId="7" fillId="8" borderId="6" xfId="21" applyNumberFormat="1" applyFont="1" applyFill="1" applyBorder="1" applyAlignment="1">
      <alignment horizontal="center" vertical="center"/>
    </xf>
    <xf numFmtId="166" fontId="7" fillId="8" borderId="6" xfId="22" applyNumberFormat="1" applyFont="1" applyFill="1" applyBorder="1" applyAlignment="1">
      <alignment horizontal="center" vertical="center"/>
    </xf>
    <xf numFmtId="166" fontId="7" fillId="9" borderId="6" xfId="22" applyNumberFormat="1" applyFont="1" applyFill="1" applyBorder="1" applyAlignment="1">
      <alignment horizontal="center" vertical="center"/>
    </xf>
    <xf numFmtId="166" fontId="7" fillId="10" borderId="6" xfId="22" applyNumberFormat="1" applyFont="1" applyFill="1" applyBorder="1" applyAlignment="1">
      <alignment horizontal="center" vertical="center"/>
    </xf>
    <xf numFmtId="166" fontId="4" fillId="8" borderId="6" xfId="22" applyNumberFormat="1" applyFont="1" applyFill="1" applyBorder="1" applyAlignment="1">
      <alignment horizontal="center" vertical="center"/>
    </xf>
    <xf numFmtId="166" fontId="6" fillId="2" borderId="2" xfId="22" applyNumberFormat="1" applyFont="1" applyFill="1" applyBorder="1" applyAlignment="1">
      <alignment horizontal="center" vertical="center" wrapText="1"/>
    </xf>
    <xf numFmtId="166" fontId="6" fillId="2" borderId="5" xfId="22" applyNumberFormat="1" applyFont="1" applyFill="1" applyBorder="1" applyAlignment="1">
      <alignment horizontal="center" vertical="center" wrapText="1"/>
    </xf>
    <xf numFmtId="0" fontId="12" fillId="0" borderId="0" xfId="21" applyFont="1" applyFill="1" applyAlignment="1">
      <alignment horizontal="center"/>
    </xf>
    <xf numFmtId="0" fontId="5" fillId="0" borderId="0" xfId="21" applyFont="1" applyAlignment="1">
      <alignment horizontal="left" vertical="center"/>
    </xf>
    <xf numFmtId="0" fontId="1" fillId="0" borderId="0" xfId="21" applyAlignment="1">
      <alignment horizontal="left" vertical="center"/>
    </xf>
    <xf numFmtId="0" fontId="1" fillId="0" borderId="1" xfId="21" applyBorder="1" applyAlignment="1">
      <alignment horizontal="left" vertical="center"/>
    </xf>
    <xf numFmtId="0" fontId="6" fillId="2" borderId="2" xfId="21" applyFont="1" applyFill="1" applyBorder="1" applyAlignment="1">
      <alignment horizontal="center" vertical="center"/>
    </xf>
    <xf numFmtId="0" fontId="6" fillId="2" borderId="5" xfId="21" applyFont="1" applyFill="1" applyBorder="1" applyAlignment="1">
      <alignment horizontal="center" vertical="center"/>
    </xf>
    <xf numFmtId="166" fontId="6" fillId="2" borderId="3" xfId="22" applyNumberFormat="1" applyFont="1" applyFill="1" applyBorder="1" applyAlignment="1">
      <alignment horizontal="center" vertical="center"/>
    </xf>
    <xf numFmtId="166" fontId="6" fillId="2" borderId="4" xfId="22" applyNumberFormat="1" applyFont="1" applyFill="1" applyBorder="1" applyAlignment="1">
      <alignment horizontal="center" vertical="center"/>
    </xf>
    <xf numFmtId="166" fontId="6" fillId="2" borderId="2" xfId="22" applyNumberFormat="1" applyFont="1" applyFill="1" applyBorder="1" applyAlignment="1">
      <alignment horizontal="center" vertical="center"/>
    </xf>
    <xf numFmtId="166" fontId="6" fillId="2" borderId="5" xfId="22" applyNumberFormat="1" applyFont="1" applyFill="1" applyBorder="1" applyAlignment="1">
      <alignment horizontal="center" vertical="center"/>
    </xf>
    <xf numFmtId="166" fontId="15" fillId="2" borderId="2" xfId="22" applyNumberFormat="1" applyFont="1" applyFill="1" applyBorder="1" applyAlignment="1">
      <alignment horizontal="center" vertical="center" wrapText="1"/>
    </xf>
    <xf numFmtId="166" fontId="15" fillId="2" borderId="5" xfId="22" applyNumberFormat="1" applyFont="1" applyFill="1" applyBorder="1" applyAlignment="1">
      <alignment horizontal="center" vertical="center" wrapText="1"/>
    </xf>
    <xf numFmtId="0" fontId="23" fillId="0" borderId="0" xfId="21" applyFont="1" applyFill="1" applyAlignment="1">
      <alignment horizontal="center"/>
    </xf>
    <xf numFmtId="0" fontId="15" fillId="2" borderId="2" xfId="21" applyFont="1" applyFill="1" applyBorder="1" applyAlignment="1">
      <alignment horizontal="center" vertical="center"/>
    </xf>
    <xf numFmtId="0" fontId="15" fillId="2" borderId="5" xfId="21" applyFont="1" applyFill="1" applyBorder="1" applyAlignment="1">
      <alignment horizontal="center" vertical="center"/>
    </xf>
    <xf numFmtId="166" fontId="15" fillId="2" borderId="3" xfId="22" applyNumberFormat="1" applyFont="1" applyFill="1" applyBorder="1" applyAlignment="1">
      <alignment horizontal="center" vertical="center"/>
    </xf>
    <xf numFmtId="166" fontId="15" fillId="2" borderId="4" xfId="22" applyNumberFormat="1" applyFont="1" applyFill="1" applyBorder="1" applyAlignment="1">
      <alignment horizontal="center" vertical="center"/>
    </xf>
    <xf numFmtId="166" fontId="15" fillId="2" borderId="2" xfId="22" applyNumberFormat="1" applyFont="1" applyFill="1" applyBorder="1" applyAlignment="1">
      <alignment horizontal="center" vertical="center"/>
    </xf>
    <xf numFmtId="166" fontId="15" fillId="2" borderId="5" xfId="22" applyNumberFormat="1" applyFont="1" applyFill="1" applyBorder="1" applyAlignment="1">
      <alignment horizontal="center" vertical="center"/>
    </xf>
  </cellXfs>
  <cellStyles count="23">
    <cellStyle name="Comma 10" xfId="18"/>
    <cellStyle name="Currency [0] 10" xfId="17"/>
    <cellStyle name="Currency [0] 11" xfId="20"/>
    <cellStyle name="Currency [0] 12" xfId="22"/>
    <cellStyle name="Currency [0] 2" xfId="3"/>
    <cellStyle name="Currency [0] 3" xfId="5"/>
    <cellStyle name="Currency [0] 4" xfId="7"/>
    <cellStyle name="Currency [0] 5" xfId="9"/>
    <cellStyle name="Currency [0] 8" xfId="13"/>
    <cellStyle name="Currency [0] 9" xfId="15"/>
    <cellStyle name="Normal" xfId="0" builtinId="0"/>
    <cellStyle name="Normal 10" xfId="16"/>
    <cellStyle name="Normal 11" xfId="19"/>
    <cellStyle name="Normal 12" xfId="21"/>
    <cellStyle name="Normal 13" xfId="1"/>
    <cellStyle name="Normal 2" xfId="2"/>
    <cellStyle name="Normal 3" xfId="4"/>
    <cellStyle name="Normal 4" xfId="6"/>
    <cellStyle name="Normal 5" xfId="8"/>
    <cellStyle name="Normal 6" xfId="10"/>
    <cellStyle name="Normal 7" xfId="11"/>
    <cellStyle name="Normal 8" xfId="12"/>
    <cellStyle name="Normal 9" xfId="1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L52"/>
  <sheetViews>
    <sheetView topLeftCell="C28" workbookViewId="0">
      <selection activeCell="G53" sqref="G53"/>
    </sheetView>
  </sheetViews>
  <sheetFormatPr defaultRowHeight="15"/>
  <cols>
    <col min="1" max="1" width="10.7109375" customWidth="1"/>
    <col min="2" max="2" width="17.5703125" customWidth="1"/>
    <col min="3" max="3" width="22.7109375" customWidth="1"/>
    <col min="4" max="4" width="18.140625" customWidth="1"/>
    <col min="5" max="5" width="17.140625" customWidth="1"/>
    <col min="6" max="6" width="15.42578125" customWidth="1"/>
    <col min="7" max="7" width="17.28515625" customWidth="1"/>
    <col min="10" max="10" width="13.42578125" customWidth="1"/>
    <col min="11" max="11" width="35.85546875" customWidth="1"/>
    <col min="12" max="12" width="19.5703125" customWidth="1"/>
  </cols>
  <sheetData>
    <row r="3" spans="1:12" ht="15" customHeight="1">
      <c r="A3" s="115" t="s">
        <v>0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</row>
    <row r="4" spans="1:12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</row>
    <row r="5" spans="1:12" ht="15.75" customHeight="1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</row>
    <row r="6" spans="1:12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</row>
    <row r="7" spans="1:12">
      <c r="A7" s="46">
        <v>46024</v>
      </c>
      <c r="B7" s="47"/>
      <c r="C7" s="47">
        <v>700000</v>
      </c>
      <c r="D7" s="51"/>
      <c r="E7" s="53">
        <v>2860000</v>
      </c>
      <c r="F7" s="47"/>
      <c r="G7" s="55">
        <f t="shared" ref="G7:G38" si="0">C7-E7</f>
        <v>-2160000</v>
      </c>
      <c r="H7" s="48"/>
      <c r="I7" s="7"/>
      <c r="J7" s="61">
        <v>46025</v>
      </c>
      <c r="K7" s="60" t="s">
        <v>22</v>
      </c>
      <c r="L7" s="16">
        <v>710000</v>
      </c>
    </row>
    <row r="8" spans="1:12">
      <c r="A8" s="12">
        <v>46025</v>
      </c>
      <c r="B8" s="13">
        <v>6250000</v>
      </c>
      <c r="C8" s="13">
        <v>60000</v>
      </c>
      <c r="D8" s="51">
        <f>B8+C8</f>
        <v>6310000</v>
      </c>
      <c r="E8" s="53">
        <v>1471000</v>
      </c>
      <c r="F8" s="13">
        <f t="shared" ref="F8:F38" si="1">D8-E8</f>
        <v>4839000</v>
      </c>
      <c r="G8" s="55">
        <f t="shared" si="0"/>
        <v>-1411000</v>
      </c>
      <c r="H8" s="14"/>
      <c r="I8" s="17"/>
      <c r="J8" s="61">
        <v>46027</v>
      </c>
      <c r="K8" s="60" t="s">
        <v>23</v>
      </c>
      <c r="L8" s="16">
        <v>255000</v>
      </c>
    </row>
    <row r="9" spans="1:12">
      <c r="A9" s="107">
        <v>46026</v>
      </c>
      <c r="B9" s="108"/>
      <c r="C9" s="108"/>
      <c r="D9" s="108">
        <f>B9+C9</f>
        <v>0</v>
      </c>
      <c r="E9" s="108"/>
      <c r="F9" s="108">
        <f t="shared" si="1"/>
        <v>0</v>
      </c>
      <c r="G9" s="108">
        <f t="shared" si="0"/>
        <v>0</v>
      </c>
      <c r="H9" s="14"/>
      <c r="I9" s="7"/>
      <c r="J9" s="18">
        <v>46029</v>
      </c>
      <c r="K9" s="19" t="s">
        <v>24</v>
      </c>
      <c r="L9" s="16">
        <v>3900000</v>
      </c>
    </row>
    <row r="10" spans="1:12">
      <c r="A10" s="12">
        <v>46027</v>
      </c>
      <c r="B10" s="13">
        <v>7850000</v>
      </c>
      <c r="C10" s="13">
        <v>5815000</v>
      </c>
      <c r="D10" s="51">
        <f>B10+C10</f>
        <v>13665000</v>
      </c>
      <c r="E10" s="53">
        <v>1170000</v>
      </c>
      <c r="F10" s="47">
        <f t="shared" si="1"/>
        <v>12495000</v>
      </c>
      <c r="G10" s="55">
        <f t="shared" si="0"/>
        <v>4645000</v>
      </c>
      <c r="H10" s="14"/>
      <c r="I10" s="20"/>
      <c r="J10" s="18">
        <v>46029</v>
      </c>
      <c r="K10" s="43" t="s">
        <v>25</v>
      </c>
      <c r="L10" s="16">
        <v>400000</v>
      </c>
    </row>
    <row r="11" spans="1:12">
      <c r="A11" s="12">
        <v>46028</v>
      </c>
      <c r="B11" s="13">
        <v>10150000</v>
      </c>
      <c r="C11" s="13">
        <v>350000</v>
      </c>
      <c r="D11" s="51">
        <f>B11+C11</f>
        <v>10500000</v>
      </c>
      <c r="E11" s="53">
        <v>1145000</v>
      </c>
      <c r="F11" s="47">
        <f t="shared" si="1"/>
        <v>9355000</v>
      </c>
      <c r="G11" s="55">
        <f t="shared" si="0"/>
        <v>-795000</v>
      </c>
      <c r="H11" s="14"/>
      <c r="I11" s="20"/>
      <c r="J11" s="12">
        <v>46030</v>
      </c>
      <c r="K11" s="19" t="s">
        <v>26</v>
      </c>
      <c r="L11" s="16">
        <v>1000000</v>
      </c>
    </row>
    <row r="12" spans="1:12">
      <c r="A12" s="12">
        <v>46029</v>
      </c>
      <c r="B12" s="13">
        <v>7350000</v>
      </c>
      <c r="C12" s="47">
        <v>4272000</v>
      </c>
      <c r="D12" s="51">
        <f>B12+C12</f>
        <v>11622000</v>
      </c>
      <c r="E12" s="53">
        <v>1728000</v>
      </c>
      <c r="F12" s="13">
        <f t="shared" si="1"/>
        <v>9894000</v>
      </c>
      <c r="G12" s="55">
        <f t="shared" si="0"/>
        <v>2544000</v>
      </c>
      <c r="H12" s="14"/>
      <c r="I12" s="7"/>
      <c r="J12" s="12">
        <v>46035</v>
      </c>
      <c r="K12" s="15" t="s">
        <v>27</v>
      </c>
      <c r="L12" s="16">
        <v>300000</v>
      </c>
    </row>
    <row r="13" spans="1:12">
      <c r="A13" s="12">
        <v>46030</v>
      </c>
      <c r="B13" s="13">
        <v>6600000</v>
      </c>
      <c r="C13" s="13"/>
      <c r="D13" s="51">
        <f t="shared" ref="D13:D19" si="2">B13+C13</f>
        <v>6600000</v>
      </c>
      <c r="E13" s="53">
        <v>1271000</v>
      </c>
      <c r="F13" s="13">
        <f t="shared" si="1"/>
        <v>5329000</v>
      </c>
      <c r="G13" s="55">
        <f t="shared" si="0"/>
        <v>-1271000</v>
      </c>
      <c r="H13" s="14"/>
      <c r="I13" s="7"/>
      <c r="J13" s="12">
        <v>46036</v>
      </c>
      <c r="K13" s="23" t="s">
        <v>27</v>
      </c>
      <c r="L13" s="16">
        <v>385000</v>
      </c>
    </row>
    <row r="14" spans="1:12">
      <c r="A14" s="46">
        <v>46031</v>
      </c>
      <c r="B14" s="47">
        <v>2200000</v>
      </c>
      <c r="C14" s="47"/>
      <c r="D14" s="51">
        <f t="shared" si="2"/>
        <v>2200000</v>
      </c>
      <c r="E14" s="53">
        <v>1724000</v>
      </c>
      <c r="F14" s="47">
        <f t="shared" si="1"/>
        <v>476000</v>
      </c>
      <c r="G14" s="55">
        <f t="shared" si="0"/>
        <v>-1724000</v>
      </c>
      <c r="H14" s="49"/>
      <c r="I14" s="7"/>
      <c r="J14" s="12">
        <v>46037</v>
      </c>
      <c r="K14" s="23" t="s">
        <v>27</v>
      </c>
      <c r="L14" s="16">
        <v>85000</v>
      </c>
    </row>
    <row r="15" spans="1:12">
      <c r="A15" s="12">
        <v>46032</v>
      </c>
      <c r="B15" s="13"/>
      <c r="C15" s="13">
        <v>1150000</v>
      </c>
      <c r="D15" s="51">
        <f t="shared" si="2"/>
        <v>1150000</v>
      </c>
      <c r="E15" s="53">
        <v>968000</v>
      </c>
      <c r="F15" s="13">
        <f t="shared" si="1"/>
        <v>182000</v>
      </c>
      <c r="G15" s="55">
        <f t="shared" si="0"/>
        <v>182000</v>
      </c>
      <c r="H15" s="22"/>
      <c r="I15" s="20"/>
      <c r="J15" s="25">
        <v>46039</v>
      </c>
      <c r="K15" s="44" t="s">
        <v>28</v>
      </c>
      <c r="L15" s="45">
        <v>1615000</v>
      </c>
    </row>
    <row r="16" spans="1:12">
      <c r="A16" s="107"/>
      <c r="B16" s="108"/>
      <c r="C16" s="108"/>
      <c r="D16" s="108">
        <f t="shared" si="2"/>
        <v>0</v>
      </c>
      <c r="E16" s="108"/>
      <c r="F16" s="108">
        <f t="shared" si="1"/>
        <v>0</v>
      </c>
      <c r="G16" s="108">
        <f t="shared" si="0"/>
        <v>0</v>
      </c>
      <c r="H16" s="22"/>
      <c r="I16" s="24"/>
      <c r="J16" s="12">
        <v>46041</v>
      </c>
      <c r="K16" s="23" t="s">
        <v>29</v>
      </c>
      <c r="L16" s="16">
        <v>750000</v>
      </c>
    </row>
    <row r="17" spans="1:12">
      <c r="A17" s="12">
        <v>46034</v>
      </c>
      <c r="B17" s="13">
        <v>1050000</v>
      </c>
      <c r="C17" s="13">
        <v>4600000</v>
      </c>
      <c r="D17" s="51">
        <f t="shared" si="2"/>
        <v>5650000</v>
      </c>
      <c r="E17" s="53">
        <v>1615000</v>
      </c>
      <c r="F17" s="13">
        <f t="shared" si="1"/>
        <v>4035000</v>
      </c>
      <c r="G17" s="55">
        <f t="shared" si="0"/>
        <v>2985000</v>
      </c>
      <c r="H17" s="22"/>
      <c r="I17" s="24"/>
      <c r="J17" s="12">
        <v>46042</v>
      </c>
      <c r="K17" s="21" t="s">
        <v>30</v>
      </c>
      <c r="L17" s="16">
        <v>1250000</v>
      </c>
    </row>
    <row r="18" spans="1:12">
      <c r="A18" s="12">
        <v>46035</v>
      </c>
      <c r="B18" s="13">
        <v>4900000</v>
      </c>
      <c r="C18" s="13"/>
      <c r="D18" s="51">
        <f t="shared" si="2"/>
        <v>4900000</v>
      </c>
      <c r="E18" s="53">
        <v>1268000</v>
      </c>
      <c r="F18" s="13">
        <f t="shared" si="1"/>
        <v>3632000</v>
      </c>
      <c r="G18" s="55">
        <f t="shared" si="0"/>
        <v>-1268000</v>
      </c>
      <c r="H18" s="22"/>
      <c r="I18" s="27"/>
      <c r="J18" s="25">
        <v>46042</v>
      </c>
      <c r="K18" s="28" t="s">
        <v>31</v>
      </c>
      <c r="L18" s="16">
        <v>1000000</v>
      </c>
    </row>
    <row r="19" spans="1:12">
      <c r="A19" s="12">
        <v>46036</v>
      </c>
      <c r="B19" s="13">
        <v>850000</v>
      </c>
      <c r="C19" s="13">
        <v>300000</v>
      </c>
      <c r="D19" s="51">
        <f t="shared" si="2"/>
        <v>1150000</v>
      </c>
      <c r="E19" s="53">
        <v>1150000</v>
      </c>
      <c r="F19" s="13">
        <f t="shared" si="1"/>
        <v>0</v>
      </c>
      <c r="G19" s="55">
        <f t="shared" si="0"/>
        <v>-850000</v>
      </c>
      <c r="H19" s="22"/>
      <c r="I19" s="27"/>
      <c r="J19" s="30">
        <v>46046</v>
      </c>
      <c r="K19" s="21" t="s">
        <v>32</v>
      </c>
      <c r="L19" s="16">
        <v>5500000</v>
      </c>
    </row>
    <row r="20" spans="1:12">
      <c r="A20" s="12">
        <v>46037</v>
      </c>
      <c r="B20" s="13">
        <v>5000000</v>
      </c>
      <c r="C20" s="13">
        <v>450000</v>
      </c>
      <c r="D20" s="51">
        <f>B20+C20</f>
        <v>5450000</v>
      </c>
      <c r="E20" s="53">
        <v>1269000</v>
      </c>
      <c r="F20" s="13">
        <f t="shared" si="1"/>
        <v>4181000</v>
      </c>
      <c r="G20" s="55">
        <f t="shared" si="0"/>
        <v>-819000</v>
      </c>
      <c r="H20" s="22"/>
      <c r="I20" s="29"/>
      <c r="J20" s="25">
        <v>46046</v>
      </c>
      <c r="K20" s="28" t="s">
        <v>33</v>
      </c>
      <c r="L20" s="16">
        <v>10000000</v>
      </c>
    </row>
    <row r="21" spans="1:12">
      <c r="A21" s="46">
        <v>46038</v>
      </c>
      <c r="B21" s="47">
        <v>300000</v>
      </c>
      <c r="C21" s="47">
        <v>1650000</v>
      </c>
      <c r="D21" s="51">
        <f>B21+C21</f>
        <v>1950000</v>
      </c>
      <c r="E21" s="53">
        <v>1324000</v>
      </c>
      <c r="F21" s="47">
        <f t="shared" si="1"/>
        <v>626000</v>
      </c>
      <c r="G21" s="55">
        <f t="shared" si="0"/>
        <v>326000</v>
      </c>
      <c r="H21" s="48"/>
      <c r="I21" s="27"/>
      <c r="J21" s="25">
        <v>46049</v>
      </c>
      <c r="K21" s="28" t="s">
        <v>34</v>
      </c>
      <c r="L21" s="16">
        <v>9990000</v>
      </c>
    </row>
    <row r="22" spans="1:12">
      <c r="A22" s="46">
        <v>46039</v>
      </c>
      <c r="B22" s="47">
        <v>27700000</v>
      </c>
      <c r="C22" s="47">
        <v>900000</v>
      </c>
      <c r="D22" s="51">
        <f t="shared" ref="D22:D36" si="3">B22+C22</f>
        <v>28600000</v>
      </c>
      <c r="E22" s="53">
        <v>1676000</v>
      </c>
      <c r="F22" s="47">
        <f t="shared" si="1"/>
        <v>26924000</v>
      </c>
      <c r="G22" s="55">
        <f t="shared" si="0"/>
        <v>-776000</v>
      </c>
      <c r="H22" s="48"/>
      <c r="I22" s="27"/>
      <c r="J22" s="25">
        <v>46049</v>
      </c>
      <c r="K22" s="28" t="s">
        <v>35</v>
      </c>
      <c r="L22" s="16">
        <v>6197750</v>
      </c>
    </row>
    <row r="23" spans="1:12">
      <c r="A23" s="107"/>
      <c r="B23" s="108"/>
      <c r="C23" s="108"/>
      <c r="D23" s="108">
        <f t="shared" si="3"/>
        <v>0</v>
      </c>
      <c r="E23" s="108"/>
      <c r="F23" s="108">
        <f t="shared" si="1"/>
        <v>0</v>
      </c>
      <c r="G23" s="108">
        <f t="shared" si="0"/>
        <v>0</v>
      </c>
      <c r="H23" s="48"/>
      <c r="I23" s="27"/>
      <c r="J23" s="25">
        <v>46049</v>
      </c>
      <c r="K23" s="28" t="s">
        <v>36</v>
      </c>
      <c r="L23" s="16">
        <v>3520000</v>
      </c>
    </row>
    <row r="24" spans="1:12">
      <c r="A24" s="46">
        <v>46041</v>
      </c>
      <c r="B24" s="47">
        <v>1900000</v>
      </c>
      <c r="C24" s="47">
        <v>7500000</v>
      </c>
      <c r="D24" s="51">
        <f t="shared" si="3"/>
        <v>9400000</v>
      </c>
      <c r="E24" s="53">
        <v>3555000</v>
      </c>
      <c r="F24" s="47">
        <f t="shared" si="1"/>
        <v>5845000</v>
      </c>
      <c r="G24" s="55">
        <f t="shared" si="0"/>
        <v>3945000</v>
      </c>
      <c r="H24" s="48"/>
      <c r="I24" s="27"/>
      <c r="J24" s="25">
        <v>46049</v>
      </c>
      <c r="K24" s="28" t="s">
        <v>37</v>
      </c>
      <c r="L24" s="16">
        <v>5150000</v>
      </c>
    </row>
    <row r="25" spans="1:12">
      <c r="A25" s="46">
        <v>46042</v>
      </c>
      <c r="B25" s="47">
        <v>5100000</v>
      </c>
      <c r="C25" s="47"/>
      <c r="D25" s="51">
        <f t="shared" si="3"/>
        <v>5100000</v>
      </c>
      <c r="E25" s="53">
        <v>2003000</v>
      </c>
      <c r="F25" s="47">
        <f t="shared" si="1"/>
        <v>3097000</v>
      </c>
      <c r="G25" s="55">
        <f t="shared" si="0"/>
        <v>-2003000</v>
      </c>
      <c r="H25" s="48"/>
      <c r="I25" s="27"/>
      <c r="J25" s="25">
        <v>46049</v>
      </c>
      <c r="K25" s="28" t="s">
        <v>38</v>
      </c>
      <c r="L25" s="16">
        <v>40435000</v>
      </c>
    </row>
    <row r="26" spans="1:12">
      <c r="A26" s="46">
        <v>46043</v>
      </c>
      <c r="B26" s="47">
        <v>7350000</v>
      </c>
      <c r="C26" s="47">
        <v>4860000</v>
      </c>
      <c r="D26" s="51">
        <f t="shared" si="3"/>
        <v>12210000</v>
      </c>
      <c r="E26" s="53">
        <v>1320000</v>
      </c>
      <c r="F26" s="47">
        <f t="shared" si="1"/>
        <v>10890000</v>
      </c>
      <c r="G26" s="55">
        <f t="shared" si="0"/>
        <v>3540000</v>
      </c>
      <c r="H26" s="48"/>
      <c r="I26" s="27"/>
      <c r="J26" s="25">
        <v>46049</v>
      </c>
      <c r="K26" s="28" t="s">
        <v>39</v>
      </c>
      <c r="L26" s="16">
        <v>300000</v>
      </c>
    </row>
    <row r="27" spans="1:12">
      <c r="A27" s="12">
        <v>46044</v>
      </c>
      <c r="B27" s="13">
        <v>400000</v>
      </c>
      <c r="C27" s="13">
        <v>4765000</v>
      </c>
      <c r="D27" s="51">
        <f t="shared" si="3"/>
        <v>5165000</v>
      </c>
      <c r="E27" s="53">
        <v>1262000</v>
      </c>
      <c r="F27" s="13">
        <f t="shared" si="1"/>
        <v>3903000</v>
      </c>
      <c r="G27" s="55">
        <f t="shared" si="0"/>
        <v>3503000</v>
      </c>
      <c r="H27" s="14"/>
      <c r="I27" s="27"/>
      <c r="J27" s="25">
        <v>46050</v>
      </c>
      <c r="K27" s="28" t="s">
        <v>23</v>
      </c>
      <c r="L27" s="16">
        <v>850000</v>
      </c>
    </row>
    <row r="28" spans="1:12">
      <c r="A28" s="12">
        <v>46045</v>
      </c>
      <c r="B28" s="13">
        <v>5625000</v>
      </c>
      <c r="C28" s="13"/>
      <c r="D28" s="51"/>
      <c r="E28" s="53">
        <v>1325000</v>
      </c>
      <c r="F28" s="13">
        <f t="shared" si="1"/>
        <v>-1325000</v>
      </c>
      <c r="G28" s="55">
        <f t="shared" si="0"/>
        <v>-1325000</v>
      </c>
      <c r="H28" s="14"/>
      <c r="I28" s="29"/>
      <c r="J28" s="25">
        <v>46050</v>
      </c>
      <c r="K28" s="28" t="s">
        <v>40</v>
      </c>
      <c r="L28" s="16">
        <v>850000</v>
      </c>
    </row>
    <row r="29" spans="1:12">
      <c r="A29" s="12">
        <v>46046</v>
      </c>
      <c r="B29" s="13">
        <v>4550000</v>
      </c>
      <c r="C29" s="13">
        <v>75000</v>
      </c>
      <c r="D29" s="51">
        <f t="shared" si="3"/>
        <v>4625000</v>
      </c>
      <c r="E29" s="53">
        <v>2280000</v>
      </c>
      <c r="F29" s="13">
        <f t="shared" si="1"/>
        <v>2345000</v>
      </c>
      <c r="G29" s="55">
        <f t="shared" si="0"/>
        <v>-2205000</v>
      </c>
      <c r="H29" s="14"/>
      <c r="I29" s="27"/>
      <c r="J29" s="25">
        <v>46050</v>
      </c>
      <c r="K29" s="28" t="s">
        <v>41</v>
      </c>
      <c r="L29" s="16">
        <v>850000</v>
      </c>
    </row>
    <row r="30" spans="1:12">
      <c r="A30" s="107"/>
      <c r="B30" s="108"/>
      <c r="C30" s="108"/>
      <c r="D30" s="108"/>
      <c r="E30" s="108"/>
      <c r="F30" s="108"/>
      <c r="G30" s="108">
        <f t="shared" si="0"/>
        <v>0</v>
      </c>
      <c r="H30" s="31"/>
      <c r="I30" s="27"/>
      <c r="J30" s="25">
        <v>46052</v>
      </c>
      <c r="K30" s="28" t="s">
        <v>42</v>
      </c>
      <c r="L30" s="16">
        <v>700000</v>
      </c>
    </row>
    <row r="31" spans="1:12">
      <c r="A31" s="12">
        <v>46048</v>
      </c>
      <c r="B31" s="13">
        <v>3850000</v>
      </c>
      <c r="C31" s="13">
        <v>2150000</v>
      </c>
      <c r="D31" s="51">
        <f t="shared" si="3"/>
        <v>6000000</v>
      </c>
      <c r="E31" s="53">
        <v>972000</v>
      </c>
      <c r="F31" s="13">
        <f t="shared" si="1"/>
        <v>5028000</v>
      </c>
      <c r="G31" s="55">
        <f t="shared" si="0"/>
        <v>1178000</v>
      </c>
      <c r="H31" s="14"/>
      <c r="I31" s="27"/>
      <c r="J31" s="25">
        <v>46053</v>
      </c>
      <c r="K31" s="28" t="s">
        <v>43</v>
      </c>
      <c r="L31" s="16">
        <v>4655000</v>
      </c>
    </row>
    <row r="32" spans="1:12">
      <c r="A32" s="12">
        <v>46049</v>
      </c>
      <c r="B32" s="13">
        <v>1000000</v>
      </c>
      <c r="C32" s="13">
        <v>18400000</v>
      </c>
      <c r="D32" s="51">
        <f t="shared" si="3"/>
        <v>19400000</v>
      </c>
      <c r="E32" s="53">
        <v>3322000</v>
      </c>
      <c r="F32" s="13">
        <f t="shared" si="1"/>
        <v>16078000</v>
      </c>
      <c r="G32" s="55">
        <f t="shared" si="0"/>
        <v>15078000</v>
      </c>
      <c r="H32" s="14"/>
      <c r="I32" s="27"/>
      <c r="J32" s="25" t="s">
        <v>44</v>
      </c>
      <c r="K32" s="28" t="s">
        <v>45</v>
      </c>
      <c r="L32" s="16">
        <v>360000</v>
      </c>
    </row>
    <row r="33" spans="1:12">
      <c r="A33" s="12">
        <v>46050</v>
      </c>
      <c r="B33" s="13">
        <v>700000</v>
      </c>
      <c r="C33" s="13">
        <v>5200000</v>
      </c>
      <c r="D33" s="51">
        <f t="shared" si="3"/>
        <v>5900000</v>
      </c>
      <c r="E33" s="53">
        <v>1252000</v>
      </c>
      <c r="F33" s="13">
        <f t="shared" si="1"/>
        <v>4648000</v>
      </c>
      <c r="G33" s="55">
        <f t="shared" si="0"/>
        <v>3948000</v>
      </c>
      <c r="H33" s="14"/>
      <c r="I33" s="27"/>
      <c r="J33" s="25">
        <v>46053</v>
      </c>
      <c r="K33" s="28" t="s">
        <v>46</v>
      </c>
      <c r="L33" s="16">
        <v>1800000</v>
      </c>
    </row>
    <row r="34" spans="1:12">
      <c r="A34" s="12">
        <v>46051</v>
      </c>
      <c r="B34" s="13">
        <v>8425000</v>
      </c>
      <c r="C34" s="13"/>
      <c r="D34" s="51">
        <f t="shared" si="3"/>
        <v>8425000</v>
      </c>
      <c r="E34" s="53">
        <v>863000</v>
      </c>
      <c r="F34" s="13">
        <f t="shared" si="1"/>
        <v>7562000</v>
      </c>
      <c r="G34" s="55">
        <f t="shared" si="0"/>
        <v>-863000</v>
      </c>
      <c r="H34" s="14"/>
      <c r="I34" s="27"/>
      <c r="J34" s="25"/>
      <c r="K34" s="28"/>
      <c r="L34" s="16"/>
    </row>
    <row r="35" spans="1:12">
      <c r="A35" s="12">
        <v>46052</v>
      </c>
      <c r="B35" s="13">
        <v>1150000</v>
      </c>
      <c r="C35" s="13">
        <v>100000</v>
      </c>
      <c r="D35" s="51">
        <f t="shared" si="3"/>
        <v>1250000</v>
      </c>
      <c r="E35" s="53">
        <v>1385000</v>
      </c>
      <c r="F35" s="13">
        <f t="shared" si="1"/>
        <v>-135000</v>
      </c>
      <c r="G35" s="55">
        <f t="shared" si="0"/>
        <v>-1285000</v>
      </c>
      <c r="H35" s="14"/>
      <c r="I35" s="27"/>
      <c r="J35" s="25"/>
      <c r="K35" s="28"/>
      <c r="L35" s="16"/>
    </row>
    <row r="36" spans="1:12">
      <c r="A36" s="12">
        <v>46053</v>
      </c>
      <c r="B36" s="13">
        <v>1050000</v>
      </c>
      <c r="C36" s="13">
        <v>5215000</v>
      </c>
      <c r="D36" s="51">
        <f t="shared" si="3"/>
        <v>6265000</v>
      </c>
      <c r="E36" s="53">
        <v>1691000</v>
      </c>
      <c r="F36" s="13">
        <f t="shared" si="1"/>
        <v>4574000</v>
      </c>
      <c r="G36" s="55">
        <f t="shared" si="0"/>
        <v>3524000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102807750</v>
      </c>
    </row>
    <row r="42" spans="1:12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189812000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41869000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102807750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144676750</v>
      </c>
    </row>
    <row r="47" spans="1:12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</row>
    <row r="48" spans="1:12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58</v>
      </c>
      <c r="K48" s="114"/>
      <c r="L48" s="41">
        <f>L43-L46</f>
        <v>45135250</v>
      </c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121300000</v>
      </c>
      <c r="C51" s="42">
        <f t="shared" si="5"/>
        <v>68512000</v>
      </c>
      <c r="D51" s="52">
        <f t="shared" si="5"/>
        <v>183487000</v>
      </c>
      <c r="E51" s="54">
        <f t="shared" si="5"/>
        <v>41869000</v>
      </c>
      <c r="F51" s="50">
        <f t="shared" si="5"/>
        <v>144478000</v>
      </c>
      <c r="G51" s="56">
        <f t="shared" si="5"/>
        <v>26643000</v>
      </c>
      <c r="H51" s="27"/>
      <c r="I51" s="2"/>
      <c r="J51" s="2"/>
      <c r="K51" s="2"/>
      <c r="L51" s="2"/>
    </row>
    <row r="52" spans="1:12">
      <c r="A52" s="2"/>
      <c r="B52" s="2"/>
      <c r="C52" s="2"/>
      <c r="D52" s="62"/>
      <c r="E52" s="2"/>
      <c r="F52" s="2"/>
      <c r="G52" s="2"/>
      <c r="H52" s="27"/>
      <c r="I52" s="2"/>
      <c r="J52" s="1"/>
      <c r="K52" s="1"/>
      <c r="L52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M52"/>
  <sheetViews>
    <sheetView topLeftCell="A7" workbookViewId="0">
      <selection activeCell="I46" sqref="I46"/>
    </sheetView>
  </sheetViews>
  <sheetFormatPr defaultRowHeight="15"/>
  <cols>
    <col min="2" max="2" width="14.5703125" customWidth="1"/>
    <col min="3" max="3" width="15.42578125" customWidth="1"/>
    <col min="4" max="4" width="15.28515625" customWidth="1"/>
    <col min="5" max="5" width="14.85546875" customWidth="1"/>
    <col min="6" max="6" width="17.5703125" customWidth="1"/>
    <col min="7" max="7" width="15.5703125" customWidth="1"/>
    <col min="11" max="11" width="30.28515625" customWidth="1"/>
    <col min="12" max="12" width="19.42578125" customWidth="1"/>
  </cols>
  <sheetData>
    <row r="3" spans="1:13" ht="15" customHeight="1">
      <c r="A3" s="115" t="s">
        <v>17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  <c r="M3" s="1"/>
    </row>
    <row r="4" spans="1:13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  <c r="M4" s="1"/>
    </row>
    <row r="5" spans="1:13" ht="15.75" customHeight="1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  <c r="M5" s="1"/>
    </row>
    <row r="6" spans="1:13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  <c r="M6" s="1"/>
    </row>
    <row r="7" spans="1:13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>
        <v>46060</v>
      </c>
      <c r="K7" s="60" t="s">
        <v>47</v>
      </c>
      <c r="L7" s="16">
        <v>2000000</v>
      </c>
      <c r="M7" s="1"/>
    </row>
    <row r="8" spans="1:13">
      <c r="A8" s="12">
        <v>46055</v>
      </c>
      <c r="B8" s="13">
        <v>1750000</v>
      </c>
      <c r="C8" s="13">
        <v>2350000</v>
      </c>
      <c r="D8" s="51">
        <f>B8+C8</f>
        <v>4100000</v>
      </c>
      <c r="E8" s="53">
        <v>1769000</v>
      </c>
      <c r="F8" s="13">
        <f t="shared" ref="F8:F38" si="1">D8-E8</f>
        <v>2331000</v>
      </c>
      <c r="G8" s="55">
        <f t="shared" si="0"/>
        <v>581000</v>
      </c>
      <c r="H8" s="14"/>
      <c r="I8" s="17"/>
      <c r="J8" s="61">
        <v>46062</v>
      </c>
      <c r="K8" s="60" t="s">
        <v>27</v>
      </c>
      <c r="L8" s="16">
        <v>1700000</v>
      </c>
      <c r="M8" s="1"/>
    </row>
    <row r="9" spans="1:13">
      <c r="A9" s="46">
        <v>46056</v>
      </c>
      <c r="B9" s="47">
        <v>7025000</v>
      </c>
      <c r="C9" s="47">
        <v>600000</v>
      </c>
      <c r="D9" s="51">
        <f>B9+C9</f>
        <v>7625000</v>
      </c>
      <c r="E9" s="53">
        <v>1207000</v>
      </c>
      <c r="F9" s="47">
        <f t="shared" si="1"/>
        <v>6418000</v>
      </c>
      <c r="G9" s="55">
        <f t="shared" si="0"/>
        <v>-607000</v>
      </c>
      <c r="H9" s="14"/>
      <c r="I9" s="7"/>
      <c r="J9" s="18">
        <v>46064</v>
      </c>
      <c r="K9" s="19" t="s">
        <v>48</v>
      </c>
      <c r="L9" s="16">
        <v>2500000</v>
      </c>
      <c r="M9" s="1"/>
    </row>
    <row r="10" spans="1:13">
      <c r="A10" s="12">
        <v>46057</v>
      </c>
      <c r="B10" s="13">
        <v>2000000</v>
      </c>
      <c r="C10" s="13">
        <v>1650000</v>
      </c>
      <c r="D10" s="51">
        <f>B10+C10</f>
        <v>3650000</v>
      </c>
      <c r="E10" s="53">
        <v>965000</v>
      </c>
      <c r="F10" s="47">
        <f t="shared" si="1"/>
        <v>2685000</v>
      </c>
      <c r="G10" s="55">
        <f t="shared" si="0"/>
        <v>685000</v>
      </c>
      <c r="H10" s="14"/>
      <c r="I10" s="20"/>
      <c r="J10" s="18">
        <v>46064</v>
      </c>
      <c r="K10" s="43" t="s">
        <v>24</v>
      </c>
      <c r="L10" s="16">
        <v>2000000</v>
      </c>
      <c r="M10" s="1"/>
    </row>
    <row r="11" spans="1:13">
      <c r="A11" s="12">
        <v>46058</v>
      </c>
      <c r="B11" s="13">
        <v>3150000</v>
      </c>
      <c r="C11" s="13">
        <v>2560000</v>
      </c>
      <c r="D11" s="51">
        <f>B11+C11</f>
        <v>5710000</v>
      </c>
      <c r="E11" s="53">
        <v>1650000</v>
      </c>
      <c r="F11" s="47">
        <f t="shared" si="1"/>
        <v>4060000</v>
      </c>
      <c r="G11" s="55">
        <f t="shared" si="0"/>
        <v>910000</v>
      </c>
      <c r="H11" s="14"/>
      <c r="I11" s="20"/>
      <c r="J11" s="12">
        <v>46066</v>
      </c>
      <c r="K11" s="19" t="s">
        <v>49</v>
      </c>
      <c r="L11" s="16">
        <v>1800000</v>
      </c>
      <c r="M11" s="1"/>
    </row>
    <row r="12" spans="1:13">
      <c r="A12" s="12">
        <v>46059</v>
      </c>
      <c r="B12" s="13">
        <v>3000000</v>
      </c>
      <c r="C12" s="47">
        <v>3350000</v>
      </c>
      <c r="D12" s="51">
        <f>B12+C12</f>
        <v>6350000</v>
      </c>
      <c r="E12" s="53">
        <v>2172000</v>
      </c>
      <c r="F12" s="13">
        <f t="shared" si="1"/>
        <v>4178000</v>
      </c>
      <c r="G12" s="55">
        <f t="shared" si="0"/>
        <v>1178000</v>
      </c>
      <c r="H12" s="14"/>
      <c r="I12" s="7"/>
      <c r="J12" s="12">
        <v>46066</v>
      </c>
      <c r="K12" s="15" t="s">
        <v>50</v>
      </c>
      <c r="L12" s="16">
        <v>2665000</v>
      </c>
      <c r="M12" s="1"/>
    </row>
    <row r="13" spans="1:13">
      <c r="A13" s="12">
        <v>46060</v>
      </c>
      <c r="B13" s="13">
        <v>2800000</v>
      </c>
      <c r="C13" s="13">
        <v>2500000</v>
      </c>
      <c r="D13" s="51">
        <f t="shared" ref="D13:D19" si="2">B13+C13</f>
        <v>5300000</v>
      </c>
      <c r="E13" s="53">
        <v>2041000</v>
      </c>
      <c r="F13" s="13">
        <f t="shared" si="1"/>
        <v>3259000</v>
      </c>
      <c r="G13" s="55">
        <f t="shared" si="0"/>
        <v>459000</v>
      </c>
      <c r="H13" s="14"/>
      <c r="I13" s="7"/>
      <c r="J13" s="12">
        <v>46069</v>
      </c>
      <c r="K13" s="23" t="s">
        <v>26</v>
      </c>
      <c r="L13" s="16">
        <v>500000</v>
      </c>
      <c r="M13" s="1"/>
    </row>
    <row r="14" spans="1:13">
      <c r="A14" s="107">
        <v>46061</v>
      </c>
      <c r="B14" s="108"/>
      <c r="C14" s="108"/>
      <c r="D14" s="108">
        <f t="shared" si="2"/>
        <v>0</v>
      </c>
      <c r="E14" s="108"/>
      <c r="F14" s="108">
        <f t="shared" si="1"/>
        <v>0</v>
      </c>
      <c r="G14" s="108">
        <f t="shared" si="0"/>
        <v>0</v>
      </c>
      <c r="H14" s="49"/>
      <c r="I14" s="7"/>
      <c r="J14" s="12">
        <v>46069</v>
      </c>
      <c r="K14" s="23" t="s">
        <v>31</v>
      </c>
      <c r="L14" s="16">
        <v>1000000</v>
      </c>
      <c r="M14" s="1"/>
    </row>
    <row r="15" spans="1:13">
      <c r="A15" s="12">
        <v>46062</v>
      </c>
      <c r="B15" s="13"/>
      <c r="C15" s="13">
        <v>1400000</v>
      </c>
      <c r="D15" s="51">
        <f t="shared" si="2"/>
        <v>1400000</v>
      </c>
      <c r="E15" s="53">
        <v>1652000</v>
      </c>
      <c r="F15" s="13">
        <f t="shared" si="1"/>
        <v>-252000</v>
      </c>
      <c r="G15" s="55">
        <f t="shared" si="0"/>
        <v>-252000</v>
      </c>
      <c r="H15" s="22"/>
      <c r="I15" s="20"/>
      <c r="J15" s="25">
        <v>46069</v>
      </c>
      <c r="K15" s="44" t="s">
        <v>51</v>
      </c>
      <c r="L15" s="45">
        <v>150000</v>
      </c>
      <c r="M15" s="1"/>
    </row>
    <row r="16" spans="1:13">
      <c r="A16" s="46">
        <v>46063</v>
      </c>
      <c r="B16" s="47">
        <v>5700000</v>
      </c>
      <c r="C16" s="47">
        <v>1850000</v>
      </c>
      <c r="D16" s="51">
        <f t="shared" si="2"/>
        <v>7550000</v>
      </c>
      <c r="E16" s="53">
        <v>1199000</v>
      </c>
      <c r="F16" s="47">
        <f t="shared" si="1"/>
        <v>6351000</v>
      </c>
      <c r="G16" s="55">
        <f t="shared" si="0"/>
        <v>651000</v>
      </c>
      <c r="H16" s="22"/>
      <c r="I16" s="24"/>
      <c r="J16" s="12">
        <v>46069</v>
      </c>
      <c r="K16" s="23" t="s">
        <v>52</v>
      </c>
      <c r="L16" s="16">
        <v>95000</v>
      </c>
      <c r="M16" s="1"/>
    </row>
    <row r="17" spans="1:13">
      <c r="A17" s="12">
        <v>46064</v>
      </c>
      <c r="B17" s="13">
        <v>350000</v>
      </c>
      <c r="C17" s="13">
        <v>1650000</v>
      </c>
      <c r="D17" s="51">
        <f t="shared" si="2"/>
        <v>2000000</v>
      </c>
      <c r="E17" s="53">
        <v>1028000</v>
      </c>
      <c r="F17" s="13">
        <f t="shared" si="1"/>
        <v>972000</v>
      </c>
      <c r="G17" s="55">
        <f t="shared" si="0"/>
        <v>622000</v>
      </c>
      <c r="H17" s="22"/>
      <c r="I17" s="24"/>
      <c r="J17" s="12">
        <v>46069</v>
      </c>
      <c r="K17" s="21" t="s">
        <v>53</v>
      </c>
      <c r="L17" s="16">
        <v>150000</v>
      </c>
      <c r="M17" s="1"/>
    </row>
    <row r="18" spans="1:13">
      <c r="A18" s="12">
        <v>46065</v>
      </c>
      <c r="B18" s="13"/>
      <c r="C18" s="13">
        <v>3550000</v>
      </c>
      <c r="D18" s="51">
        <f t="shared" si="2"/>
        <v>3550000</v>
      </c>
      <c r="E18" s="53">
        <v>966000</v>
      </c>
      <c r="F18" s="13">
        <f t="shared" si="1"/>
        <v>2584000</v>
      </c>
      <c r="G18" s="55">
        <f t="shared" si="0"/>
        <v>2584000</v>
      </c>
      <c r="H18" s="22"/>
      <c r="I18" s="27"/>
      <c r="J18" s="25">
        <v>46072</v>
      </c>
      <c r="K18" s="28" t="s">
        <v>54</v>
      </c>
      <c r="L18" s="16">
        <v>1087500</v>
      </c>
      <c r="M18" s="1"/>
    </row>
    <row r="19" spans="1:13">
      <c r="A19" s="12">
        <v>46066</v>
      </c>
      <c r="B19" s="13">
        <v>1000000</v>
      </c>
      <c r="C19" s="13">
        <v>2850000</v>
      </c>
      <c r="D19" s="51">
        <f t="shared" si="2"/>
        <v>3850000</v>
      </c>
      <c r="E19" s="53">
        <v>1697500</v>
      </c>
      <c r="F19" s="13">
        <f t="shared" si="1"/>
        <v>2152500</v>
      </c>
      <c r="G19" s="55">
        <f t="shared" si="0"/>
        <v>1152500</v>
      </c>
      <c r="H19" s="22"/>
      <c r="I19" s="27"/>
      <c r="J19" s="30">
        <v>46076</v>
      </c>
      <c r="K19" s="21" t="s">
        <v>27</v>
      </c>
      <c r="L19" s="16">
        <v>80000</v>
      </c>
      <c r="M19" s="1"/>
    </row>
    <row r="20" spans="1:13">
      <c r="A20" s="46">
        <v>46067</v>
      </c>
      <c r="B20" s="47">
        <v>1150000</v>
      </c>
      <c r="C20" s="47">
        <v>2250000</v>
      </c>
      <c r="D20" s="51">
        <f>B20+C20</f>
        <v>3400000</v>
      </c>
      <c r="E20" s="53">
        <v>2823000</v>
      </c>
      <c r="F20" s="47">
        <f t="shared" si="1"/>
        <v>577000</v>
      </c>
      <c r="G20" s="109">
        <f t="shared" si="0"/>
        <v>-573000</v>
      </c>
      <c r="H20" s="22"/>
      <c r="I20" s="29"/>
      <c r="J20" s="25">
        <v>46076</v>
      </c>
      <c r="K20" s="28" t="s">
        <v>34</v>
      </c>
      <c r="L20" s="16">
        <v>14430000</v>
      </c>
      <c r="M20" s="1"/>
    </row>
    <row r="21" spans="1:13">
      <c r="A21" s="107">
        <v>46068</v>
      </c>
      <c r="B21" s="108"/>
      <c r="C21" s="108"/>
      <c r="D21" s="108">
        <f>B21+C21</f>
        <v>0</v>
      </c>
      <c r="E21" s="108"/>
      <c r="F21" s="108">
        <f t="shared" si="1"/>
        <v>0</v>
      </c>
      <c r="G21" s="108">
        <f t="shared" si="0"/>
        <v>0</v>
      </c>
      <c r="H21" s="48"/>
      <c r="I21" s="27"/>
      <c r="J21" s="25">
        <v>46076</v>
      </c>
      <c r="K21" s="28" t="s">
        <v>35</v>
      </c>
      <c r="L21" s="16">
        <v>7947000</v>
      </c>
      <c r="M21" s="1"/>
    </row>
    <row r="22" spans="1:13">
      <c r="A22" s="46">
        <v>46069</v>
      </c>
      <c r="B22" s="47">
        <v>2000000</v>
      </c>
      <c r="C22" s="47">
        <v>3050000</v>
      </c>
      <c r="D22" s="51">
        <f t="shared" ref="D22:D36" si="3">B22+C22</f>
        <v>5050000</v>
      </c>
      <c r="E22" s="53">
        <v>1267000</v>
      </c>
      <c r="F22" s="47">
        <f t="shared" si="1"/>
        <v>3783000</v>
      </c>
      <c r="G22" s="55">
        <f t="shared" si="0"/>
        <v>1783000</v>
      </c>
      <c r="H22" s="48"/>
      <c r="I22" s="27"/>
      <c r="J22" s="25">
        <v>46076</v>
      </c>
      <c r="K22" s="28" t="s">
        <v>50</v>
      </c>
      <c r="L22" s="16">
        <v>7390000</v>
      </c>
      <c r="M22" s="1"/>
    </row>
    <row r="23" spans="1:13">
      <c r="A23" s="46">
        <v>46070</v>
      </c>
      <c r="B23" s="47">
        <v>5000000</v>
      </c>
      <c r="C23" s="47"/>
      <c r="D23" s="51">
        <f t="shared" si="3"/>
        <v>5000000</v>
      </c>
      <c r="E23" s="53">
        <v>2227000</v>
      </c>
      <c r="F23" s="47">
        <f t="shared" si="1"/>
        <v>2773000</v>
      </c>
      <c r="G23" s="55">
        <f t="shared" si="0"/>
        <v>-2227000</v>
      </c>
      <c r="H23" s="48"/>
      <c r="I23" s="27"/>
      <c r="J23" s="25">
        <v>46076</v>
      </c>
      <c r="K23" s="28" t="s">
        <v>55</v>
      </c>
      <c r="L23" s="16">
        <v>27632500</v>
      </c>
      <c r="M23" s="1"/>
    </row>
    <row r="24" spans="1:13">
      <c r="A24" s="46">
        <v>46071</v>
      </c>
      <c r="B24" s="47">
        <v>3725000</v>
      </c>
      <c r="C24" s="47"/>
      <c r="D24" s="51">
        <v>4625000</v>
      </c>
      <c r="E24" s="53">
        <v>900000</v>
      </c>
      <c r="F24" s="47">
        <f t="shared" si="1"/>
        <v>3725000</v>
      </c>
      <c r="G24" s="110">
        <f t="shared" si="0"/>
        <v>-900000</v>
      </c>
      <c r="H24" s="48"/>
      <c r="I24" s="27"/>
      <c r="J24" s="25">
        <v>46076</v>
      </c>
      <c r="K24" s="28" t="s">
        <v>56</v>
      </c>
      <c r="L24" s="16">
        <v>2200000</v>
      </c>
      <c r="M24" s="1"/>
    </row>
    <row r="25" spans="1:13">
      <c r="A25" s="46">
        <v>46072</v>
      </c>
      <c r="B25" s="47">
        <v>3300000</v>
      </c>
      <c r="C25" s="47">
        <v>1970000</v>
      </c>
      <c r="D25" s="51">
        <f t="shared" si="3"/>
        <v>5270000</v>
      </c>
      <c r="E25" s="53">
        <v>2459000</v>
      </c>
      <c r="F25" s="47">
        <f t="shared" si="1"/>
        <v>2811000</v>
      </c>
      <c r="G25" s="55">
        <f t="shared" si="0"/>
        <v>-489000</v>
      </c>
      <c r="H25" s="48"/>
      <c r="I25" s="27"/>
      <c r="J25" s="25">
        <v>46077</v>
      </c>
      <c r="K25" s="28" t="s">
        <v>73</v>
      </c>
      <c r="L25" s="16">
        <v>10000000</v>
      </c>
      <c r="M25" s="1"/>
    </row>
    <row r="26" spans="1:13">
      <c r="A26" s="46">
        <v>46073</v>
      </c>
      <c r="B26" s="47">
        <v>6850000</v>
      </c>
      <c r="C26" s="47">
        <v>200000</v>
      </c>
      <c r="D26" s="51">
        <v>11850000</v>
      </c>
      <c r="E26" s="53">
        <v>2683000</v>
      </c>
      <c r="F26" s="47">
        <f t="shared" si="1"/>
        <v>9167000</v>
      </c>
      <c r="G26" s="55">
        <f t="shared" si="0"/>
        <v>-2483000</v>
      </c>
      <c r="H26" s="48"/>
      <c r="I26" s="27"/>
      <c r="J26" s="25">
        <v>46078</v>
      </c>
      <c r="K26" s="28" t="s">
        <v>74</v>
      </c>
      <c r="L26" s="16">
        <v>9450000</v>
      </c>
      <c r="M26" s="1"/>
    </row>
    <row r="27" spans="1:13">
      <c r="A27" s="46">
        <v>46074</v>
      </c>
      <c r="B27" s="47">
        <v>500000</v>
      </c>
      <c r="C27" s="47">
        <v>4300000</v>
      </c>
      <c r="D27" s="51"/>
      <c r="E27" s="53">
        <v>1210000</v>
      </c>
      <c r="F27" s="47">
        <f t="shared" si="1"/>
        <v>-1210000</v>
      </c>
      <c r="G27" s="55">
        <f t="shared" si="0"/>
        <v>3090000</v>
      </c>
      <c r="H27" s="14"/>
      <c r="I27" s="27"/>
      <c r="J27" s="25">
        <v>46079</v>
      </c>
      <c r="K27" s="28" t="s">
        <v>75</v>
      </c>
      <c r="L27" s="16">
        <v>3000000</v>
      </c>
      <c r="M27" s="1"/>
    </row>
    <row r="28" spans="1:13">
      <c r="A28" s="46">
        <v>46075</v>
      </c>
      <c r="B28" s="47">
        <v>19075000</v>
      </c>
      <c r="C28" s="47">
        <v>4300000</v>
      </c>
      <c r="D28" s="51">
        <f t="shared" si="3"/>
        <v>23375000</v>
      </c>
      <c r="E28" s="53">
        <v>5110000</v>
      </c>
      <c r="F28" s="47">
        <f t="shared" si="1"/>
        <v>18265000</v>
      </c>
      <c r="G28" s="55">
        <f t="shared" si="0"/>
        <v>-810000</v>
      </c>
      <c r="H28" s="14"/>
      <c r="I28" s="29"/>
      <c r="J28" s="25">
        <v>46079</v>
      </c>
      <c r="K28" s="28" t="s">
        <v>37</v>
      </c>
      <c r="L28" s="16">
        <v>10200000</v>
      </c>
      <c r="M28" s="1"/>
    </row>
    <row r="29" spans="1:13">
      <c r="A29" s="12">
        <v>46076</v>
      </c>
      <c r="B29" s="13">
        <v>4625000</v>
      </c>
      <c r="C29" s="13"/>
      <c r="D29" s="51">
        <f t="shared" si="3"/>
        <v>4625000</v>
      </c>
      <c r="E29" s="53">
        <v>945000</v>
      </c>
      <c r="F29" s="13">
        <f t="shared" si="1"/>
        <v>3680000</v>
      </c>
      <c r="G29" s="55">
        <f t="shared" si="0"/>
        <v>-945000</v>
      </c>
      <c r="H29" s="14"/>
      <c r="I29" s="27"/>
      <c r="J29" s="25">
        <v>46079</v>
      </c>
      <c r="K29" s="28" t="s">
        <v>74</v>
      </c>
      <c r="L29" s="16">
        <v>1310000</v>
      </c>
      <c r="M29" s="1"/>
    </row>
    <row r="30" spans="1:13">
      <c r="A30" s="46">
        <v>46077</v>
      </c>
      <c r="B30" s="47">
        <v>7750000</v>
      </c>
      <c r="C30" s="47">
        <v>4000000</v>
      </c>
      <c r="D30" s="51">
        <v>11750000</v>
      </c>
      <c r="E30" s="53">
        <v>1990000</v>
      </c>
      <c r="F30" s="47">
        <v>9750000</v>
      </c>
      <c r="G30" s="55">
        <f t="shared" si="0"/>
        <v>2010000</v>
      </c>
      <c r="H30" s="31"/>
      <c r="I30" s="27"/>
      <c r="J30" s="25">
        <v>46080</v>
      </c>
      <c r="K30" s="28" t="s">
        <v>74</v>
      </c>
      <c r="L30" s="16">
        <v>8425000</v>
      </c>
      <c r="M30" s="1"/>
    </row>
    <row r="31" spans="1:13">
      <c r="A31" s="12">
        <v>46078</v>
      </c>
      <c r="B31" s="13">
        <v>30200000</v>
      </c>
      <c r="C31" s="13">
        <v>4650000</v>
      </c>
      <c r="D31" s="51">
        <v>34850000</v>
      </c>
      <c r="E31" s="53">
        <v>3722000</v>
      </c>
      <c r="F31" s="13">
        <f t="shared" si="1"/>
        <v>31128000</v>
      </c>
      <c r="G31" s="55">
        <f t="shared" si="0"/>
        <v>928000</v>
      </c>
      <c r="H31" s="14"/>
      <c r="I31" s="27"/>
      <c r="J31" s="25">
        <v>46080</v>
      </c>
      <c r="K31" s="28" t="s">
        <v>74</v>
      </c>
      <c r="L31" s="16">
        <v>1150000</v>
      </c>
      <c r="M31" s="1"/>
    </row>
    <row r="32" spans="1:13">
      <c r="A32" s="12">
        <v>46079</v>
      </c>
      <c r="B32" s="13">
        <v>32500000</v>
      </c>
      <c r="C32" s="13">
        <v>2000000</v>
      </c>
      <c r="D32" s="51">
        <f t="shared" si="3"/>
        <v>34500000</v>
      </c>
      <c r="E32" s="53">
        <v>3105000</v>
      </c>
      <c r="F32" s="13">
        <f t="shared" si="1"/>
        <v>31395000</v>
      </c>
      <c r="G32" s="55">
        <f t="shared" si="0"/>
        <v>-1105000</v>
      </c>
      <c r="H32" s="14"/>
      <c r="I32" s="27"/>
      <c r="J32" s="25">
        <v>46081</v>
      </c>
      <c r="K32" s="28" t="s">
        <v>74</v>
      </c>
      <c r="L32" s="16">
        <v>2650000</v>
      </c>
      <c r="M32" s="1"/>
    </row>
    <row r="33" spans="1:13">
      <c r="A33" s="12">
        <v>46080</v>
      </c>
      <c r="B33" s="13">
        <v>23500000</v>
      </c>
      <c r="C33" s="13"/>
      <c r="D33" s="51">
        <f t="shared" si="3"/>
        <v>23500000</v>
      </c>
      <c r="E33" s="53">
        <v>3439000</v>
      </c>
      <c r="F33" s="13">
        <f t="shared" si="1"/>
        <v>20061000</v>
      </c>
      <c r="G33" s="55">
        <f t="shared" si="0"/>
        <v>-3439000</v>
      </c>
      <c r="H33" s="14"/>
      <c r="I33" s="27"/>
      <c r="J33" s="25">
        <v>46081</v>
      </c>
      <c r="K33" s="28" t="s">
        <v>76</v>
      </c>
      <c r="L33" s="16">
        <v>650000</v>
      </c>
      <c r="M33" s="1"/>
    </row>
    <row r="34" spans="1:13">
      <c r="A34" s="12">
        <v>46081</v>
      </c>
      <c r="B34" s="13">
        <v>15350000</v>
      </c>
      <c r="C34" s="13">
        <v>3150000</v>
      </c>
      <c r="D34" s="51">
        <f t="shared" si="3"/>
        <v>18500000</v>
      </c>
      <c r="E34" s="53">
        <v>2001000</v>
      </c>
      <c r="F34" s="13">
        <f t="shared" si="1"/>
        <v>16499000</v>
      </c>
      <c r="G34" s="55">
        <f t="shared" si="0"/>
        <v>1149000</v>
      </c>
      <c r="H34" s="14"/>
      <c r="I34" s="27"/>
      <c r="J34" s="25">
        <v>46081</v>
      </c>
      <c r="K34" s="28" t="s">
        <v>77</v>
      </c>
      <c r="L34" s="16">
        <v>1300000</v>
      </c>
      <c r="M34" s="1"/>
    </row>
    <row r="35" spans="1:13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>
        <v>46081</v>
      </c>
      <c r="K35" s="28" t="s">
        <v>30</v>
      </c>
      <c r="L35" s="16">
        <v>1250000</v>
      </c>
      <c r="M35" s="1"/>
    </row>
    <row r="36" spans="1:13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>
        <v>46081</v>
      </c>
      <c r="K36" s="28" t="s">
        <v>78</v>
      </c>
      <c r="L36" s="16">
        <v>30000000</v>
      </c>
      <c r="M36" s="1"/>
    </row>
    <row r="37" spans="1:13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  <c r="M37" s="1"/>
    </row>
    <row r="38" spans="1:13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  <c r="M38" s="1"/>
    </row>
    <row r="39" spans="1:13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</row>
    <row r="40" spans="1:13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</row>
    <row r="41" spans="1:13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154712000</v>
      </c>
      <c r="M41" s="1"/>
    </row>
    <row r="42" spans="1:13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</row>
    <row r="43" spans="1:13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v>237380000</v>
      </c>
      <c r="M43" s="1"/>
    </row>
    <row r="44" spans="1:13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v>50227500</v>
      </c>
      <c r="M44" s="1"/>
    </row>
    <row r="45" spans="1:13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154712000</v>
      </c>
      <c r="M45" s="1"/>
    </row>
    <row r="46" spans="1:13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204939500</v>
      </c>
      <c r="M46" s="1"/>
    </row>
    <row r="47" spans="1:13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</row>
    <row r="48" spans="1:13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57</v>
      </c>
      <c r="K48" s="114"/>
      <c r="L48" s="41">
        <f>L43-L46</f>
        <v>32440500</v>
      </c>
      <c r="M48" s="1"/>
    </row>
    <row r="49" spans="1:13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</row>
    <row r="50" spans="1:13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</row>
    <row r="51" spans="1:13">
      <c r="A51" s="12"/>
      <c r="B51" s="42">
        <f t="shared" ref="B51:G51" si="5">SUM(B7:B50)</f>
        <v>182300000</v>
      </c>
      <c r="C51" s="42">
        <f t="shared" si="5"/>
        <v>54180000</v>
      </c>
      <c r="D51" s="52">
        <f t="shared" si="5"/>
        <v>237380000</v>
      </c>
      <c r="E51" s="54">
        <f t="shared" si="5"/>
        <v>50227500</v>
      </c>
      <c r="F51" s="50">
        <f t="shared" si="5"/>
        <v>187142500</v>
      </c>
      <c r="G51" s="56">
        <f t="shared" si="5"/>
        <v>3952500</v>
      </c>
      <c r="H51" s="27"/>
      <c r="I51" s="2"/>
      <c r="J51" s="2"/>
      <c r="K51" s="2"/>
      <c r="L51" s="2"/>
      <c r="M51" s="1"/>
    </row>
    <row r="52" spans="1:13">
      <c r="A52" s="2"/>
      <c r="B52" s="2"/>
      <c r="C52" s="2"/>
      <c r="D52" s="62"/>
      <c r="E52" s="2"/>
      <c r="F52" s="2"/>
      <c r="G52" s="2"/>
      <c r="H52" s="27"/>
      <c r="I52" s="2"/>
      <c r="J52" s="1"/>
      <c r="K52" s="1"/>
      <c r="L52" s="1"/>
      <c r="M52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M54"/>
  <sheetViews>
    <sheetView tabSelected="1" topLeftCell="E19" workbookViewId="0">
      <selection activeCell="K53" sqref="K53"/>
    </sheetView>
  </sheetViews>
  <sheetFormatPr defaultRowHeight="15"/>
  <cols>
    <col min="1" max="1" width="11.85546875" customWidth="1"/>
    <col min="2" max="2" width="21.140625" customWidth="1"/>
    <col min="3" max="3" width="19.140625" customWidth="1"/>
    <col min="4" max="4" width="19.28515625" customWidth="1"/>
    <col min="5" max="5" width="21.42578125" bestFit="1" customWidth="1"/>
    <col min="6" max="6" width="19.28515625" customWidth="1"/>
    <col min="7" max="7" width="22.7109375" customWidth="1"/>
    <col min="10" max="10" width="15.85546875" bestFit="1" customWidth="1"/>
    <col min="11" max="11" width="43.42578125" customWidth="1"/>
    <col min="12" max="12" width="23.7109375" customWidth="1"/>
  </cols>
  <sheetData>
    <row r="3" spans="1:13" ht="15" customHeight="1">
      <c r="A3" s="115" t="s">
        <v>18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  <c r="M3" s="1"/>
    </row>
    <row r="4" spans="1:13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  <c r="M4" s="1"/>
    </row>
    <row r="5" spans="1:13" ht="15.75" customHeight="1">
      <c r="A5" s="127" t="s">
        <v>1</v>
      </c>
      <c r="B5" s="129" t="s">
        <v>2</v>
      </c>
      <c r="C5" s="130"/>
      <c r="D5" s="131" t="s">
        <v>3</v>
      </c>
      <c r="E5" s="124" t="s">
        <v>4</v>
      </c>
      <c r="F5" s="131" t="s">
        <v>5</v>
      </c>
      <c r="G5" s="124" t="s">
        <v>6</v>
      </c>
      <c r="H5" s="3"/>
      <c r="I5" s="4"/>
      <c r="J5" s="70" t="s">
        <v>7</v>
      </c>
      <c r="K5" s="71"/>
      <c r="L5" s="72"/>
      <c r="M5" s="1"/>
    </row>
    <row r="6" spans="1:13" ht="18.75">
      <c r="A6" s="128"/>
      <c r="B6" s="66" t="s">
        <v>8</v>
      </c>
      <c r="C6" s="69" t="s">
        <v>9</v>
      </c>
      <c r="D6" s="132"/>
      <c r="E6" s="125"/>
      <c r="F6" s="132"/>
      <c r="G6" s="125"/>
      <c r="H6" s="3"/>
      <c r="I6" s="4"/>
      <c r="J6" s="73" t="s">
        <v>1</v>
      </c>
      <c r="K6" s="74" t="s">
        <v>10</v>
      </c>
      <c r="L6" s="75" t="s">
        <v>11</v>
      </c>
      <c r="M6" s="1"/>
    </row>
    <row r="7" spans="1:13" ht="18.75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76" t="s">
        <v>81</v>
      </c>
      <c r="K7" s="77" t="s">
        <v>82</v>
      </c>
      <c r="L7" s="78">
        <v>870000</v>
      </c>
      <c r="M7" s="1"/>
    </row>
    <row r="8" spans="1:13" ht="18.75">
      <c r="A8" s="12" t="s">
        <v>79</v>
      </c>
      <c r="B8" s="13"/>
      <c r="C8" s="13">
        <v>350000</v>
      </c>
      <c r="D8" s="51">
        <f>B8+C8</f>
        <v>350000</v>
      </c>
      <c r="E8" s="53">
        <v>1058000</v>
      </c>
      <c r="F8" s="13">
        <f t="shared" ref="F8:F38" si="1">D8-E8</f>
        <v>-708000</v>
      </c>
      <c r="G8" s="55">
        <f t="shared" si="0"/>
        <v>-708000</v>
      </c>
      <c r="H8" s="14"/>
      <c r="I8" s="17"/>
      <c r="J8" s="76" t="s">
        <v>81</v>
      </c>
      <c r="K8" s="77" t="s">
        <v>74</v>
      </c>
      <c r="L8" s="78">
        <v>1450000</v>
      </c>
      <c r="M8" s="1"/>
    </row>
    <row r="9" spans="1:13" ht="18.75">
      <c r="A9" s="46" t="s">
        <v>80</v>
      </c>
      <c r="B9" s="47">
        <v>17200000</v>
      </c>
      <c r="C9" s="68">
        <v>1440000</v>
      </c>
      <c r="D9" s="51">
        <f>B9+C9</f>
        <v>18640000</v>
      </c>
      <c r="E9" s="53">
        <v>1395000</v>
      </c>
      <c r="F9" s="47">
        <f t="shared" si="1"/>
        <v>17245000</v>
      </c>
      <c r="G9" s="55">
        <f t="shared" si="0"/>
        <v>45000</v>
      </c>
      <c r="H9" s="14"/>
      <c r="I9" s="7"/>
      <c r="J9" s="79" t="s">
        <v>83</v>
      </c>
      <c r="K9" s="80" t="s">
        <v>84</v>
      </c>
      <c r="L9" s="78">
        <v>11350000</v>
      </c>
      <c r="M9" s="1"/>
    </row>
    <row r="10" spans="1:13" ht="18.75">
      <c r="A10" s="12" t="s">
        <v>81</v>
      </c>
      <c r="B10" s="13">
        <v>11800000</v>
      </c>
      <c r="C10" s="13"/>
      <c r="D10" s="51">
        <f>B10+C10</f>
        <v>11800000</v>
      </c>
      <c r="E10" s="53">
        <v>1410000</v>
      </c>
      <c r="F10" s="47">
        <f t="shared" si="1"/>
        <v>10390000</v>
      </c>
      <c r="G10" s="55">
        <f t="shared" si="0"/>
        <v>-1410000</v>
      </c>
      <c r="H10" s="14"/>
      <c r="I10" s="20"/>
      <c r="J10" s="79" t="s">
        <v>85</v>
      </c>
      <c r="K10" s="81" t="s">
        <v>74</v>
      </c>
      <c r="L10" s="78">
        <v>1450000</v>
      </c>
      <c r="M10" s="1"/>
    </row>
    <row r="11" spans="1:13" ht="18.75">
      <c r="A11" s="12" t="s">
        <v>83</v>
      </c>
      <c r="B11" s="13">
        <v>700000</v>
      </c>
      <c r="C11" s="13">
        <v>6050000</v>
      </c>
      <c r="D11" s="51">
        <f>B11+C11</f>
        <v>6750000</v>
      </c>
      <c r="E11" s="53">
        <v>1670000</v>
      </c>
      <c r="F11" s="47">
        <f t="shared" si="1"/>
        <v>5080000</v>
      </c>
      <c r="G11" s="55">
        <f t="shared" si="0"/>
        <v>4380000</v>
      </c>
      <c r="H11" s="14"/>
      <c r="I11" s="20"/>
      <c r="J11" s="82" t="s">
        <v>85</v>
      </c>
      <c r="K11" s="80" t="s">
        <v>27</v>
      </c>
      <c r="L11" s="78">
        <v>160000</v>
      </c>
      <c r="M11" s="1"/>
    </row>
    <row r="12" spans="1:13" ht="18.75">
      <c r="A12" s="12" t="s">
        <v>85</v>
      </c>
      <c r="B12" s="13">
        <v>9550000</v>
      </c>
      <c r="C12" s="47">
        <v>6700000</v>
      </c>
      <c r="D12" s="51">
        <f>B12+C12</f>
        <v>16250000</v>
      </c>
      <c r="E12" s="53">
        <v>1619000</v>
      </c>
      <c r="F12" s="13">
        <f t="shared" si="1"/>
        <v>14631000</v>
      </c>
      <c r="G12" s="55">
        <f t="shared" si="0"/>
        <v>5081000</v>
      </c>
      <c r="H12" s="14"/>
      <c r="I12" s="7"/>
      <c r="J12" s="82" t="s">
        <v>86</v>
      </c>
      <c r="K12" s="83" t="s">
        <v>87</v>
      </c>
      <c r="L12" s="78">
        <v>250000</v>
      </c>
      <c r="M12" s="1"/>
    </row>
    <row r="13" spans="1:13" ht="18.75">
      <c r="A13" s="12" t="s">
        <v>88</v>
      </c>
      <c r="B13" s="13">
        <v>11550000</v>
      </c>
      <c r="C13" s="67">
        <v>2300000</v>
      </c>
      <c r="D13" s="51">
        <f t="shared" ref="D13:D19" si="2">B13+C13</f>
        <v>13850000</v>
      </c>
      <c r="E13" s="53">
        <v>1800000</v>
      </c>
      <c r="F13" s="13">
        <f t="shared" si="1"/>
        <v>12050000</v>
      </c>
      <c r="G13" s="55">
        <f t="shared" si="0"/>
        <v>500000</v>
      </c>
      <c r="H13" s="14"/>
      <c r="I13" s="7"/>
      <c r="J13" s="82" t="s">
        <v>86</v>
      </c>
      <c r="K13" s="84" t="s">
        <v>113</v>
      </c>
      <c r="L13" s="78">
        <v>500000</v>
      </c>
      <c r="M13" s="1"/>
    </row>
    <row r="14" spans="1:13" ht="18.75">
      <c r="A14" s="107" t="s">
        <v>89</v>
      </c>
      <c r="B14" s="108"/>
      <c r="C14" s="108"/>
      <c r="D14" s="108">
        <f t="shared" si="2"/>
        <v>0</v>
      </c>
      <c r="E14" s="108"/>
      <c r="F14" s="108">
        <f t="shared" si="1"/>
        <v>0</v>
      </c>
      <c r="G14" s="108">
        <f t="shared" si="0"/>
        <v>0</v>
      </c>
      <c r="H14" s="49"/>
      <c r="I14" s="7"/>
      <c r="J14" s="82" t="s">
        <v>86</v>
      </c>
      <c r="K14" s="84" t="s">
        <v>114</v>
      </c>
      <c r="L14" s="78">
        <v>625000</v>
      </c>
      <c r="M14" s="1"/>
    </row>
    <row r="15" spans="1:13" ht="18.75">
      <c r="A15" s="12" t="s">
        <v>90</v>
      </c>
      <c r="B15" s="13">
        <v>3750000</v>
      </c>
      <c r="C15" s="13"/>
      <c r="D15" s="51">
        <v>3750000</v>
      </c>
      <c r="E15" s="53">
        <v>1320000</v>
      </c>
      <c r="F15" s="13">
        <f t="shared" si="1"/>
        <v>2430000</v>
      </c>
      <c r="G15" s="55">
        <f t="shared" si="0"/>
        <v>-1320000</v>
      </c>
      <c r="H15" s="22"/>
      <c r="I15" s="20"/>
      <c r="J15" s="85" t="s">
        <v>93</v>
      </c>
      <c r="K15" s="86" t="s">
        <v>24</v>
      </c>
      <c r="L15" s="87">
        <v>2000000</v>
      </c>
      <c r="M15" s="1"/>
    </row>
    <row r="16" spans="1:13" ht="18.75">
      <c r="A16" s="46" t="s">
        <v>91</v>
      </c>
      <c r="B16" s="47">
        <v>150000</v>
      </c>
      <c r="C16" s="47">
        <v>200000</v>
      </c>
      <c r="D16" s="51">
        <f t="shared" si="2"/>
        <v>350000</v>
      </c>
      <c r="E16" s="53">
        <v>1143000</v>
      </c>
      <c r="F16" s="47">
        <f t="shared" si="1"/>
        <v>-793000</v>
      </c>
      <c r="G16" s="55">
        <f t="shared" si="0"/>
        <v>-943000</v>
      </c>
      <c r="H16" s="22"/>
      <c r="I16" s="24"/>
      <c r="J16" s="82" t="s">
        <v>95</v>
      </c>
      <c r="K16" s="84" t="s">
        <v>115</v>
      </c>
      <c r="L16" s="78">
        <v>550000</v>
      </c>
      <c r="M16" s="1"/>
    </row>
    <row r="17" spans="1:13" ht="18.75">
      <c r="A17" s="12" t="s">
        <v>92</v>
      </c>
      <c r="B17" s="13">
        <v>10975000</v>
      </c>
      <c r="C17" s="13"/>
      <c r="D17" s="51">
        <f t="shared" si="2"/>
        <v>10975000</v>
      </c>
      <c r="E17" s="53">
        <v>1600000</v>
      </c>
      <c r="F17" s="13">
        <f t="shared" si="1"/>
        <v>9375000</v>
      </c>
      <c r="G17" s="55">
        <f t="shared" si="0"/>
        <v>-1600000</v>
      </c>
      <c r="H17" s="22"/>
      <c r="I17" s="24"/>
      <c r="J17" s="82" t="s">
        <v>95</v>
      </c>
      <c r="K17" s="88" t="s">
        <v>74</v>
      </c>
      <c r="L17" s="78">
        <v>1450000</v>
      </c>
      <c r="M17" s="1"/>
    </row>
    <row r="18" spans="1:13" ht="18.75">
      <c r="A18" s="12" t="s">
        <v>93</v>
      </c>
      <c r="B18" s="13">
        <v>8950000</v>
      </c>
      <c r="C18" s="13">
        <v>5250000</v>
      </c>
      <c r="D18" s="51">
        <f t="shared" si="2"/>
        <v>14200000</v>
      </c>
      <c r="E18" s="53">
        <v>1740000</v>
      </c>
      <c r="F18" s="13">
        <f t="shared" si="1"/>
        <v>12460000</v>
      </c>
      <c r="G18" s="55">
        <f t="shared" si="0"/>
        <v>3510000</v>
      </c>
      <c r="H18" s="22"/>
      <c r="I18" s="27"/>
      <c r="J18" s="85" t="s">
        <v>97</v>
      </c>
      <c r="K18" s="89" t="s">
        <v>31</v>
      </c>
      <c r="L18" s="78">
        <v>1000000</v>
      </c>
      <c r="M18" s="1"/>
    </row>
    <row r="19" spans="1:13" ht="18.75">
      <c r="A19" s="12" t="s">
        <v>94</v>
      </c>
      <c r="B19" s="13">
        <v>3700000</v>
      </c>
      <c r="C19" s="13">
        <v>750000</v>
      </c>
      <c r="D19" s="51">
        <f t="shared" si="2"/>
        <v>4450000</v>
      </c>
      <c r="E19" s="53">
        <v>1295000</v>
      </c>
      <c r="F19" s="13">
        <f t="shared" si="1"/>
        <v>3155000</v>
      </c>
      <c r="G19" s="55">
        <f t="shared" si="0"/>
        <v>-545000</v>
      </c>
      <c r="H19" s="22"/>
      <c r="I19" s="27"/>
      <c r="J19" s="90"/>
      <c r="K19" s="88"/>
      <c r="L19" s="78"/>
      <c r="M19" s="1"/>
    </row>
    <row r="20" spans="1:13" ht="18.75">
      <c r="A20" s="12" t="s">
        <v>95</v>
      </c>
      <c r="B20" s="13">
        <v>12820000</v>
      </c>
      <c r="C20" s="13">
        <v>4450000</v>
      </c>
      <c r="D20" s="51">
        <f>B20+C20</f>
        <v>17270000</v>
      </c>
      <c r="E20" s="53">
        <v>2235000</v>
      </c>
      <c r="F20" s="13">
        <f t="shared" si="1"/>
        <v>15035000</v>
      </c>
      <c r="G20" s="55">
        <f t="shared" si="0"/>
        <v>2215000</v>
      </c>
      <c r="H20" s="22"/>
      <c r="I20" s="29"/>
      <c r="J20" s="85"/>
      <c r="K20" s="89"/>
      <c r="L20" s="78"/>
      <c r="M20" s="1"/>
    </row>
    <row r="21" spans="1:13" ht="18.75">
      <c r="A21" s="107" t="s">
        <v>96</v>
      </c>
      <c r="B21" s="111"/>
      <c r="C21" s="111"/>
      <c r="D21" s="111">
        <f>B21+C21</f>
        <v>0</v>
      </c>
      <c r="E21" s="111"/>
      <c r="F21" s="111">
        <f t="shared" si="1"/>
        <v>0</v>
      </c>
      <c r="G21" s="111">
        <f t="shared" si="0"/>
        <v>0</v>
      </c>
      <c r="H21" s="48"/>
      <c r="I21" s="27"/>
      <c r="J21" s="85"/>
      <c r="K21" s="89"/>
      <c r="L21" s="78"/>
      <c r="M21" s="1"/>
    </row>
    <row r="22" spans="1:13" ht="18.75">
      <c r="A22" s="46" t="s">
        <v>97</v>
      </c>
      <c r="B22" s="47">
        <v>4625000</v>
      </c>
      <c r="C22" s="47">
        <v>5900000</v>
      </c>
      <c r="D22" s="51">
        <f t="shared" ref="D22:D36" si="3">B22+C22</f>
        <v>10525000</v>
      </c>
      <c r="E22" s="53">
        <v>1485000</v>
      </c>
      <c r="F22" s="47">
        <f t="shared" si="1"/>
        <v>9040000</v>
      </c>
      <c r="G22" s="55">
        <f t="shared" si="0"/>
        <v>4415000</v>
      </c>
      <c r="H22" s="48"/>
      <c r="I22" s="27"/>
      <c r="J22" s="85"/>
      <c r="K22" s="89"/>
      <c r="L22" s="78"/>
      <c r="M22" s="1"/>
    </row>
    <row r="23" spans="1:13" ht="18.75">
      <c r="A23" s="46" t="s">
        <v>98</v>
      </c>
      <c r="B23" s="47">
        <v>10220000</v>
      </c>
      <c r="C23" s="47">
        <v>2000000</v>
      </c>
      <c r="D23" s="51">
        <f t="shared" si="3"/>
        <v>12220000</v>
      </c>
      <c r="E23" s="53">
        <v>1181000</v>
      </c>
      <c r="F23" s="47">
        <f t="shared" si="1"/>
        <v>11039000</v>
      </c>
      <c r="G23" s="55">
        <f t="shared" si="0"/>
        <v>819000</v>
      </c>
      <c r="H23" s="48"/>
      <c r="I23" s="27"/>
      <c r="J23" s="85"/>
      <c r="K23" s="89"/>
      <c r="L23" s="78"/>
      <c r="M23" s="1"/>
    </row>
    <row r="24" spans="1:13" ht="18.75">
      <c r="A24" s="46" t="s">
        <v>99</v>
      </c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85"/>
      <c r="K24" s="89"/>
      <c r="L24" s="78"/>
      <c r="M24" s="1"/>
    </row>
    <row r="25" spans="1:13" ht="18.75">
      <c r="A25" s="46" t="s">
        <v>100</v>
      </c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85"/>
      <c r="K25" s="89"/>
      <c r="L25" s="78"/>
      <c r="M25" s="1"/>
    </row>
    <row r="26" spans="1:13" ht="18.75">
      <c r="A26" s="46" t="s">
        <v>101</v>
      </c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85"/>
      <c r="K26" s="89"/>
      <c r="L26" s="78"/>
      <c r="M26" s="1"/>
    </row>
    <row r="27" spans="1:13" ht="18.75">
      <c r="A27" s="12" t="s">
        <v>102</v>
      </c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85"/>
      <c r="K27" s="89"/>
      <c r="L27" s="78"/>
      <c r="M27" s="1"/>
    </row>
    <row r="28" spans="1:13" ht="18.75">
      <c r="A28" s="12" t="s">
        <v>103</v>
      </c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85"/>
      <c r="K28" s="89"/>
      <c r="L28" s="78"/>
      <c r="M28" s="1"/>
    </row>
    <row r="29" spans="1:13" ht="18.75">
      <c r="A29" s="12" t="s">
        <v>104</v>
      </c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85"/>
      <c r="K29" s="89"/>
      <c r="L29" s="78"/>
      <c r="M29" s="1"/>
    </row>
    <row r="30" spans="1:13" ht="18.75">
      <c r="A30" s="46" t="s">
        <v>105</v>
      </c>
      <c r="B30" s="47"/>
      <c r="C30" s="47"/>
      <c r="D30" s="51"/>
      <c r="E30" s="53"/>
      <c r="F30" s="47"/>
      <c r="G30" s="55">
        <f t="shared" si="0"/>
        <v>0</v>
      </c>
      <c r="H30" s="31"/>
      <c r="I30" s="27"/>
      <c r="J30" s="85"/>
      <c r="K30" s="89"/>
      <c r="L30" s="78"/>
      <c r="M30" s="1"/>
    </row>
    <row r="31" spans="1:13" ht="18.75">
      <c r="A31" s="12" t="s">
        <v>106</v>
      </c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85"/>
      <c r="K31" s="89"/>
      <c r="L31" s="78"/>
      <c r="M31" s="1"/>
    </row>
    <row r="32" spans="1:13" ht="18.75">
      <c r="A32" s="12" t="s">
        <v>107</v>
      </c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85"/>
      <c r="K32" s="89"/>
      <c r="L32" s="78"/>
      <c r="M32" s="1"/>
    </row>
    <row r="33" spans="1:13" ht="18.75">
      <c r="A33" s="12" t="s">
        <v>108</v>
      </c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85"/>
      <c r="K33" s="89"/>
      <c r="L33" s="78"/>
      <c r="M33" s="1"/>
    </row>
    <row r="34" spans="1:13" ht="18.75">
      <c r="A34" s="12" t="s">
        <v>109</v>
      </c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85"/>
      <c r="K34" s="89"/>
      <c r="L34" s="78"/>
      <c r="M34" s="1"/>
    </row>
    <row r="35" spans="1:13" ht="18.75">
      <c r="A35" s="12" t="s">
        <v>110</v>
      </c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85"/>
      <c r="K35" s="89"/>
      <c r="L35" s="78"/>
      <c r="M35" s="1"/>
    </row>
    <row r="36" spans="1:13" ht="18.75">
      <c r="A36" s="12" t="s">
        <v>111</v>
      </c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85"/>
      <c r="K36" s="89"/>
      <c r="L36" s="78"/>
      <c r="M36" s="1"/>
    </row>
    <row r="37" spans="1:13" ht="18.75">
      <c r="A37" s="12" t="s">
        <v>112</v>
      </c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85"/>
      <c r="K37" s="89"/>
      <c r="L37" s="78"/>
      <c r="M37" s="1"/>
    </row>
    <row r="38" spans="1:13" ht="18.75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85"/>
      <c r="K38" s="89"/>
      <c r="L38" s="78"/>
      <c r="M38" s="1"/>
    </row>
    <row r="39" spans="1:13" ht="18.75">
      <c r="A39" s="12"/>
      <c r="B39" s="13"/>
      <c r="C39" s="13"/>
      <c r="D39" s="51"/>
      <c r="E39" s="53"/>
      <c r="F39" s="13"/>
      <c r="G39" s="55"/>
      <c r="H39" s="14"/>
      <c r="I39" s="27"/>
      <c r="J39" s="85"/>
      <c r="K39" s="89"/>
      <c r="L39" s="78"/>
      <c r="M39" s="1"/>
    </row>
    <row r="40" spans="1:13" ht="18.75">
      <c r="A40" s="46"/>
      <c r="B40" s="47"/>
      <c r="C40" s="47"/>
      <c r="D40" s="51"/>
      <c r="E40" s="53"/>
      <c r="F40" s="47"/>
      <c r="G40" s="55"/>
      <c r="H40" s="48"/>
      <c r="I40" s="27"/>
      <c r="J40" s="85"/>
      <c r="K40" s="89"/>
      <c r="L40" s="78"/>
      <c r="M40" s="1"/>
    </row>
    <row r="41" spans="1:13" ht="18.75">
      <c r="A41" s="12"/>
      <c r="B41" s="13"/>
      <c r="C41" s="13"/>
      <c r="D41" s="51"/>
      <c r="E41" s="53"/>
      <c r="F41" s="13"/>
      <c r="G41" s="55"/>
      <c r="H41" s="14"/>
      <c r="I41" s="27"/>
      <c r="J41" s="91"/>
      <c r="K41" s="88"/>
      <c r="L41" s="92">
        <f>SUM(L7:L40)</f>
        <v>21655000</v>
      </c>
      <c r="M41" s="1"/>
    </row>
    <row r="42" spans="1:13" ht="18.75">
      <c r="A42" s="12"/>
      <c r="B42" s="13"/>
      <c r="C42" s="13"/>
      <c r="D42" s="51"/>
      <c r="E42" s="53"/>
      <c r="F42" s="13"/>
      <c r="G42" s="55"/>
      <c r="H42" s="14"/>
      <c r="I42" s="27"/>
      <c r="J42" s="93"/>
      <c r="K42" s="94"/>
      <c r="L42" s="94"/>
      <c r="M42" s="1"/>
    </row>
    <row r="43" spans="1:13" ht="18.75">
      <c r="A43" s="12"/>
      <c r="B43" s="13"/>
      <c r="C43" s="13"/>
      <c r="D43" s="51"/>
      <c r="E43" s="53"/>
      <c r="F43" s="13"/>
      <c r="G43" s="55"/>
      <c r="H43" s="14"/>
      <c r="I43" s="27"/>
      <c r="J43" s="95" t="s">
        <v>12</v>
      </c>
      <c r="K43" s="96" t="s">
        <v>13</v>
      </c>
      <c r="L43" s="97">
        <f>B51+C51</f>
        <v>141380000</v>
      </c>
      <c r="M43" s="1"/>
    </row>
    <row r="44" spans="1:13" ht="18.75">
      <c r="A44" s="12"/>
      <c r="B44" s="13"/>
      <c r="C44" s="13"/>
      <c r="D44" s="51"/>
      <c r="E44" s="53"/>
      <c r="F44" s="13"/>
      <c r="G44" s="55"/>
      <c r="H44" s="14"/>
      <c r="I44" s="27"/>
      <c r="J44" s="98"/>
      <c r="K44" s="99" t="s">
        <v>14</v>
      </c>
      <c r="L44" s="100">
        <f>E51</f>
        <v>20951000</v>
      </c>
      <c r="M44" s="1"/>
    </row>
    <row r="45" spans="1:13" ht="18.75">
      <c r="A45" s="12"/>
      <c r="B45" s="13"/>
      <c r="C45" s="13"/>
      <c r="D45" s="51"/>
      <c r="E45" s="53"/>
      <c r="F45" s="13"/>
      <c r="G45" s="55"/>
      <c r="H45" s="14"/>
      <c r="I45" s="36"/>
      <c r="J45" s="98"/>
      <c r="K45" s="99" t="s">
        <v>15</v>
      </c>
      <c r="L45" s="100">
        <f>L41</f>
        <v>21655000</v>
      </c>
      <c r="M45" s="1"/>
    </row>
    <row r="46" spans="1:13" ht="18.75">
      <c r="A46" s="12"/>
      <c r="B46" s="13"/>
      <c r="C46" s="13"/>
      <c r="D46" s="51"/>
      <c r="E46" s="53"/>
      <c r="F46" s="13"/>
      <c r="G46" s="55"/>
      <c r="H46" s="14"/>
      <c r="I46" s="27"/>
      <c r="J46" s="98"/>
      <c r="K46" s="99" t="s">
        <v>16</v>
      </c>
      <c r="L46" s="101">
        <f>L44+L45</f>
        <v>42606000</v>
      </c>
      <c r="M46" s="1"/>
    </row>
    <row r="47" spans="1:13" ht="18.75">
      <c r="A47" s="46"/>
      <c r="B47" s="47"/>
      <c r="C47" s="47"/>
      <c r="D47" s="51"/>
      <c r="E47" s="53"/>
      <c r="F47" s="47"/>
      <c r="G47" s="55"/>
      <c r="H47" s="48"/>
      <c r="I47" s="27"/>
      <c r="J47" s="98"/>
      <c r="K47" s="102"/>
      <c r="L47" s="103"/>
      <c r="M47" s="1"/>
    </row>
    <row r="48" spans="1:13" ht="21">
      <c r="A48" s="12"/>
      <c r="B48" s="13"/>
      <c r="C48" s="13"/>
      <c r="D48" s="51"/>
      <c r="E48" s="53"/>
      <c r="F48" s="13"/>
      <c r="G48" s="55"/>
      <c r="H48" s="14"/>
      <c r="I48" s="27"/>
      <c r="J48" s="126" t="s">
        <v>59</v>
      </c>
      <c r="K48" s="126"/>
      <c r="L48" s="104">
        <f>L43-L46</f>
        <v>98774000</v>
      </c>
      <c r="M48" s="1"/>
    </row>
    <row r="49" spans="1:13" ht="18.75">
      <c r="A49" s="12"/>
      <c r="B49" s="13"/>
      <c r="C49" s="13"/>
      <c r="D49" s="51"/>
      <c r="E49" s="53"/>
      <c r="F49" s="13"/>
      <c r="G49" s="55"/>
      <c r="H49" s="14"/>
      <c r="I49" s="27"/>
      <c r="J49" s="105"/>
      <c r="K49" s="105"/>
      <c r="L49" s="94"/>
      <c r="M49" s="1"/>
    </row>
    <row r="50" spans="1:13" ht="18.75">
      <c r="A50" s="12"/>
      <c r="B50" s="13"/>
      <c r="C50" s="13"/>
      <c r="D50" s="51"/>
      <c r="E50" s="53"/>
      <c r="F50" s="13"/>
      <c r="G50" s="55"/>
      <c r="H50" s="14"/>
      <c r="I50" s="2"/>
      <c r="J50" s="94"/>
      <c r="K50" s="94"/>
      <c r="L50" s="94"/>
      <c r="M50" s="1"/>
    </row>
    <row r="51" spans="1:13" ht="18.75">
      <c r="A51" s="12"/>
      <c r="B51" s="42">
        <f t="shared" ref="B51:G51" si="5">SUM(B7:B50)</f>
        <v>105990000</v>
      </c>
      <c r="C51" s="42">
        <f t="shared" si="5"/>
        <v>35390000</v>
      </c>
      <c r="D51" s="52">
        <f t="shared" si="5"/>
        <v>141380000</v>
      </c>
      <c r="E51" s="54">
        <f t="shared" si="5"/>
        <v>20951000</v>
      </c>
      <c r="F51" s="50">
        <f t="shared" si="5"/>
        <v>120429000</v>
      </c>
      <c r="G51" s="56">
        <f t="shared" si="5"/>
        <v>14439000</v>
      </c>
      <c r="H51" s="27"/>
      <c r="I51" s="2"/>
      <c r="J51" s="94"/>
      <c r="K51" s="94"/>
      <c r="L51" s="94"/>
      <c r="M51" s="1"/>
    </row>
    <row r="52" spans="1:13" ht="18.75">
      <c r="A52" s="2"/>
      <c r="B52" s="2"/>
      <c r="C52" s="2"/>
      <c r="D52" s="62"/>
      <c r="E52" s="2"/>
      <c r="F52" s="2"/>
      <c r="G52" s="2"/>
      <c r="H52" s="27"/>
      <c r="I52" s="2"/>
      <c r="J52" s="106"/>
      <c r="K52" s="106"/>
      <c r="L52" s="106"/>
      <c r="M52" s="1"/>
    </row>
    <row r="53" spans="1:13" ht="18.75">
      <c r="J53" s="106"/>
      <c r="K53" s="106"/>
      <c r="L53" s="106"/>
    </row>
    <row r="54" spans="1:13" ht="18.75">
      <c r="J54" s="106"/>
      <c r="K54" s="106"/>
      <c r="L54" s="106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3:M52"/>
  <sheetViews>
    <sheetView topLeftCell="A31" workbookViewId="0">
      <selection activeCell="G52" sqref="G52"/>
    </sheetView>
  </sheetViews>
  <sheetFormatPr defaultRowHeight="15"/>
  <cols>
    <col min="2" max="2" width="17.7109375" customWidth="1"/>
    <col min="3" max="3" width="16.28515625" customWidth="1"/>
    <col min="4" max="4" width="15.42578125" customWidth="1"/>
    <col min="5" max="5" width="14.42578125" customWidth="1"/>
    <col min="6" max="6" width="19" customWidth="1"/>
    <col min="7" max="7" width="16.5703125" customWidth="1"/>
    <col min="11" max="11" width="29.42578125" customWidth="1"/>
    <col min="12" max="12" width="15" customWidth="1"/>
  </cols>
  <sheetData>
    <row r="3" spans="1:13" ht="15" customHeight="1">
      <c r="A3" s="115" t="s">
        <v>19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  <c r="M3" s="1"/>
    </row>
    <row r="4" spans="1:13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  <c r="M4" s="1"/>
    </row>
    <row r="5" spans="1:13" ht="15.75" customHeight="1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  <c r="M5" s="1"/>
    </row>
    <row r="6" spans="1:13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  <c r="M6" s="1"/>
    </row>
    <row r="7" spans="1:13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  <c r="M7" s="1"/>
    </row>
    <row r="8" spans="1:13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  <c r="M8" s="1"/>
    </row>
    <row r="9" spans="1:13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  <c r="M9" s="1"/>
    </row>
    <row r="10" spans="1:13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  <c r="M10" s="1"/>
    </row>
    <row r="11" spans="1:13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  <c r="M11" s="1"/>
    </row>
    <row r="12" spans="1:13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  <c r="M12" s="1"/>
    </row>
    <row r="13" spans="1:13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  <c r="M13" s="1"/>
    </row>
    <row r="14" spans="1:13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  <c r="M14" s="1"/>
    </row>
    <row r="15" spans="1:13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  <c r="M15" s="1"/>
    </row>
    <row r="16" spans="1:13">
      <c r="A16" s="46"/>
      <c r="B16" s="47"/>
      <c r="C16" s="47"/>
      <c r="D16" s="51">
        <f t="shared" si="2"/>
        <v>0</v>
      </c>
      <c r="E16" s="53"/>
      <c r="F16" s="47">
        <f t="shared" si="1"/>
        <v>0</v>
      </c>
      <c r="G16" s="55">
        <f t="shared" si="0"/>
        <v>0</v>
      </c>
      <c r="H16" s="22"/>
      <c r="I16" s="24"/>
      <c r="J16" s="12"/>
      <c r="K16" s="23"/>
      <c r="L16" s="16"/>
      <c r="M16" s="1"/>
    </row>
    <row r="17" spans="1:13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  <c r="M17" s="1"/>
    </row>
    <row r="18" spans="1:13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  <c r="M18" s="1"/>
    </row>
    <row r="19" spans="1:13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  <c r="M19" s="1"/>
    </row>
    <row r="20" spans="1:13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  <c r="M20" s="1"/>
    </row>
    <row r="21" spans="1:13">
      <c r="A21" s="46"/>
      <c r="B21" s="47"/>
      <c r="C21" s="47"/>
      <c r="D21" s="51">
        <f>B21+C21</f>
        <v>0</v>
      </c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  <c r="M21" s="1"/>
    </row>
    <row r="22" spans="1:13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  <c r="M22" s="1"/>
    </row>
    <row r="23" spans="1:13">
      <c r="A23" s="46"/>
      <c r="B23" s="47"/>
      <c r="C23" s="47"/>
      <c r="D23" s="51">
        <f t="shared" si="3"/>
        <v>0</v>
      </c>
      <c r="E23" s="53"/>
      <c r="F23" s="47">
        <f t="shared" si="1"/>
        <v>0</v>
      </c>
      <c r="G23" s="55">
        <f t="shared" si="0"/>
        <v>0</v>
      </c>
      <c r="H23" s="48"/>
      <c r="I23" s="27"/>
      <c r="J23" s="25"/>
      <c r="K23" s="28"/>
      <c r="L23" s="16"/>
      <c r="M23" s="1"/>
    </row>
    <row r="24" spans="1:13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  <c r="M24" s="1"/>
    </row>
    <row r="25" spans="1:13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  <c r="M25" s="1"/>
    </row>
    <row r="26" spans="1:13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  <c r="M26" s="1"/>
    </row>
    <row r="27" spans="1:13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  <c r="M27" s="1"/>
    </row>
    <row r="28" spans="1:13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  <c r="M28" s="1"/>
    </row>
    <row r="29" spans="1:13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  <c r="M29" s="1"/>
    </row>
    <row r="30" spans="1:13">
      <c r="A30" s="46"/>
      <c r="B30" s="47"/>
      <c r="C30" s="47"/>
      <c r="D30" s="51"/>
      <c r="E30" s="53"/>
      <c r="F30" s="47"/>
      <c r="G30" s="55">
        <f t="shared" si="0"/>
        <v>0</v>
      </c>
      <c r="H30" s="31"/>
      <c r="I30" s="27"/>
      <c r="J30" s="25"/>
      <c r="K30" s="28"/>
      <c r="L30" s="16"/>
      <c r="M30" s="1"/>
    </row>
    <row r="31" spans="1:13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  <c r="M31" s="1"/>
    </row>
    <row r="32" spans="1:13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  <c r="M32" s="1"/>
    </row>
    <row r="33" spans="1:13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  <c r="M33" s="1"/>
    </row>
    <row r="34" spans="1:13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  <c r="M34" s="1"/>
    </row>
    <row r="35" spans="1:13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  <c r="M35" s="1"/>
    </row>
    <row r="36" spans="1:13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  <c r="M36" s="1"/>
    </row>
    <row r="37" spans="1:13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  <c r="M37" s="1"/>
    </row>
    <row r="38" spans="1:13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  <c r="M38" s="1"/>
    </row>
    <row r="39" spans="1:13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</row>
    <row r="40" spans="1:13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</row>
    <row r="41" spans="1:13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  <c r="M41" s="1"/>
    </row>
    <row r="42" spans="1:13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</row>
    <row r="43" spans="1:13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0</v>
      </c>
      <c r="M43" s="1"/>
    </row>
    <row r="44" spans="1:13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0</v>
      </c>
      <c r="M44" s="1"/>
    </row>
    <row r="45" spans="1:13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0</v>
      </c>
      <c r="M45" s="1"/>
    </row>
    <row r="46" spans="1:13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0</v>
      </c>
      <c r="M46" s="1"/>
    </row>
    <row r="47" spans="1:13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</row>
    <row r="48" spans="1:13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60</v>
      </c>
      <c r="K48" s="114"/>
      <c r="L48" s="41">
        <f>L43-L46</f>
        <v>0</v>
      </c>
      <c r="M48" s="1"/>
    </row>
    <row r="49" spans="1:13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</row>
    <row r="50" spans="1:13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</row>
    <row r="51" spans="1:13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  <c r="M51" s="1"/>
    </row>
    <row r="52" spans="1:13">
      <c r="A52" s="2"/>
      <c r="B52" s="2"/>
      <c r="C52" s="2"/>
      <c r="D52" s="62"/>
      <c r="E52" s="2"/>
      <c r="F52" s="2"/>
      <c r="G52" s="2"/>
      <c r="H52" s="27"/>
      <c r="I52" s="2"/>
      <c r="J52" s="1"/>
      <c r="K52" s="1"/>
      <c r="L52" s="1"/>
      <c r="M52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1"/>
  <sheetViews>
    <sheetView topLeftCell="A28" workbookViewId="0">
      <selection activeCell="E47" sqref="E47"/>
    </sheetView>
  </sheetViews>
  <sheetFormatPr defaultRowHeight="15"/>
  <cols>
    <col min="2" max="2" width="22.85546875" customWidth="1"/>
    <col min="3" max="3" width="15.85546875" customWidth="1"/>
    <col min="4" max="4" width="15.42578125" customWidth="1"/>
    <col min="5" max="5" width="18.140625" customWidth="1"/>
    <col min="6" max="6" width="15.7109375" customWidth="1"/>
    <col min="7" max="7" width="15.28515625" customWidth="1"/>
    <col min="11" max="11" width="31" customWidth="1"/>
    <col min="12" max="12" width="18.28515625" customWidth="1"/>
  </cols>
  <sheetData>
    <row r="1" spans="1:12">
      <c r="A1" s="1"/>
    </row>
    <row r="3" spans="1:12">
      <c r="A3" s="115" t="s">
        <v>20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</row>
    <row r="4" spans="1:12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</row>
    <row r="5" spans="1:12" ht="15.75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</row>
    <row r="6" spans="1:12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</row>
    <row r="7" spans="1:12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</row>
    <row r="8" spans="1:12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</row>
    <row r="9" spans="1:12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</row>
    <row r="10" spans="1:12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</row>
    <row r="11" spans="1:12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</row>
    <row r="12" spans="1:12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</row>
    <row r="13" spans="1:12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</row>
    <row r="14" spans="1:12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</row>
    <row r="15" spans="1:12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</row>
    <row r="16" spans="1:12">
      <c r="A16" s="64"/>
      <c r="B16" s="65"/>
      <c r="C16" s="65"/>
      <c r="D16" s="65">
        <f t="shared" si="2"/>
        <v>0</v>
      </c>
      <c r="E16" s="65"/>
      <c r="F16" s="65">
        <f t="shared" si="1"/>
        <v>0</v>
      </c>
      <c r="G16" s="65">
        <f t="shared" si="0"/>
        <v>0</v>
      </c>
      <c r="H16" s="22"/>
      <c r="I16" s="24"/>
      <c r="J16" s="12"/>
      <c r="K16" s="23"/>
      <c r="L16" s="16"/>
    </row>
    <row r="17" spans="1:12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</row>
    <row r="18" spans="1:12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</row>
    <row r="19" spans="1:12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</row>
    <row r="20" spans="1:12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</row>
    <row r="21" spans="1:12">
      <c r="A21" s="46"/>
      <c r="B21" s="47"/>
      <c r="C21" s="47"/>
      <c r="D21" s="51">
        <f>B21+C21</f>
        <v>0</v>
      </c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</row>
    <row r="22" spans="1:12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</row>
    <row r="23" spans="1:12">
      <c r="A23" s="64"/>
      <c r="B23" s="65"/>
      <c r="C23" s="65"/>
      <c r="D23" s="65">
        <f t="shared" si="3"/>
        <v>0</v>
      </c>
      <c r="E23" s="65"/>
      <c r="F23" s="65">
        <f t="shared" si="1"/>
        <v>0</v>
      </c>
      <c r="G23" s="65">
        <f t="shared" si="0"/>
        <v>0</v>
      </c>
      <c r="H23" s="48"/>
      <c r="I23" s="27"/>
      <c r="J23" s="25"/>
      <c r="K23" s="28"/>
      <c r="L23" s="16"/>
    </row>
    <row r="24" spans="1:12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</row>
    <row r="25" spans="1:12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</row>
    <row r="26" spans="1:12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</row>
    <row r="27" spans="1:12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</row>
    <row r="28" spans="1:12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</row>
    <row r="29" spans="1:12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</row>
    <row r="30" spans="1:12">
      <c r="A30" s="64"/>
      <c r="B30" s="65"/>
      <c r="C30" s="65"/>
      <c r="D30" s="65"/>
      <c r="E30" s="65"/>
      <c r="F30" s="65"/>
      <c r="G30" s="65">
        <f t="shared" si="0"/>
        <v>0</v>
      </c>
      <c r="H30" s="31"/>
      <c r="I30" s="27"/>
      <c r="J30" s="25"/>
      <c r="K30" s="28"/>
      <c r="L30" s="16"/>
    </row>
    <row r="31" spans="1:12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</row>
    <row r="32" spans="1:12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</row>
    <row r="33" spans="1:12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</row>
    <row r="34" spans="1:12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</row>
    <row r="35" spans="1:12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</row>
    <row r="36" spans="1:12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</row>
    <row r="42" spans="1:12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0</v>
      </c>
    </row>
    <row r="47" spans="1:12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</row>
    <row r="48" spans="1:12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61</v>
      </c>
      <c r="K48" s="114"/>
      <c r="L48" s="41">
        <f>L43-L46</f>
        <v>0</v>
      </c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L51"/>
  <sheetViews>
    <sheetView workbookViewId="0">
      <selection activeCell="E57" sqref="E57"/>
    </sheetView>
  </sheetViews>
  <sheetFormatPr defaultRowHeight="15"/>
  <cols>
    <col min="2" max="2" width="19.42578125" customWidth="1"/>
    <col min="3" max="3" width="17.42578125" customWidth="1"/>
    <col min="4" max="4" width="17.5703125" customWidth="1"/>
    <col min="5" max="5" width="16.140625" customWidth="1"/>
    <col min="6" max="6" width="15.42578125" customWidth="1"/>
    <col min="7" max="7" width="17.5703125" customWidth="1"/>
    <col min="11" max="11" width="33.140625" customWidth="1"/>
    <col min="12" max="12" width="15.140625" customWidth="1"/>
  </cols>
  <sheetData>
    <row r="3" spans="1:12">
      <c r="A3" s="115" t="s">
        <v>21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</row>
    <row r="4" spans="1:12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</row>
    <row r="5" spans="1:12" ht="15.75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</row>
    <row r="6" spans="1:12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</row>
    <row r="7" spans="1:12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</row>
    <row r="8" spans="1:12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</row>
    <row r="9" spans="1:12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</row>
    <row r="10" spans="1:12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</row>
    <row r="11" spans="1:12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</row>
    <row r="12" spans="1:12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</row>
    <row r="13" spans="1:12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</row>
    <row r="14" spans="1:12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</row>
    <row r="15" spans="1:12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</row>
    <row r="16" spans="1:12">
      <c r="A16" s="64"/>
      <c r="B16" s="65"/>
      <c r="C16" s="65"/>
      <c r="D16" s="65">
        <f t="shared" si="2"/>
        <v>0</v>
      </c>
      <c r="E16" s="65"/>
      <c r="F16" s="65">
        <f t="shared" si="1"/>
        <v>0</v>
      </c>
      <c r="G16" s="65">
        <f t="shared" si="0"/>
        <v>0</v>
      </c>
      <c r="H16" s="22"/>
      <c r="I16" s="24"/>
      <c r="J16" s="12"/>
      <c r="K16" s="23"/>
      <c r="L16" s="16"/>
    </row>
    <row r="17" spans="1:12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</row>
    <row r="18" spans="1:12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</row>
    <row r="19" spans="1:12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</row>
    <row r="20" spans="1:12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</row>
    <row r="21" spans="1:12">
      <c r="A21" s="46"/>
      <c r="B21" s="47"/>
      <c r="C21" s="47"/>
      <c r="D21" s="51">
        <f>B21+C21</f>
        <v>0</v>
      </c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</row>
    <row r="22" spans="1:12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</row>
    <row r="23" spans="1:12">
      <c r="A23" s="64"/>
      <c r="B23" s="65"/>
      <c r="C23" s="65"/>
      <c r="D23" s="65">
        <f t="shared" si="3"/>
        <v>0</v>
      </c>
      <c r="E23" s="65"/>
      <c r="F23" s="65">
        <f t="shared" si="1"/>
        <v>0</v>
      </c>
      <c r="G23" s="65">
        <f t="shared" si="0"/>
        <v>0</v>
      </c>
      <c r="H23" s="48"/>
      <c r="I23" s="27"/>
      <c r="J23" s="25"/>
      <c r="K23" s="28"/>
      <c r="L23" s="16"/>
    </row>
    <row r="24" spans="1:12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</row>
    <row r="25" spans="1:12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</row>
    <row r="26" spans="1:12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</row>
    <row r="27" spans="1:12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</row>
    <row r="28" spans="1:12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</row>
    <row r="29" spans="1:12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</row>
    <row r="30" spans="1:12">
      <c r="A30" s="64"/>
      <c r="B30" s="65"/>
      <c r="C30" s="65"/>
      <c r="D30" s="65"/>
      <c r="E30" s="65"/>
      <c r="F30" s="65"/>
      <c r="G30" s="65">
        <f t="shared" si="0"/>
        <v>0</v>
      </c>
      <c r="H30" s="31"/>
      <c r="I30" s="27"/>
      <c r="J30" s="25"/>
      <c r="K30" s="28"/>
      <c r="L30" s="16"/>
    </row>
    <row r="31" spans="1:12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</row>
    <row r="32" spans="1:12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</row>
    <row r="33" spans="1:12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</row>
    <row r="34" spans="1:12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</row>
    <row r="35" spans="1:12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</row>
    <row r="36" spans="1:12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</row>
    <row r="42" spans="1:12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0</v>
      </c>
    </row>
    <row r="47" spans="1:12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</row>
    <row r="48" spans="1:12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62</v>
      </c>
      <c r="K48" s="114"/>
      <c r="L48" s="41">
        <f>L43-L46</f>
        <v>0</v>
      </c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L51"/>
  <sheetViews>
    <sheetView workbookViewId="0">
      <selection activeCell="F12" sqref="F12"/>
    </sheetView>
  </sheetViews>
  <sheetFormatPr defaultRowHeight="15"/>
  <cols>
    <col min="2" max="2" width="18.42578125" customWidth="1"/>
    <col min="3" max="3" width="17.140625" customWidth="1"/>
    <col min="4" max="4" width="16.7109375" customWidth="1"/>
    <col min="5" max="5" width="16.140625" customWidth="1"/>
    <col min="6" max="6" width="16.7109375" customWidth="1"/>
    <col min="7" max="7" width="16.28515625" customWidth="1"/>
    <col min="10" max="10" width="14.85546875" customWidth="1"/>
    <col min="11" max="11" width="31.5703125" customWidth="1"/>
    <col min="12" max="12" width="14" customWidth="1"/>
  </cols>
  <sheetData>
    <row r="3" spans="1:12">
      <c r="A3" s="115" t="s">
        <v>67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</row>
    <row r="4" spans="1:12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</row>
    <row r="5" spans="1:12" ht="15.75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</row>
    <row r="6" spans="1:12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</row>
    <row r="7" spans="1:12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</row>
    <row r="8" spans="1:12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</row>
    <row r="9" spans="1:12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</row>
    <row r="10" spans="1:12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</row>
    <row r="11" spans="1:12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</row>
    <row r="12" spans="1:12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</row>
    <row r="13" spans="1:12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</row>
    <row r="14" spans="1:12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</row>
    <row r="15" spans="1:12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</row>
    <row r="16" spans="1:12">
      <c r="A16" s="64"/>
      <c r="B16" s="65"/>
      <c r="C16" s="65"/>
      <c r="D16" s="65">
        <f t="shared" si="2"/>
        <v>0</v>
      </c>
      <c r="E16" s="65"/>
      <c r="F16" s="65">
        <f t="shared" si="1"/>
        <v>0</v>
      </c>
      <c r="G16" s="65">
        <f t="shared" si="0"/>
        <v>0</v>
      </c>
      <c r="H16" s="22"/>
      <c r="I16" s="24"/>
      <c r="J16" s="12"/>
      <c r="K16" s="23"/>
      <c r="L16" s="16"/>
    </row>
    <row r="17" spans="1:12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</row>
    <row r="18" spans="1:12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</row>
    <row r="19" spans="1:12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</row>
    <row r="20" spans="1:12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</row>
    <row r="21" spans="1:12">
      <c r="A21" s="46"/>
      <c r="B21" s="47"/>
      <c r="C21" s="47"/>
      <c r="D21" s="51">
        <f>B21+C21</f>
        <v>0</v>
      </c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</row>
    <row r="22" spans="1:12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</row>
    <row r="23" spans="1:12">
      <c r="A23" s="64"/>
      <c r="B23" s="65"/>
      <c r="C23" s="65"/>
      <c r="D23" s="65">
        <f t="shared" si="3"/>
        <v>0</v>
      </c>
      <c r="E23" s="65"/>
      <c r="F23" s="65">
        <f t="shared" si="1"/>
        <v>0</v>
      </c>
      <c r="G23" s="65">
        <f t="shared" si="0"/>
        <v>0</v>
      </c>
      <c r="H23" s="48"/>
      <c r="I23" s="27"/>
      <c r="J23" s="25"/>
      <c r="K23" s="28"/>
      <c r="L23" s="16"/>
    </row>
    <row r="24" spans="1:12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</row>
    <row r="25" spans="1:12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</row>
    <row r="26" spans="1:12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</row>
    <row r="27" spans="1:12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</row>
    <row r="28" spans="1:12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</row>
    <row r="29" spans="1:12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</row>
    <row r="30" spans="1:12">
      <c r="A30" s="64"/>
      <c r="B30" s="65"/>
      <c r="C30" s="65"/>
      <c r="D30" s="65"/>
      <c r="E30" s="65"/>
      <c r="F30" s="65"/>
      <c r="G30" s="65">
        <f t="shared" si="0"/>
        <v>0</v>
      </c>
      <c r="H30" s="31"/>
      <c r="I30" s="27"/>
      <c r="J30" s="25"/>
      <c r="K30" s="28"/>
      <c r="L30" s="16"/>
    </row>
    <row r="31" spans="1:12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</row>
    <row r="32" spans="1:12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</row>
    <row r="33" spans="1:12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</row>
    <row r="34" spans="1:12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</row>
    <row r="35" spans="1:12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</row>
    <row r="36" spans="1:12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</row>
    <row r="42" spans="1:12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0</v>
      </c>
    </row>
    <row r="47" spans="1:12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</row>
    <row r="48" spans="1:12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63</v>
      </c>
      <c r="K48" s="114"/>
      <c r="L48" s="41">
        <f>L43-L46</f>
        <v>0</v>
      </c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L51"/>
  <sheetViews>
    <sheetView topLeftCell="A31" workbookViewId="0">
      <selection activeCell="D15" sqref="D15"/>
    </sheetView>
  </sheetViews>
  <sheetFormatPr defaultRowHeight="15"/>
  <cols>
    <col min="2" max="2" width="16.7109375" customWidth="1"/>
    <col min="3" max="3" width="17.5703125" customWidth="1"/>
    <col min="4" max="4" width="17.7109375" customWidth="1"/>
    <col min="5" max="5" width="17.5703125" customWidth="1"/>
    <col min="6" max="6" width="16.42578125" customWidth="1"/>
    <col min="7" max="7" width="15.7109375" customWidth="1"/>
    <col min="10" max="10" width="11.85546875" customWidth="1"/>
    <col min="11" max="11" width="37.5703125" customWidth="1"/>
    <col min="12" max="12" width="15.140625" customWidth="1"/>
  </cols>
  <sheetData>
    <row r="3" spans="1:12">
      <c r="A3" s="115" t="s">
        <v>66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</row>
    <row r="4" spans="1:12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</row>
    <row r="5" spans="1:12" ht="15.75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</row>
    <row r="6" spans="1:12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</row>
    <row r="7" spans="1:12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</row>
    <row r="8" spans="1:12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</row>
    <row r="9" spans="1:12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</row>
    <row r="10" spans="1:12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</row>
    <row r="11" spans="1:12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</row>
    <row r="12" spans="1:12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</row>
    <row r="13" spans="1:12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</row>
    <row r="14" spans="1:12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</row>
    <row r="15" spans="1:12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</row>
    <row r="16" spans="1:12">
      <c r="A16" s="64"/>
      <c r="B16" s="65"/>
      <c r="C16" s="65"/>
      <c r="D16" s="65">
        <f t="shared" si="2"/>
        <v>0</v>
      </c>
      <c r="E16" s="65"/>
      <c r="F16" s="65">
        <f t="shared" si="1"/>
        <v>0</v>
      </c>
      <c r="G16" s="65">
        <f t="shared" si="0"/>
        <v>0</v>
      </c>
      <c r="H16" s="22"/>
      <c r="I16" s="24"/>
      <c r="J16" s="12"/>
      <c r="K16" s="23"/>
      <c r="L16" s="16"/>
    </row>
    <row r="17" spans="1:12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</row>
    <row r="18" spans="1:12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</row>
    <row r="19" spans="1:12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</row>
    <row r="20" spans="1:12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</row>
    <row r="21" spans="1:12">
      <c r="A21" s="46"/>
      <c r="B21" s="47"/>
      <c r="C21" s="47"/>
      <c r="D21" s="51">
        <f>B21+C21</f>
        <v>0</v>
      </c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</row>
    <row r="22" spans="1:12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</row>
    <row r="23" spans="1:12">
      <c r="A23" s="64"/>
      <c r="B23" s="65"/>
      <c r="C23" s="65"/>
      <c r="D23" s="65">
        <f t="shared" si="3"/>
        <v>0</v>
      </c>
      <c r="E23" s="65"/>
      <c r="F23" s="65">
        <f t="shared" si="1"/>
        <v>0</v>
      </c>
      <c r="G23" s="65">
        <f t="shared" si="0"/>
        <v>0</v>
      </c>
      <c r="H23" s="48"/>
      <c r="I23" s="27"/>
      <c r="J23" s="25"/>
      <c r="K23" s="28"/>
      <c r="L23" s="16"/>
    </row>
    <row r="24" spans="1:12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</row>
    <row r="25" spans="1:12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</row>
    <row r="26" spans="1:12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</row>
    <row r="27" spans="1:12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</row>
    <row r="28" spans="1:12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</row>
    <row r="29" spans="1:12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</row>
    <row r="30" spans="1:12">
      <c r="A30" s="64"/>
      <c r="B30" s="65"/>
      <c r="C30" s="65"/>
      <c r="D30" s="65"/>
      <c r="E30" s="65"/>
      <c r="F30" s="65"/>
      <c r="G30" s="65">
        <f t="shared" si="0"/>
        <v>0</v>
      </c>
      <c r="H30" s="31"/>
      <c r="I30" s="27"/>
      <c r="J30" s="25"/>
      <c r="K30" s="28"/>
      <c r="L30" s="16"/>
    </row>
    <row r="31" spans="1:12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</row>
    <row r="32" spans="1:12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</row>
    <row r="33" spans="1:12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</row>
    <row r="34" spans="1:12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</row>
    <row r="35" spans="1:12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</row>
    <row r="36" spans="1:12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</row>
    <row r="42" spans="1:12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0</v>
      </c>
    </row>
    <row r="47" spans="1:12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</row>
    <row r="48" spans="1:12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64</v>
      </c>
      <c r="K48" s="114"/>
      <c r="L48" s="41">
        <f>L43-L46</f>
        <v>0</v>
      </c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L51"/>
  <sheetViews>
    <sheetView topLeftCell="A19" workbookViewId="0">
      <selection activeCell="F36" sqref="F36"/>
    </sheetView>
  </sheetViews>
  <sheetFormatPr defaultRowHeight="15"/>
  <cols>
    <col min="1" max="1" width="10.28515625" customWidth="1"/>
    <col min="2" max="2" width="17" customWidth="1"/>
    <col min="3" max="3" width="17.85546875" customWidth="1"/>
    <col min="4" max="4" width="16.28515625" customWidth="1"/>
    <col min="5" max="5" width="18.42578125" customWidth="1"/>
    <col min="6" max="7" width="18.140625" customWidth="1"/>
    <col min="10" max="10" width="13.42578125" customWidth="1"/>
    <col min="11" max="11" width="28.85546875" customWidth="1"/>
    <col min="12" max="12" width="14.28515625" customWidth="1"/>
  </cols>
  <sheetData>
    <row r="3" spans="1:12">
      <c r="A3" s="115" t="s">
        <v>65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</row>
    <row r="4" spans="1:12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</row>
    <row r="5" spans="1:12" ht="15.75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</row>
    <row r="6" spans="1:12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</row>
    <row r="7" spans="1:12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</row>
    <row r="8" spans="1:12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</row>
    <row r="9" spans="1:12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</row>
    <row r="10" spans="1:12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</row>
    <row r="11" spans="1:12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</row>
    <row r="12" spans="1:12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</row>
    <row r="13" spans="1:12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</row>
    <row r="14" spans="1:12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</row>
    <row r="15" spans="1:12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</row>
    <row r="16" spans="1:12">
      <c r="A16" s="64"/>
      <c r="B16" s="65"/>
      <c r="C16" s="65"/>
      <c r="D16" s="65">
        <f t="shared" si="2"/>
        <v>0</v>
      </c>
      <c r="E16" s="65"/>
      <c r="F16" s="65">
        <f t="shared" si="1"/>
        <v>0</v>
      </c>
      <c r="G16" s="65">
        <f t="shared" si="0"/>
        <v>0</v>
      </c>
      <c r="H16" s="22"/>
      <c r="I16" s="24"/>
      <c r="J16" s="12"/>
      <c r="K16" s="23"/>
      <c r="L16" s="16"/>
    </row>
    <row r="17" spans="1:12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</row>
    <row r="18" spans="1:12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</row>
    <row r="19" spans="1:12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</row>
    <row r="20" spans="1:12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</row>
    <row r="21" spans="1:12">
      <c r="A21" s="46"/>
      <c r="B21" s="47"/>
      <c r="C21" s="47"/>
      <c r="D21" s="51">
        <f>B21+C21</f>
        <v>0</v>
      </c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</row>
    <row r="22" spans="1:12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</row>
    <row r="23" spans="1:12">
      <c r="A23" s="64"/>
      <c r="B23" s="65"/>
      <c r="C23" s="65"/>
      <c r="D23" s="65">
        <f t="shared" si="3"/>
        <v>0</v>
      </c>
      <c r="E23" s="65"/>
      <c r="F23" s="65">
        <f t="shared" si="1"/>
        <v>0</v>
      </c>
      <c r="G23" s="65">
        <f t="shared" si="0"/>
        <v>0</v>
      </c>
      <c r="H23" s="48"/>
      <c r="I23" s="27"/>
      <c r="J23" s="25"/>
      <c r="K23" s="28"/>
      <c r="L23" s="16"/>
    </row>
    <row r="24" spans="1:12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</row>
    <row r="25" spans="1:12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</row>
    <row r="26" spans="1:12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</row>
    <row r="27" spans="1:12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</row>
    <row r="28" spans="1:12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</row>
    <row r="29" spans="1:12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</row>
    <row r="30" spans="1:12">
      <c r="A30" s="64"/>
      <c r="B30" s="65"/>
      <c r="C30" s="65"/>
      <c r="D30" s="65"/>
      <c r="E30" s="65"/>
      <c r="F30" s="65"/>
      <c r="G30" s="65">
        <f t="shared" si="0"/>
        <v>0</v>
      </c>
      <c r="H30" s="31"/>
      <c r="I30" s="27"/>
      <c r="J30" s="25"/>
      <c r="K30" s="28"/>
      <c r="L30" s="16"/>
    </row>
    <row r="31" spans="1:12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</row>
    <row r="32" spans="1:12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</row>
    <row r="33" spans="1:12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</row>
    <row r="34" spans="1:12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</row>
    <row r="35" spans="1:12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</row>
    <row r="36" spans="1:12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</row>
    <row r="42" spans="1:12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0</v>
      </c>
    </row>
    <row r="47" spans="1:12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</row>
    <row r="48" spans="1:12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68</v>
      </c>
      <c r="K48" s="114"/>
      <c r="L48" s="41">
        <f>L43-L46</f>
        <v>0</v>
      </c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L51"/>
  <sheetViews>
    <sheetView topLeftCell="C31" workbookViewId="0">
      <selection activeCell="E33" sqref="E33"/>
    </sheetView>
  </sheetViews>
  <sheetFormatPr defaultRowHeight="15"/>
  <cols>
    <col min="2" max="2" width="18.5703125" customWidth="1"/>
    <col min="3" max="3" width="17.42578125" customWidth="1"/>
    <col min="4" max="4" width="18" customWidth="1"/>
    <col min="5" max="5" width="17.7109375" customWidth="1"/>
    <col min="6" max="6" width="17.5703125" customWidth="1"/>
    <col min="7" max="7" width="15.5703125" customWidth="1"/>
    <col min="11" max="11" width="33" customWidth="1"/>
    <col min="12" max="12" width="14.7109375" customWidth="1"/>
  </cols>
  <sheetData>
    <row r="3" spans="1:12">
      <c r="A3" s="115" t="s">
        <v>69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</row>
    <row r="4" spans="1:12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</row>
    <row r="5" spans="1:12" ht="15.75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</row>
    <row r="6" spans="1:12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</row>
    <row r="7" spans="1:12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</row>
    <row r="8" spans="1:12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</row>
    <row r="9" spans="1:12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</row>
    <row r="10" spans="1:12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</row>
    <row r="11" spans="1:12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</row>
    <row r="12" spans="1:12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</row>
    <row r="13" spans="1:12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</row>
    <row r="14" spans="1:12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</row>
    <row r="15" spans="1:12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</row>
    <row r="16" spans="1:12">
      <c r="A16" s="64"/>
      <c r="B16" s="65"/>
      <c r="C16" s="65"/>
      <c r="D16" s="65">
        <f t="shared" si="2"/>
        <v>0</v>
      </c>
      <c r="E16" s="65"/>
      <c r="F16" s="65">
        <f t="shared" si="1"/>
        <v>0</v>
      </c>
      <c r="G16" s="65">
        <f t="shared" si="0"/>
        <v>0</v>
      </c>
      <c r="H16" s="22"/>
      <c r="I16" s="24"/>
      <c r="J16" s="12"/>
      <c r="K16" s="23"/>
      <c r="L16" s="16"/>
    </row>
    <row r="17" spans="1:12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</row>
    <row r="18" spans="1:12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</row>
    <row r="19" spans="1:12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</row>
    <row r="20" spans="1:12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</row>
    <row r="21" spans="1:12">
      <c r="A21" s="46"/>
      <c r="B21" s="47"/>
      <c r="C21" s="47"/>
      <c r="D21" s="51">
        <f>B21+C21</f>
        <v>0</v>
      </c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</row>
    <row r="22" spans="1:12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</row>
    <row r="23" spans="1:12">
      <c r="A23" s="64"/>
      <c r="B23" s="65"/>
      <c r="C23" s="65"/>
      <c r="D23" s="65">
        <f t="shared" si="3"/>
        <v>0</v>
      </c>
      <c r="E23" s="65"/>
      <c r="F23" s="65">
        <f t="shared" si="1"/>
        <v>0</v>
      </c>
      <c r="G23" s="65">
        <f t="shared" si="0"/>
        <v>0</v>
      </c>
      <c r="H23" s="48"/>
      <c r="I23" s="27"/>
      <c r="J23" s="25"/>
      <c r="K23" s="28"/>
      <c r="L23" s="16"/>
    </row>
    <row r="24" spans="1:12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</row>
    <row r="25" spans="1:12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</row>
    <row r="26" spans="1:12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</row>
    <row r="27" spans="1:12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</row>
    <row r="28" spans="1:12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</row>
    <row r="29" spans="1:12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</row>
    <row r="30" spans="1:12">
      <c r="A30" s="64"/>
      <c r="B30" s="65"/>
      <c r="C30" s="65"/>
      <c r="D30" s="65"/>
      <c r="E30" s="65"/>
      <c r="F30" s="65"/>
      <c r="G30" s="65">
        <f t="shared" si="0"/>
        <v>0</v>
      </c>
      <c r="H30" s="31"/>
      <c r="I30" s="27"/>
      <c r="J30" s="25"/>
      <c r="K30" s="28"/>
      <c r="L30" s="16"/>
    </row>
    <row r="31" spans="1:12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</row>
    <row r="32" spans="1:12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</row>
    <row r="33" spans="1:12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</row>
    <row r="34" spans="1:12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</row>
    <row r="35" spans="1:12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</row>
    <row r="36" spans="1:12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</row>
    <row r="42" spans="1:12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0</v>
      </c>
    </row>
    <row r="47" spans="1:12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</row>
    <row r="48" spans="1:12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70</v>
      </c>
      <c r="K48" s="114"/>
      <c r="L48" s="41">
        <f>L43-L46</f>
        <v>0</v>
      </c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L51"/>
  <sheetViews>
    <sheetView topLeftCell="C1" workbookViewId="0">
      <selection activeCell="F38" sqref="F38"/>
    </sheetView>
  </sheetViews>
  <sheetFormatPr defaultRowHeight="15"/>
  <cols>
    <col min="1" max="1" width="13" customWidth="1"/>
    <col min="2" max="2" width="21" customWidth="1"/>
    <col min="3" max="3" width="18.28515625" customWidth="1"/>
    <col min="4" max="4" width="18.7109375" customWidth="1"/>
    <col min="5" max="5" width="20.28515625" customWidth="1"/>
    <col min="6" max="6" width="17.7109375" customWidth="1"/>
    <col min="7" max="7" width="19" customWidth="1"/>
    <col min="10" max="10" width="12" customWidth="1"/>
    <col min="11" max="11" width="32.5703125" customWidth="1"/>
    <col min="12" max="12" width="16.140625" customWidth="1"/>
  </cols>
  <sheetData>
    <row r="3" spans="1:12">
      <c r="A3" s="115" t="s">
        <v>71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</row>
    <row r="4" spans="1:12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</row>
    <row r="5" spans="1:12" ht="15.75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</row>
    <row r="6" spans="1:12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</row>
    <row r="7" spans="1:12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</row>
    <row r="8" spans="1:12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</row>
    <row r="9" spans="1:12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</row>
    <row r="10" spans="1:12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</row>
    <row r="11" spans="1:12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</row>
    <row r="12" spans="1:12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</row>
    <row r="13" spans="1:12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</row>
    <row r="14" spans="1:12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</row>
    <row r="15" spans="1:12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</row>
    <row r="16" spans="1:12">
      <c r="A16" s="64"/>
      <c r="B16" s="65"/>
      <c r="C16" s="65"/>
      <c r="D16" s="65">
        <f t="shared" si="2"/>
        <v>0</v>
      </c>
      <c r="E16" s="65"/>
      <c r="F16" s="65">
        <f t="shared" si="1"/>
        <v>0</v>
      </c>
      <c r="G16" s="65">
        <f t="shared" si="0"/>
        <v>0</v>
      </c>
      <c r="H16" s="22"/>
      <c r="I16" s="24"/>
      <c r="J16" s="12"/>
      <c r="K16" s="23"/>
      <c r="L16" s="16"/>
    </row>
    <row r="17" spans="1:12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</row>
    <row r="18" spans="1:12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</row>
    <row r="19" spans="1:12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</row>
    <row r="20" spans="1:12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</row>
    <row r="21" spans="1:12">
      <c r="A21" s="46"/>
      <c r="B21" s="47"/>
      <c r="C21" s="47"/>
      <c r="D21" s="51">
        <f>B21+C21</f>
        <v>0</v>
      </c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</row>
    <row r="22" spans="1:12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</row>
    <row r="23" spans="1:12">
      <c r="A23" s="64"/>
      <c r="B23" s="65"/>
      <c r="C23" s="65"/>
      <c r="D23" s="65">
        <f t="shared" si="3"/>
        <v>0</v>
      </c>
      <c r="E23" s="65"/>
      <c r="F23" s="65">
        <f t="shared" si="1"/>
        <v>0</v>
      </c>
      <c r="G23" s="65">
        <f t="shared" si="0"/>
        <v>0</v>
      </c>
      <c r="H23" s="48"/>
      <c r="I23" s="27"/>
      <c r="J23" s="25"/>
      <c r="K23" s="28"/>
      <c r="L23" s="16"/>
    </row>
    <row r="24" spans="1:12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</row>
    <row r="25" spans="1:12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</row>
    <row r="26" spans="1:12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</row>
    <row r="27" spans="1:12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</row>
    <row r="28" spans="1:12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</row>
    <row r="29" spans="1:12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</row>
    <row r="30" spans="1:12">
      <c r="A30" s="64"/>
      <c r="B30" s="65"/>
      <c r="C30" s="65"/>
      <c r="D30" s="65"/>
      <c r="E30" s="65"/>
      <c r="F30" s="65"/>
      <c r="G30" s="65">
        <f t="shared" si="0"/>
        <v>0</v>
      </c>
      <c r="H30" s="31"/>
      <c r="I30" s="27"/>
      <c r="J30" s="25"/>
      <c r="K30" s="28"/>
      <c r="L30" s="16"/>
    </row>
    <row r="31" spans="1:12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</row>
    <row r="32" spans="1:12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</row>
    <row r="33" spans="1:12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</row>
    <row r="34" spans="1:12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</row>
    <row r="35" spans="1:12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</row>
    <row r="36" spans="1:12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</row>
    <row r="42" spans="1:12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0</v>
      </c>
    </row>
    <row r="47" spans="1:12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</row>
    <row r="48" spans="1:12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70</v>
      </c>
      <c r="K48" s="114"/>
      <c r="L48" s="41">
        <f>L43-L46</f>
        <v>0</v>
      </c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3:L51"/>
  <sheetViews>
    <sheetView topLeftCell="A19" workbookViewId="0">
      <selection activeCell="D47" sqref="D47"/>
    </sheetView>
  </sheetViews>
  <sheetFormatPr defaultRowHeight="15"/>
  <cols>
    <col min="2" max="2" width="19.85546875" customWidth="1"/>
    <col min="3" max="3" width="19.140625" customWidth="1"/>
    <col min="4" max="4" width="20" customWidth="1"/>
    <col min="5" max="5" width="19.140625" customWidth="1"/>
    <col min="6" max="6" width="17.7109375" customWidth="1"/>
    <col min="7" max="7" width="19.42578125" customWidth="1"/>
    <col min="10" max="10" width="12.7109375" customWidth="1"/>
    <col min="11" max="11" width="32.5703125" customWidth="1"/>
    <col min="12" max="12" width="17.28515625" customWidth="1"/>
  </cols>
  <sheetData>
    <row r="3" spans="1:12">
      <c r="A3" s="115" t="s">
        <v>71</v>
      </c>
      <c r="B3" s="116"/>
      <c r="C3" s="116"/>
      <c r="D3" s="116"/>
      <c r="E3" s="116"/>
      <c r="F3" s="2"/>
      <c r="G3" s="2"/>
      <c r="H3" s="2"/>
      <c r="I3" s="2"/>
      <c r="J3" s="2"/>
      <c r="K3" s="2"/>
      <c r="L3" s="2"/>
    </row>
    <row r="4" spans="1:12">
      <c r="A4" s="117"/>
      <c r="B4" s="117"/>
      <c r="C4" s="117"/>
      <c r="D4" s="117"/>
      <c r="E4" s="117"/>
      <c r="F4" s="2"/>
      <c r="G4" s="2"/>
      <c r="H4" s="2"/>
      <c r="I4" s="2"/>
      <c r="J4" s="2"/>
      <c r="K4" s="2"/>
      <c r="L4" s="2"/>
    </row>
    <row r="5" spans="1:12" ht="15.75">
      <c r="A5" s="118" t="s">
        <v>1</v>
      </c>
      <c r="B5" s="120" t="s">
        <v>2</v>
      </c>
      <c r="C5" s="121"/>
      <c r="D5" s="122" t="s">
        <v>3</v>
      </c>
      <c r="E5" s="112" t="s">
        <v>4</v>
      </c>
      <c r="F5" s="122" t="s">
        <v>5</v>
      </c>
      <c r="G5" s="112" t="s">
        <v>6</v>
      </c>
      <c r="H5" s="3"/>
      <c r="I5" s="4"/>
      <c r="J5" s="5" t="s">
        <v>7</v>
      </c>
      <c r="K5" s="6"/>
      <c r="L5" s="7"/>
    </row>
    <row r="6" spans="1:12" ht="15.75">
      <c r="A6" s="119"/>
      <c r="B6" s="8" t="s">
        <v>8</v>
      </c>
      <c r="C6" s="63" t="s">
        <v>9</v>
      </c>
      <c r="D6" s="123"/>
      <c r="E6" s="113"/>
      <c r="F6" s="123"/>
      <c r="G6" s="113"/>
      <c r="H6" s="3"/>
      <c r="I6" s="4"/>
      <c r="J6" s="9" t="s">
        <v>1</v>
      </c>
      <c r="K6" s="10" t="s">
        <v>10</v>
      </c>
      <c r="L6" s="11" t="s">
        <v>11</v>
      </c>
    </row>
    <row r="7" spans="1:12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</row>
    <row r="8" spans="1:12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</row>
    <row r="9" spans="1:12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</row>
    <row r="10" spans="1:12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</row>
    <row r="11" spans="1:12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</row>
    <row r="12" spans="1:12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</row>
    <row r="13" spans="1:12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</row>
    <row r="14" spans="1:12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</row>
    <row r="15" spans="1:12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</row>
    <row r="16" spans="1:12">
      <c r="A16" s="64"/>
      <c r="B16" s="65"/>
      <c r="C16" s="65"/>
      <c r="D16" s="65">
        <f t="shared" si="2"/>
        <v>0</v>
      </c>
      <c r="E16" s="65"/>
      <c r="F16" s="65">
        <f t="shared" si="1"/>
        <v>0</v>
      </c>
      <c r="G16" s="65">
        <f t="shared" si="0"/>
        <v>0</v>
      </c>
      <c r="H16" s="22"/>
      <c r="I16" s="24"/>
      <c r="J16" s="12"/>
      <c r="K16" s="23"/>
      <c r="L16" s="16"/>
    </row>
    <row r="17" spans="1:12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</row>
    <row r="18" spans="1:12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</row>
    <row r="19" spans="1:12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</row>
    <row r="20" spans="1:12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</row>
    <row r="21" spans="1:12">
      <c r="A21" s="46"/>
      <c r="B21" s="47"/>
      <c r="C21" s="47"/>
      <c r="D21" s="51">
        <f>B21+C21</f>
        <v>0</v>
      </c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</row>
    <row r="22" spans="1:12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</row>
    <row r="23" spans="1:12">
      <c r="A23" s="64"/>
      <c r="B23" s="65"/>
      <c r="C23" s="65"/>
      <c r="D23" s="65">
        <f t="shared" si="3"/>
        <v>0</v>
      </c>
      <c r="E23" s="65"/>
      <c r="F23" s="65">
        <f t="shared" si="1"/>
        <v>0</v>
      </c>
      <c r="G23" s="65">
        <f t="shared" si="0"/>
        <v>0</v>
      </c>
      <c r="H23" s="48"/>
      <c r="I23" s="27"/>
      <c r="J23" s="25"/>
      <c r="K23" s="28"/>
      <c r="L23" s="16"/>
    </row>
    <row r="24" spans="1:12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</row>
    <row r="25" spans="1:12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</row>
    <row r="26" spans="1:12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</row>
    <row r="27" spans="1:12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</row>
    <row r="28" spans="1:12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</row>
    <row r="29" spans="1:12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</row>
    <row r="30" spans="1:12">
      <c r="A30" s="64"/>
      <c r="B30" s="65"/>
      <c r="C30" s="65"/>
      <c r="D30" s="65"/>
      <c r="E30" s="65"/>
      <c r="F30" s="65"/>
      <c r="G30" s="65">
        <f t="shared" si="0"/>
        <v>0</v>
      </c>
      <c r="H30" s="31"/>
      <c r="I30" s="27"/>
      <c r="J30" s="25"/>
      <c r="K30" s="28"/>
      <c r="L30" s="16"/>
    </row>
    <row r="31" spans="1:12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</row>
    <row r="32" spans="1:12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</row>
    <row r="33" spans="1:12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</row>
    <row r="34" spans="1:12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</row>
    <row r="35" spans="1:12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</row>
    <row r="36" spans="1:12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</row>
    <row r="42" spans="1:12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12</v>
      </c>
      <c r="K43" s="34" t="s">
        <v>13</v>
      </c>
      <c r="L43" s="57">
        <f>B51+C51</f>
        <v>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f>E51</f>
        <v>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58">
        <f>L41</f>
        <v>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16</v>
      </c>
      <c r="L46" s="39">
        <f>L44+L45</f>
        <v>0</v>
      </c>
    </row>
    <row r="47" spans="1:12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</row>
    <row r="48" spans="1:12" ht="18">
      <c r="A48" s="12"/>
      <c r="B48" s="13"/>
      <c r="C48" s="13"/>
      <c r="D48" s="51"/>
      <c r="E48" s="53"/>
      <c r="F48" s="13"/>
      <c r="G48" s="55"/>
      <c r="H48" s="14"/>
      <c r="I48" s="27"/>
      <c r="J48" s="114" t="s">
        <v>72</v>
      </c>
      <c r="K48" s="114"/>
      <c r="L48" s="41">
        <f>L43-L46</f>
        <v>0</v>
      </c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APRIL</vt:lpstr>
      <vt:lpstr>MEI</vt:lpstr>
      <vt:lpstr>JUNI</vt:lpstr>
      <vt:lpstr>JULI</vt:lpstr>
      <vt:lpstr>AGUS</vt:lpstr>
      <vt:lpstr>SEPT</vt:lpstr>
      <vt:lpstr>OKT</vt:lpstr>
      <vt:lpstr>NOV</vt:lpstr>
      <vt:lpstr>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ARAW-PC</cp:lastModifiedBy>
  <dcterms:created xsi:type="dcterms:W3CDTF">2025-11-10T06:39:14Z</dcterms:created>
  <dcterms:modified xsi:type="dcterms:W3CDTF">2026-03-17T09:36:45Z</dcterms:modified>
</cp:coreProperties>
</file>