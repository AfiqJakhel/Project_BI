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30" windowWidth="19875" windowHeight="7710" firstSheet="2" activeTab="11"/>
  </bookViews>
  <sheets>
    <sheet name="JANUARI" sheetId="1" r:id="rId1"/>
    <sheet name="FEBRUARI" sheetId="2" r:id="rId2"/>
    <sheet name="MARET" sheetId="3" r:id="rId3"/>
    <sheet name="APRIL" sheetId="4" r:id="rId4"/>
    <sheet name="MEI" sheetId="5" r:id="rId5"/>
    <sheet name="JUNI" sheetId="6" r:id="rId6"/>
    <sheet name="JULI" sheetId="8" r:id="rId7"/>
    <sheet name="AGUSTUS" sheetId="9" r:id="rId8"/>
    <sheet name="SEPTEMBER" sheetId="12" r:id="rId9"/>
    <sheet name="OKTOBER" sheetId="13" r:id="rId10"/>
    <sheet name="NOVEMBER" sheetId="14" r:id="rId11"/>
    <sheet name="DESEMBER" sheetId="17" r:id="rId12"/>
    <sheet name="Sheet1" sheetId="18" r:id="rId13"/>
    <sheet name="Sheet2" sheetId="19" r:id="rId14"/>
    <sheet name="Sheet3" sheetId="20" r:id="rId15"/>
  </sheets>
  <calcPr calcId="124519"/>
</workbook>
</file>

<file path=xl/calcChain.xml><?xml version="1.0" encoding="utf-8"?>
<calcChain xmlns="http://schemas.openxmlformats.org/spreadsheetml/2006/main">
  <c r="N22" i="17"/>
  <c r="N24" i="14"/>
  <c r="Q6"/>
  <c r="Q12"/>
  <c r="D27" i="18"/>
  <c r="D25"/>
  <c r="N27" i="12" l="1"/>
  <c r="D27" i="20" l="1"/>
  <c r="D29"/>
  <c r="D25"/>
  <c r="Q22" i="9"/>
  <c r="D31" i="19"/>
  <c r="D29"/>
  <c r="D27"/>
  <c r="N27" i="9"/>
  <c r="G82" i="17" l="1"/>
  <c r="G81"/>
  <c r="G80"/>
  <c r="H80" s="1"/>
  <c r="G79"/>
  <c r="H79" s="1"/>
  <c r="N31" i="9"/>
  <c r="J79" i="17" l="1"/>
  <c r="H81"/>
  <c r="G78"/>
  <c r="H78" s="1"/>
  <c r="G67"/>
  <c r="G68"/>
  <c r="G69"/>
  <c r="G70"/>
  <c r="G71"/>
  <c r="G72"/>
  <c r="G73"/>
  <c r="G74"/>
  <c r="G75"/>
  <c r="G76"/>
  <c r="G77"/>
  <c r="H68" l="1"/>
  <c r="N25" i="12"/>
  <c r="Q6" i="13" l="1"/>
  <c r="G66" i="17"/>
  <c r="H66" s="1"/>
  <c r="G54" l="1"/>
  <c r="G55"/>
  <c r="G56"/>
  <c r="G57"/>
  <c r="G58"/>
  <c r="G59"/>
  <c r="G60"/>
  <c r="G61"/>
  <c r="G62"/>
  <c r="G63"/>
  <c r="G64"/>
  <c r="G65"/>
  <c r="H54" l="1"/>
  <c r="G50"/>
  <c r="G51"/>
  <c r="H50" s="1"/>
  <c r="G53" l="1"/>
  <c r="H53" s="1"/>
  <c r="G46" l="1"/>
  <c r="G47"/>
  <c r="G48"/>
  <c r="G49"/>
  <c r="G52"/>
  <c r="H52" s="1"/>
  <c r="G45"/>
  <c r="H45" s="1"/>
  <c r="J92" i="12" l="1"/>
  <c r="G22" i="17"/>
  <c r="G23"/>
  <c r="G24"/>
  <c r="G25"/>
  <c r="G26"/>
  <c r="G27"/>
  <c r="G28"/>
  <c r="G29"/>
  <c r="G30"/>
  <c r="G31"/>
  <c r="G32"/>
  <c r="G33"/>
  <c r="G34"/>
  <c r="G35"/>
  <c r="G36"/>
  <c r="G37"/>
  <c r="G38"/>
  <c r="G39"/>
  <c r="G40"/>
  <c r="G41"/>
  <c r="G42"/>
  <c r="G43"/>
  <c r="G44"/>
  <c r="H37" l="1"/>
  <c r="H23"/>
  <c r="G21"/>
  <c r="G20"/>
  <c r="G19"/>
  <c r="H19" l="1"/>
  <c r="J23"/>
  <c r="G18"/>
  <c r="H18" s="1"/>
  <c r="G17" l="1"/>
  <c r="G16"/>
  <c r="G15"/>
  <c r="G14"/>
  <c r="H14" l="1"/>
  <c r="G13"/>
  <c r="H13" s="1"/>
  <c r="G12" l="1"/>
  <c r="G11"/>
  <c r="G4"/>
  <c r="G5"/>
  <c r="G6"/>
  <c r="G7"/>
  <c r="G8"/>
  <c r="G9"/>
  <c r="G10"/>
  <c r="G3"/>
  <c r="H3" l="1"/>
  <c r="H7"/>
  <c r="J3" l="1"/>
  <c r="G113" i="14"/>
  <c r="G114"/>
  <c r="G115"/>
  <c r="G116"/>
  <c r="H113" l="1"/>
  <c r="N27" i="8"/>
  <c r="N30"/>
  <c r="N29"/>
  <c r="N34" s="1"/>
  <c r="G120" i="14" l="1"/>
  <c r="H120" s="1"/>
  <c r="G129"/>
  <c r="G128"/>
  <c r="G127"/>
  <c r="G126"/>
  <c r="G125"/>
  <c r="G124"/>
  <c r="G123"/>
  <c r="G122"/>
  <c r="G121"/>
  <c r="H121" l="1"/>
  <c r="G119"/>
  <c r="G118"/>
  <c r="G117" l="1"/>
  <c r="H117" s="1"/>
  <c r="G112"/>
  <c r="G111"/>
  <c r="G110"/>
  <c r="G109"/>
  <c r="G108"/>
  <c r="G107"/>
  <c r="G106"/>
  <c r="N117"/>
  <c r="G105"/>
  <c r="H105" s="1"/>
  <c r="H106" l="1"/>
  <c r="J106" s="1"/>
  <c r="H110"/>
  <c r="G104"/>
  <c r="G103"/>
  <c r="G102"/>
  <c r="G101"/>
  <c r="H101" s="1"/>
  <c r="G98" l="1"/>
  <c r="G99"/>
  <c r="G100"/>
  <c r="H98" l="1"/>
  <c r="G97"/>
  <c r="G96"/>
  <c r="H96" s="1"/>
  <c r="G93" l="1"/>
  <c r="G91"/>
  <c r="G89"/>
  <c r="G88"/>
  <c r="H88" l="1"/>
  <c r="G83" l="1"/>
  <c r="G84"/>
  <c r="G85"/>
  <c r="G86"/>
  <c r="G87"/>
  <c r="G82"/>
  <c r="H82" l="1"/>
  <c r="G81" l="1"/>
  <c r="G80"/>
  <c r="G79"/>
  <c r="G78"/>
  <c r="G77"/>
  <c r="H77" s="1"/>
  <c r="G72" l="1"/>
  <c r="G73"/>
  <c r="G74"/>
  <c r="G75"/>
  <c r="G76"/>
  <c r="G71"/>
  <c r="G70"/>
  <c r="G69"/>
  <c r="H69" l="1"/>
  <c r="H75"/>
  <c r="G68"/>
  <c r="G67"/>
  <c r="G66"/>
  <c r="G65"/>
  <c r="G64"/>
  <c r="G63"/>
  <c r="G62"/>
  <c r="H62" s="1"/>
  <c r="G61"/>
  <c r="G60"/>
  <c r="H60" s="1"/>
  <c r="G54"/>
  <c r="G55"/>
  <c r="H55" s="1"/>
  <c r="G56"/>
  <c r="G57"/>
  <c r="G58"/>
  <c r="G59"/>
  <c r="G53"/>
  <c r="G52"/>
  <c r="H52" s="1"/>
  <c r="G51"/>
  <c r="G50"/>
  <c r="G49"/>
  <c r="G48"/>
  <c r="G47"/>
  <c r="G46"/>
  <c r="G45"/>
  <c r="G44"/>
  <c r="G43"/>
  <c r="G42"/>
  <c r="G41"/>
  <c r="G40"/>
  <c r="G39"/>
  <c r="G38"/>
  <c r="H38" s="1"/>
  <c r="J69" l="1"/>
  <c r="H57"/>
  <c r="H43"/>
  <c r="J55"/>
  <c r="H39"/>
  <c r="G37"/>
  <c r="G36"/>
  <c r="G35"/>
  <c r="G34"/>
  <c r="G33"/>
  <c r="G32"/>
  <c r="G31"/>
  <c r="G30"/>
  <c r="G29"/>
  <c r="G28"/>
  <c r="H28" s="1"/>
  <c r="G25"/>
  <c r="G26"/>
  <c r="G27"/>
  <c r="H27" s="1"/>
  <c r="H29" l="1"/>
  <c r="G24"/>
  <c r="G4" l="1"/>
  <c r="G5"/>
  <c r="G6"/>
  <c r="G7"/>
  <c r="G8"/>
  <c r="G9"/>
  <c r="G10"/>
  <c r="G11"/>
  <c r="G12"/>
  <c r="G13"/>
  <c r="H13" s="1"/>
  <c r="G14"/>
  <c r="G16"/>
  <c r="G17"/>
  <c r="G18"/>
  <c r="G19"/>
  <c r="G20"/>
  <c r="G21"/>
  <c r="G22"/>
  <c r="G23"/>
  <c r="H23" s="1"/>
  <c r="G3"/>
  <c r="G133" i="13"/>
  <c r="G132"/>
  <c r="G131"/>
  <c r="G130"/>
  <c r="G129"/>
  <c r="G128"/>
  <c r="G127"/>
  <c r="H127" s="1"/>
  <c r="H3" i="14" l="1"/>
  <c r="H21"/>
  <c r="H14"/>
  <c r="H8"/>
  <c r="G126" i="13"/>
  <c r="G125"/>
  <c r="G124"/>
  <c r="G123"/>
  <c r="G122"/>
  <c r="G121"/>
  <c r="G120"/>
  <c r="G119"/>
  <c r="H119" s="1"/>
  <c r="N31" i="6"/>
  <c r="G118" i="13" l="1"/>
  <c r="G117"/>
  <c r="G116"/>
  <c r="G115"/>
  <c r="H115" s="1"/>
  <c r="G114"/>
  <c r="G113"/>
  <c r="G112"/>
  <c r="G111"/>
  <c r="G110"/>
  <c r="G109"/>
  <c r="G108"/>
  <c r="G107"/>
  <c r="G106"/>
  <c r="G105"/>
  <c r="G104"/>
  <c r="G103"/>
  <c r="H103" s="1"/>
  <c r="J103" s="1"/>
  <c r="G102"/>
  <c r="G101"/>
  <c r="G100"/>
  <c r="G99"/>
  <c r="H99" s="1"/>
  <c r="G98" l="1"/>
  <c r="G97"/>
  <c r="G96"/>
  <c r="G95"/>
  <c r="G94"/>
  <c r="G93"/>
  <c r="G92"/>
  <c r="G91"/>
  <c r="G90"/>
  <c r="G89"/>
  <c r="G88"/>
  <c r="G87"/>
  <c r="G86"/>
  <c r="G85"/>
  <c r="G84"/>
  <c r="G83"/>
  <c r="G82"/>
  <c r="G81"/>
  <c r="G80"/>
  <c r="G79"/>
  <c r="G78"/>
  <c r="N30" i="6"/>
  <c r="N29"/>
  <c r="N33"/>
  <c r="H80" i="13" l="1"/>
  <c r="H84"/>
  <c r="G74"/>
  <c r="G75"/>
  <c r="G76"/>
  <c r="G77"/>
  <c r="H77" s="1"/>
  <c r="G72" l="1"/>
  <c r="G73"/>
  <c r="H72" s="1"/>
  <c r="G69"/>
  <c r="G70"/>
  <c r="G71"/>
  <c r="Q17" i="9"/>
  <c r="H69" i="13" l="1"/>
  <c r="R12" i="8"/>
  <c r="R16"/>
  <c r="R15" l="1"/>
  <c r="Q9"/>
  <c r="Q18" i="9"/>
  <c r="G63" i="13" l="1"/>
  <c r="G64"/>
  <c r="G65"/>
  <c r="G66"/>
  <c r="G67"/>
  <c r="G68"/>
  <c r="H63" l="1"/>
  <c r="G61"/>
  <c r="G62"/>
  <c r="H61" s="1"/>
  <c r="G58"/>
  <c r="G59"/>
  <c r="G60"/>
  <c r="G57"/>
  <c r="H57" s="1"/>
  <c r="G56"/>
  <c r="H56" s="1"/>
  <c r="G55"/>
  <c r="G54"/>
  <c r="G53"/>
  <c r="G52"/>
  <c r="G51"/>
  <c r="G50"/>
  <c r="G49"/>
  <c r="G48"/>
  <c r="J47" s="1"/>
  <c r="G47"/>
  <c r="G46"/>
  <c r="G45"/>
  <c r="G44"/>
  <c r="G43"/>
  <c r="G42"/>
  <c r="J43" s="1"/>
  <c r="G24"/>
  <c r="G25"/>
  <c r="G26"/>
  <c r="G27"/>
  <c r="G28"/>
  <c r="G29"/>
  <c r="G30"/>
  <c r="G31"/>
  <c r="G32"/>
  <c r="G33"/>
  <c r="G34"/>
  <c r="G35"/>
  <c r="G36"/>
  <c r="G37"/>
  <c r="G38"/>
  <c r="G39"/>
  <c r="G40"/>
  <c r="G41"/>
  <c r="G23"/>
  <c r="G22"/>
  <c r="H22" s="1"/>
  <c r="H31" l="1"/>
  <c r="H42"/>
  <c r="J22"/>
  <c r="G21"/>
  <c r="G18"/>
  <c r="G19"/>
  <c r="H19" s="1"/>
  <c r="G20"/>
  <c r="G5" l="1"/>
  <c r="G6"/>
  <c r="G7"/>
  <c r="G8"/>
  <c r="G9"/>
  <c r="G10"/>
  <c r="G11"/>
  <c r="G12"/>
  <c r="G13"/>
  <c r="G14"/>
  <c r="G15"/>
  <c r="G16"/>
  <c r="G17"/>
  <c r="G4"/>
  <c r="H4" s="1"/>
  <c r="O36" i="5"/>
  <c r="O35"/>
  <c r="O37"/>
  <c r="G141" i="12"/>
  <c r="G142"/>
  <c r="G143"/>
  <c r="G144"/>
  <c r="G145"/>
  <c r="G146"/>
  <c r="G147"/>
  <c r="G148"/>
  <c r="G149"/>
  <c r="G150"/>
  <c r="G151"/>
  <c r="G152"/>
  <c r="G153"/>
  <c r="G154"/>
  <c r="G155"/>
  <c r="G156"/>
  <c r="G157"/>
  <c r="G158"/>
  <c r="G140"/>
  <c r="G139"/>
  <c r="H149" l="1"/>
  <c r="H14" i="13"/>
  <c r="H10"/>
  <c r="H6"/>
  <c r="H139" i="12"/>
  <c r="J139" s="1"/>
  <c r="G138"/>
  <c r="H138" s="1"/>
  <c r="G137"/>
  <c r="G136"/>
  <c r="G135"/>
  <c r="G134"/>
  <c r="G133"/>
  <c r="G132"/>
  <c r="G131"/>
  <c r="G130"/>
  <c r="G129"/>
  <c r="G128"/>
  <c r="G127"/>
  <c r="G126"/>
  <c r="G125"/>
  <c r="H125" l="1"/>
  <c r="H131"/>
  <c r="G124"/>
  <c r="G123"/>
  <c r="G122"/>
  <c r="G121"/>
  <c r="G120"/>
  <c r="O34" i="5"/>
  <c r="O31"/>
  <c r="O33"/>
  <c r="G115" i="12"/>
  <c r="G116"/>
  <c r="G117"/>
  <c r="G118"/>
  <c r="G119"/>
  <c r="S21" i="9"/>
  <c r="S14"/>
  <c r="H116" i="12" l="1"/>
  <c r="H120"/>
  <c r="G37" i="9"/>
  <c r="H37" s="1"/>
  <c r="G71"/>
  <c r="G70"/>
  <c r="G16"/>
  <c r="H16" s="1"/>
  <c r="G4" i="12"/>
  <c r="G5"/>
  <c r="G6"/>
  <c r="G3"/>
  <c r="G8"/>
  <c r="Q13" i="9"/>
  <c r="R4"/>
  <c r="M79"/>
  <c r="N79"/>
  <c r="S77"/>
  <c r="P76"/>
  <c r="Q76" s="1"/>
  <c r="G114" i="12"/>
  <c r="H114" s="1"/>
  <c r="G112"/>
  <c r="H112" s="1"/>
  <c r="G113"/>
  <c r="H113" s="1"/>
  <c r="H70" i="9" l="1"/>
  <c r="H3" i="12"/>
  <c r="J112"/>
  <c r="G110"/>
  <c r="G111"/>
  <c r="G109"/>
  <c r="G108"/>
  <c r="G107"/>
  <c r="G105"/>
  <c r="G106"/>
  <c r="H106" s="1"/>
  <c r="H108" l="1"/>
  <c r="J106" s="1"/>
  <c r="G104"/>
  <c r="G103"/>
  <c r="G102"/>
  <c r="H102" l="1"/>
  <c r="G96"/>
  <c r="G97"/>
  <c r="G98"/>
  <c r="G99"/>
  <c r="G100"/>
  <c r="G101"/>
  <c r="H96" l="1"/>
  <c r="H98"/>
  <c r="G95"/>
  <c r="G94"/>
  <c r="G93"/>
  <c r="G92"/>
  <c r="G91"/>
  <c r="G90"/>
  <c r="G89"/>
  <c r="G88"/>
  <c r="G87"/>
  <c r="G86"/>
  <c r="G85"/>
  <c r="G84"/>
  <c r="G83"/>
  <c r="H83" s="1"/>
  <c r="G82"/>
  <c r="G81"/>
  <c r="G80"/>
  <c r="G79"/>
  <c r="G78"/>
  <c r="G77"/>
  <c r="G76"/>
  <c r="G75"/>
  <c r="G74"/>
  <c r="G73"/>
  <c r="G72"/>
  <c r="G71"/>
  <c r="G70"/>
  <c r="G69"/>
  <c r="G68"/>
  <c r="G67"/>
  <c r="G66"/>
  <c r="G65"/>
  <c r="G64"/>
  <c r="G63"/>
  <c r="G62"/>
  <c r="G61"/>
  <c r="G60"/>
  <c r="G59"/>
  <c r="G58"/>
  <c r="G57"/>
  <c r="G56"/>
  <c r="G55"/>
  <c r="G54"/>
  <c r="G53"/>
  <c r="H53" l="1"/>
  <c r="H57"/>
  <c r="H65"/>
  <c r="H67"/>
  <c r="H84"/>
  <c r="H81"/>
  <c r="J81" s="1"/>
  <c r="H92"/>
  <c r="G52"/>
  <c r="G51"/>
  <c r="G50"/>
  <c r="G49"/>
  <c r="G48"/>
  <c r="G47"/>
  <c r="G46"/>
  <c r="G45"/>
  <c r="G44"/>
  <c r="G43"/>
  <c r="G42"/>
  <c r="G41"/>
  <c r="G40"/>
  <c r="G39"/>
  <c r="G38"/>
  <c r="G37"/>
  <c r="G36"/>
  <c r="G35"/>
  <c r="G34"/>
  <c r="G33"/>
  <c r="G32"/>
  <c r="G31"/>
  <c r="G30"/>
  <c r="G29"/>
  <c r="H32" l="1"/>
  <c r="H42"/>
  <c r="G28"/>
  <c r="G27"/>
  <c r="G26"/>
  <c r="G25"/>
  <c r="G24"/>
  <c r="G23"/>
  <c r="G22"/>
  <c r="G21"/>
  <c r="G20"/>
  <c r="J42" l="1"/>
  <c r="L47"/>
  <c r="H20"/>
  <c r="H23"/>
  <c r="H25"/>
  <c r="G19"/>
  <c r="H19" s="1"/>
  <c r="G18"/>
  <c r="H18" s="1"/>
  <c r="G17"/>
  <c r="H17" s="1"/>
  <c r="J20" l="1"/>
  <c r="G16"/>
  <c r="G15"/>
  <c r="G14"/>
  <c r="G13"/>
  <c r="H13" s="1"/>
  <c r="S7" i="9"/>
  <c r="Q5" i="8"/>
  <c r="R7"/>
  <c r="R10" s="1"/>
  <c r="Q8" i="6"/>
  <c r="Q9" s="1"/>
  <c r="H14" i="12" l="1"/>
  <c r="J13" s="1"/>
  <c r="G24" i="6"/>
  <c r="G9" i="12"/>
  <c r="G10"/>
  <c r="G11"/>
  <c r="G12"/>
  <c r="G7"/>
  <c r="G83" i="9"/>
  <c r="G84"/>
  <c r="G85"/>
  <c r="G86"/>
  <c r="G80"/>
  <c r="G81"/>
  <c r="G82"/>
  <c r="O34" i="4"/>
  <c r="O32"/>
  <c r="N25" i="13"/>
  <c r="H7" i="12" l="1"/>
  <c r="H80" i="9"/>
  <c r="H85"/>
  <c r="H83"/>
  <c r="Q15" i="6"/>
  <c r="R18" i="8"/>
  <c r="G99" i="6"/>
  <c r="G100"/>
  <c r="J83" i="9" l="1"/>
  <c r="J80"/>
  <c r="R25" i="4"/>
  <c r="R8"/>
  <c r="R20"/>
  <c r="R6"/>
  <c r="G60" i="9" l="1"/>
  <c r="G61"/>
  <c r="G62"/>
  <c r="G63"/>
  <c r="G64"/>
  <c r="G65"/>
  <c r="G66"/>
  <c r="G67"/>
  <c r="G68"/>
  <c r="G69"/>
  <c r="G72"/>
  <c r="G73"/>
  <c r="G74"/>
  <c r="G75"/>
  <c r="G76"/>
  <c r="G77"/>
  <c r="G78"/>
  <c r="G79"/>
  <c r="H79" s="1"/>
  <c r="H64" l="1"/>
  <c r="H72"/>
  <c r="R4" i="4" l="1"/>
  <c r="G59" i="9" l="1"/>
  <c r="G58"/>
  <c r="G36" l="1"/>
  <c r="H36" s="1"/>
  <c r="G44" l="1"/>
  <c r="G45"/>
  <c r="G46"/>
  <c r="G47"/>
  <c r="G48"/>
  <c r="H48" s="1"/>
  <c r="G49"/>
  <c r="G50"/>
  <c r="G51"/>
  <c r="G52"/>
  <c r="G53"/>
  <c r="G54"/>
  <c r="G55"/>
  <c r="G56"/>
  <c r="G57"/>
  <c r="G43"/>
  <c r="G41"/>
  <c r="G42"/>
  <c r="G38"/>
  <c r="G39"/>
  <c r="G40"/>
  <c r="T15" i="3"/>
  <c r="R11" i="4"/>
  <c r="H43" i="9" l="1"/>
  <c r="H56"/>
  <c r="H38"/>
  <c r="H49"/>
  <c r="J49" s="1"/>
  <c r="H46"/>
  <c r="G34"/>
  <c r="G35"/>
  <c r="H35" s="1"/>
  <c r="G33"/>
  <c r="H33" s="1"/>
  <c r="G32"/>
  <c r="H32" s="1"/>
  <c r="G31"/>
  <c r="G30"/>
  <c r="G19"/>
  <c r="G20"/>
  <c r="G21"/>
  <c r="G22"/>
  <c r="G23"/>
  <c r="G24"/>
  <c r="G25"/>
  <c r="G26"/>
  <c r="G27"/>
  <c r="G28"/>
  <c r="G29"/>
  <c r="G18"/>
  <c r="G14"/>
  <c r="G13"/>
  <c r="G12"/>
  <c r="G11"/>
  <c r="G10"/>
  <c r="H10" s="1"/>
  <c r="H13" l="1"/>
  <c r="H11"/>
  <c r="H17"/>
  <c r="H30"/>
  <c r="G9"/>
  <c r="H9" s="1"/>
  <c r="G8"/>
  <c r="H8" s="1"/>
  <c r="G7"/>
  <c r="H7" s="1"/>
  <c r="G6" l="1"/>
  <c r="G5"/>
  <c r="G4"/>
  <c r="H4" s="1"/>
  <c r="G3"/>
  <c r="H3" s="1"/>
  <c r="G56" i="8"/>
  <c r="G57"/>
  <c r="G47"/>
  <c r="G48"/>
  <c r="G49"/>
  <c r="G50"/>
  <c r="G51"/>
  <c r="G52"/>
  <c r="G53"/>
  <c r="G54"/>
  <c r="G55"/>
  <c r="G46"/>
  <c r="H46" s="1"/>
  <c r="G45"/>
  <c r="H45" s="1"/>
  <c r="G43"/>
  <c r="G42"/>
  <c r="G41"/>
  <c r="G40"/>
  <c r="G39"/>
  <c r="G38"/>
  <c r="G35"/>
  <c r="G36"/>
  <c r="G37"/>
  <c r="G34"/>
  <c r="H34" s="1"/>
  <c r="G33"/>
  <c r="H33" s="1"/>
  <c r="G31"/>
  <c r="G30"/>
  <c r="G29"/>
  <c r="G28"/>
  <c r="G27"/>
  <c r="G26"/>
  <c r="G25"/>
  <c r="G24"/>
  <c r="G23"/>
  <c r="G22"/>
  <c r="G21"/>
  <c r="G20"/>
  <c r="G19"/>
  <c r="G18"/>
  <c r="G17"/>
  <c r="G91" i="4"/>
  <c r="H91" s="1"/>
  <c r="H56" i="8" l="1"/>
  <c r="H17"/>
  <c r="H50"/>
  <c r="H5" i="9"/>
  <c r="H53" i="8"/>
  <c r="H38"/>
  <c r="H35"/>
  <c r="O30" i="4"/>
  <c r="G16" i="8"/>
  <c r="G15"/>
  <c r="G14"/>
  <c r="G13"/>
  <c r="G12"/>
  <c r="H12" l="1"/>
  <c r="R13" i="4" l="1"/>
  <c r="T6"/>
  <c r="G9" i="8"/>
  <c r="G10"/>
  <c r="G11"/>
  <c r="H9" l="1"/>
  <c r="G4"/>
  <c r="G8"/>
  <c r="H8" s="1"/>
  <c r="G3"/>
  <c r="H3" s="1"/>
  <c r="V40" i="2"/>
  <c r="V43" s="1"/>
  <c r="V47" s="1"/>
  <c r="P29" l="1"/>
  <c r="O25" i="3" l="1"/>
  <c r="T16" i="4"/>
  <c r="G110" i="6" l="1"/>
  <c r="G78"/>
  <c r="G79"/>
  <c r="G80"/>
  <c r="G81"/>
  <c r="G82"/>
  <c r="H82" s="1"/>
  <c r="G83"/>
  <c r="G84"/>
  <c r="G85"/>
  <c r="G86"/>
  <c r="G87"/>
  <c r="G88"/>
  <c r="G89"/>
  <c r="G90"/>
  <c r="G91"/>
  <c r="G92"/>
  <c r="G93"/>
  <c r="G94"/>
  <c r="G95"/>
  <c r="G96"/>
  <c r="G97"/>
  <c r="G98"/>
  <c r="G101"/>
  <c r="H101" s="1"/>
  <c r="G102"/>
  <c r="G103"/>
  <c r="G104"/>
  <c r="G105"/>
  <c r="G106"/>
  <c r="G107"/>
  <c r="G108"/>
  <c r="G109"/>
  <c r="G70"/>
  <c r="G71"/>
  <c r="G72"/>
  <c r="G73"/>
  <c r="G74"/>
  <c r="H74" s="1"/>
  <c r="G75"/>
  <c r="H75" s="1"/>
  <c r="G76"/>
  <c r="G77"/>
  <c r="S20" i="2"/>
  <c r="H84" i="6" l="1"/>
  <c r="H76"/>
  <c r="G65"/>
  <c r="H65" s="1"/>
  <c r="G66"/>
  <c r="G67"/>
  <c r="G68"/>
  <c r="G69"/>
  <c r="G62"/>
  <c r="G63"/>
  <c r="G64"/>
  <c r="G61"/>
  <c r="G60"/>
  <c r="G59"/>
  <c r="G58"/>
  <c r="G57"/>
  <c r="G56"/>
  <c r="H61" l="1"/>
  <c r="H56"/>
  <c r="H68"/>
  <c r="H66"/>
  <c r="G49"/>
  <c r="G50"/>
  <c r="G51"/>
  <c r="G52"/>
  <c r="G53"/>
  <c r="G54"/>
  <c r="G55"/>
  <c r="R12" i="3"/>
  <c r="S11"/>
  <c r="S18" i="2"/>
  <c r="H49" i="6" l="1"/>
  <c r="R18" i="3"/>
  <c r="R16"/>
  <c r="R13"/>
  <c r="P33" i="2"/>
  <c r="V33" s="1"/>
  <c r="S6"/>
  <c r="T13"/>
  <c r="R59"/>
  <c r="T7"/>
  <c r="T11"/>
  <c r="T31"/>
  <c r="V32" s="1"/>
  <c r="P31"/>
  <c r="P27"/>
  <c r="R33" l="1"/>
  <c r="R44"/>
  <c r="R38"/>
  <c r="R39" s="1"/>
  <c r="S12" s="1"/>
  <c r="G48" i="6" l="1"/>
  <c r="H48" s="1"/>
  <c r="K49"/>
  <c r="G47"/>
  <c r="G46"/>
  <c r="G45" l="1"/>
  <c r="H45" s="1"/>
  <c r="G29" l="1"/>
  <c r="G44"/>
  <c r="G43"/>
  <c r="G42"/>
  <c r="G41"/>
  <c r="G40"/>
  <c r="G39"/>
  <c r="G38"/>
  <c r="G37"/>
  <c r="G36"/>
  <c r="G35"/>
  <c r="G34"/>
  <c r="G33"/>
  <c r="G32"/>
  <c r="G31"/>
  <c r="G30"/>
  <c r="G28"/>
  <c r="G27"/>
  <c r="G26"/>
  <c r="G25"/>
  <c r="G23"/>
  <c r="G22"/>
  <c r="G21"/>
  <c r="H43" l="1"/>
  <c r="H21"/>
  <c r="H23"/>
  <c r="G20"/>
  <c r="H20" s="1"/>
  <c r="G19"/>
  <c r="G18"/>
  <c r="G17"/>
  <c r="H17" s="1"/>
  <c r="G16"/>
  <c r="H16" s="1"/>
  <c r="G14"/>
  <c r="H14" s="1"/>
  <c r="G13"/>
  <c r="H13" s="1"/>
  <c r="J23" l="1"/>
  <c r="J33"/>
  <c r="H18"/>
  <c r="G15"/>
  <c r="H15" s="1"/>
  <c r="G12" l="1"/>
  <c r="G11"/>
  <c r="H11" l="1"/>
  <c r="G10"/>
  <c r="H10" s="1"/>
  <c r="G9"/>
  <c r="H9" s="1"/>
  <c r="G8"/>
  <c r="G7"/>
  <c r="G6"/>
  <c r="G5"/>
  <c r="G4"/>
  <c r="G3"/>
  <c r="H3" l="1"/>
  <c r="G63" i="5" l="1"/>
  <c r="G64"/>
  <c r="G65"/>
  <c r="G66"/>
  <c r="G68"/>
  <c r="G69"/>
  <c r="H69" s="1"/>
  <c r="G70"/>
  <c r="H70" s="1"/>
  <c r="G71"/>
  <c r="H66" l="1"/>
  <c r="G44"/>
  <c r="G45"/>
  <c r="H45" s="1"/>
  <c r="G46"/>
  <c r="G47"/>
  <c r="G48"/>
  <c r="G49"/>
  <c r="G50"/>
  <c r="G51"/>
  <c r="G52"/>
  <c r="G53"/>
  <c r="G54"/>
  <c r="G55"/>
  <c r="G56"/>
  <c r="G57"/>
  <c r="G58"/>
  <c r="G59"/>
  <c r="G60"/>
  <c r="G61"/>
  <c r="G62"/>
  <c r="G43"/>
  <c r="G42"/>
  <c r="G41"/>
  <c r="Q16" i="3"/>
  <c r="H58" i="5" l="1"/>
  <c r="J58" s="1"/>
  <c r="H46"/>
  <c r="H53"/>
  <c r="H51"/>
  <c r="H55"/>
  <c r="G38"/>
  <c r="G39"/>
  <c r="G40"/>
  <c r="G37"/>
  <c r="Q15" i="3"/>
  <c r="T15" i="2"/>
  <c r="G35" i="5"/>
  <c r="G34"/>
  <c r="G33"/>
  <c r="G32"/>
  <c r="G31"/>
  <c r="H37" l="1"/>
  <c r="H32"/>
  <c r="G29"/>
  <c r="G30"/>
  <c r="G28"/>
  <c r="G27"/>
  <c r="G26"/>
  <c r="G25"/>
  <c r="G24"/>
  <c r="G23"/>
  <c r="G22"/>
  <c r="G4" l="1"/>
  <c r="H4" s="1"/>
  <c r="G5"/>
  <c r="H5" s="1"/>
  <c r="G7"/>
  <c r="G8"/>
  <c r="G9"/>
  <c r="G10"/>
  <c r="G11"/>
  <c r="G12"/>
  <c r="G13"/>
  <c r="G14"/>
  <c r="G15"/>
  <c r="G16"/>
  <c r="G17"/>
  <c r="G18"/>
  <c r="G19"/>
  <c r="G20"/>
  <c r="G21"/>
  <c r="G3"/>
  <c r="H3" s="1"/>
  <c r="G114" i="4"/>
  <c r="G113"/>
  <c r="G111"/>
  <c r="H111" s="1"/>
  <c r="G110"/>
  <c r="G109"/>
  <c r="G108"/>
  <c r="H108" s="1"/>
  <c r="G107"/>
  <c r="G106"/>
  <c r="G105"/>
  <c r="G104"/>
  <c r="G103"/>
  <c r="G102"/>
  <c r="G101"/>
  <c r="G100"/>
  <c r="G99"/>
  <c r="G98"/>
  <c r="G97"/>
  <c r="G96"/>
  <c r="G95"/>
  <c r="H109" l="1"/>
  <c r="H113"/>
  <c r="H95"/>
  <c r="H12" i="5"/>
  <c r="H19"/>
  <c r="H7"/>
  <c r="G92" i="4"/>
  <c r="G93"/>
  <c r="G94"/>
  <c r="H92" l="1"/>
  <c r="G90"/>
  <c r="G89"/>
  <c r="G88"/>
  <c r="G87"/>
  <c r="N26" i="6" l="1"/>
  <c r="G45" i="4"/>
  <c r="G46"/>
  <c r="G47"/>
  <c r="G48"/>
  <c r="G49"/>
  <c r="G50"/>
  <c r="G51"/>
  <c r="G52"/>
  <c r="G53"/>
  <c r="G54"/>
  <c r="G55"/>
  <c r="H55" s="1"/>
  <c r="G56"/>
  <c r="G57"/>
  <c r="G58"/>
  <c r="G59"/>
  <c r="G60"/>
  <c r="G61"/>
  <c r="G62"/>
  <c r="G63"/>
  <c r="G64"/>
  <c r="G65"/>
  <c r="G66"/>
  <c r="G67"/>
  <c r="G68"/>
  <c r="G69"/>
  <c r="G70"/>
  <c r="G71"/>
  <c r="G72"/>
  <c r="G73"/>
  <c r="G74"/>
  <c r="G75"/>
  <c r="G76"/>
  <c r="G77"/>
  <c r="G78"/>
  <c r="G79"/>
  <c r="G80"/>
  <c r="H80" s="1"/>
  <c r="G81"/>
  <c r="H81" s="1"/>
  <c r="G82"/>
  <c r="H82" s="1"/>
  <c r="G83"/>
  <c r="G84"/>
  <c r="G85"/>
  <c r="G86"/>
  <c r="G44"/>
  <c r="G43"/>
  <c r="G42"/>
  <c r="G41"/>
  <c r="H41" s="1"/>
  <c r="G40"/>
  <c r="G39"/>
  <c r="H58" l="1"/>
  <c r="H52"/>
  <c r="H77"/>
  <c r="H63"/>
  <c r="H61"/>
  <c r="H45"/>
  <c r="H42"/>
  <c r="H83"/>
  <c r="G4"/>
  <c r="H4" s="1"/>
  <c r="G5"/>
  <c r="G6"/>
  <c r="G7"/>
  <c r="G8"/>
  <c r="G9"/>
  <c r="G10"/>
  <c r="G11"/>
  <c r="G12"/>
  <c r="G13"/>
  <c r="G14"/>
  <c r="H14" s="1"/>
  <c r="G15"/>
  <c r="G16"/>
  <c r="G17"/>
  <c r="G18"/>
  <c r="G19"/>
  <c r="H19" s="1"/>
  <c r="G20"/>
  <c r="H20" s="1"/>
  <c r="G21"/>
  <c r="G22"/>
  <c r="G23"/>
  <c r="G24"/>
  <c r="G25"/>
  <c r="G26"/>
  <c r="G27"/>
  <c r="G28"/>
  <c r="G29"/>
  <c r="G30"/>
  <c r="G31"/>
  <c r="G32"/>
  <c r="G33"/>
  <c r="G34"/>
  <c r="H34" s="1"/>
  <c r="G35"/>
  <c r="G36"/>
  <c r="G37"/>
  <c r="G38"/>
  <c r="G3"/>
  <c r="H3" s="1"/>
  <c r="H16" l="1"/>
  <c r="H35"/>
  <c r="H21"/>
  <c r="H5"/>
  <c r="H23"/>
  <c r="H32"/>
  <c r="G125" i="3" l="1"/>
  <c r="G124"/>
  <c r="G123"/>
  <c r="G119"/>
  <c r="G118"/>
  <c r="G115"/>
  <c r="H115" s="1"/>
  <c r="S8" i="4" l="1"/>
  <c r="Q4" i="3"/>
  <c r="R10"/>
  <c r="T4" i="2"/>
  <c r="U14"/>
  <c r="G112" i="3" l="1"/>
  <c r="G113"/>
  <c r="G114"/>
  <c r="G126"/>
  <c r="H126" s="1"/>
  <c r="G127"/>
  <c r="G128"/>
  <c r="G129"/>
  <c r="G130"/>
  <c r="G131"/>
  <c r="G132"/>
  <c r="G133"/>
  <c r="G134"/>
  <c r="G135"/>
  <c r="G136"/>
  <c r="G137"/>
  <c r="G138"/>
  <c r="G139"/>
  <c r="G140"/>
  <c r="G141"/>
  <c r="G142"/>
  <c r="H142" s="1"/>
  <c r="G143"/>
  <c r="G144"/>
  <c r="G145"/>
  <c r="G146"/>
  <c r="G147"/>
  <c r="G148"/>
  <c r="G149"/>
  <c r="G150"/>
  <c r="G151"/>
  <c r="G152"/>
  <c r="G153"/>
  <c r="G154"/>
  <c r="G155"/>
  <c r="G156"/>
  <c r="G157"/>
  <c r="G158"/>
  <c r="G159"/>
  <c r="G160"/>
  <c r="G161"/>
  <c r="G162"/>
  <c r="G163"/>
  <c r="G164"/>
  <c r="G165"/>
  <c r="G166"/>
  <c r="G167"/>
  <c r="G168"/>
  <c r="G169"/>
  <c r="G170"/>
  <c r="G171"/>
  <c r="G172"/>
  <c r="G173"/>
  <c r="G174"/>
  <c r="G175"/>
  <c r="G176"/>
  <c r="G177"/>
  <c r="G178"/>
  <c r="G179"/>
  <c r="G180"/>
  <c r="G181"/>
  <c r="G182"/>
  <c r="G183"/>
  <c r="G184"/>
  <c r="G185"/>
  <c r="G186"/>
  <c r="G187"/>
  <c r="G188"/>
  <c r="G189"/>
  <c r="G190"/>
  <c r="G191"/>
  <c r="G192"/>
  <c r="G193"/>
  <c r="G194"/>
  <c r="G195"/>
  <c r="G196"/>
  <c r="G197"/>
  <c r="G198"/>
  <c r="G199"/>
  <c r="G200"/>
  <c r="G201"/>
  <c r="G202"/>
  <c r="G203"/>
  <c r="G204"/>
  <c r="G205"/>
  <c r="G206"/>
  <c r="G207"/>
  <c r="G208"/>
  <c r="G209"/>
  <c r="G210"/>
  <c r="G211"/>
  <c r="G212"/>
  <c r="G213"/>
  <c r="G214"/>
  <c r="G215"/>
  <c r="G216"/>
  <c r="G217"/>
  <c r="G218"/>
  <c r="G219"/>
  <c r="G220"/>
  <c r="G221"/>
  <c r="G222"/>
  <c r="G223"/>
  <c r="G224"/>
  <c r="G225"/>
  <c r="G226"/>
  <c r="G227"/>
  <c r="G228"/>
  <c r="G229"/>
  <c r="G230"/>
  <c r="G231"/>
  <c r="G232"/>
  <c r="G233"/>
  <c r="G234"/>
  <c r="G235"/>
  <c r="G236"/>
  <c r="G237"/>
  <c r="G238"/>
  <c r="G239"/>
  <c r="G240"/>
  <c r="G241"/>
  <c r="G242"/>
  <c r="G243"/>
  <c r="G244"/>
  <c r="G245"/>
  <c r="G246"/>
  <c r="G247"/>
  <c r="G248"/>
  <c r="G249"/>
  <c r="G250"/>
  <c r="G251"/>
  <c r="G252"/>
  <c r="G253"/>
  <c r="G254"/>
  <c r="G255"/>
  <c r="G256"/>
  <c r="G257"/>
  <c r="G258"/>
  <c r="G259"/>
  <c r="G260"/>
  <c r="G261"/>
  <c r="G262"/>
  <c r="G263"/>
  <c r="G264"/>
  <c r="G265"/>
  <c r="G266"/>
  <c r="G267"/>
  <c r="G268"/>
  <c r="G269"/>
  <c r="G270"/>
  <c r="G271"/>
  <c r="G272"/>
  <c r="G273"/>
  <c r="G274"/>
  <c r="G275"/>
  <c r="G276"/>
  <c r="G277"/>
  <c r="G278"/>
  <c r="G279"/>
  <c r="G280"/>
  <c r="G281"/>
  <c r="G282"/>
  <c r="G283"/>
  <c r="G284"/>
  <c r="G285"/>
  <c r="G286"/>
  <c r="G287"/>
  <c r="G288"/>
  <c r="G289"/>
  <c r="G290"/>
  <c r="G291"/>
  <c r="G292"/>
  <c r="G293"/>
  <c r="G294"/>
  <c r="G295"/>
  <c r="G296"/>
  <c r="G297"/>
  <c r="G298"/>
  <c r="G299"/>
  <c r="G300"/>
  <c r="H133" l="1"/>
  <c r="H130"/>
  <c r="P25" i="2"/>
  <c r="N33" i="1"/>
  <c r="G17" i="3" l="1"/>
  <c r="G18"/>
  <c r="G19"/>
  <c r="G20"/>
  <c r="G21"/>
  <c r="G22"/>
  <c r="G23"/>
  <c r="G24"/>
  <c r="G25"/>
  <c r="G26"/>
  <c r="G27"/>
  <c r="G28"/>
  <c r="G29"/>
  <c r="G30"/>
  <c r="G31"/>
  <c r="G32"/>
  <c r="G33"/>
  <c r="G34"/>
  <c r="G35"/>
  <c r="G36"/>
  <c r="H36" s="1"/>
  <c r="G37"/>
  <c r="G38"/>
  <c r="G39"/>
  <c r="H39" s="1"/>
  <c r="G40"/>
  <c r="H40" s="1"/>
  <c r="G41"/>
  <c r="H41" s="1"/>
  <c r="G42"/>
  <c r="H42" s="1"/>
  <c r="G43"/>
  <c r="H43" s="1"/>
  <c r="G44"/>
  <c r="G45"/>
  <c r="G46"/>
  <c r="H46" s="1"/>
  <c r="G47"/>
  <c r="G48"/>
  <c r="G49"/>
  <c r="G50"/>
  <c r="G51"/>
  <c r="G52"/>
  <c r="G53"/>
  <c r="G54"/>
  <c r="G55"/>
  <c r="G56"/>
  <c r="G57"/>
  <c r="G58"/>
  <c r="G59"/>
  <c r="G60"/>
  <c r="G61"/>
  <c r="G62"/>
  <c r="G63"/>
  <c r="G64"/>
  <c r="G65"/>
  <c r="G66"/>
  <c r="G67"/>
  <c r="G68"/>
  <c r="G69"/>
  <c r="G70"/>
  <c r="G71"/>
  <c r="G72"/>
  <c r="G73"/>
  <c r="G74"/>
  <c r="G75"/>
  <c r="G76"/>
  <c r="G77"/>
  <c r="G78"/>
  <c r="G79"/>
  <c r="G80"/>
  <c r="G81"/>
  <c r="H81" s="1"/>
  <c r="G82"/>
  <c r="H82" s="1"/>
  <c r="G83"/>
  <c r="G84"/>
  <c r="G85"/>
  <c r="G86"/>
  <c r="G87"/>
  <c r="G88"/>
  <c r="G89"/>
  <c r="G90"/>
  <c r="G91"/>
  <c r="G92"/>
  <c r="G93"/>
  <c r="G94"/>
  <c r="G95"/>
  <c r="G96"/>
  <c r="G97"/>
  <c r="G98"/>
  <c r="G99"/>
  <c r="G100"/>
  <c r="G101"/>
  <c r="G102"/>
  <c r="G103"/>
  <c r="G104"/>
  <c r="G105"/>
  <c r="G106"/>
  <c r="G107"/>
  <c r="G108"/>
  <c r="G109"/>
  <c r="G110"/>
  <c r="G111"/>
  <c r="H29" l="1"/>
  <c r="H85"/>
  <c r="H108"/>
  <c r="H96"/>
  <c r="H68"/>
  <c r="H47"/>
  <c r="H44"/>
  <c r="H75"/>
  <c r="H53"/>
  <c r="H31"/>
  <c r="H17"/>
  <c r="H61"/>
  <c r="G16"/>
  <c r="H16" s="1"/>
  <c r="G15"/>
  <c r="G14"/>
  <c r="G13"/>
  <c r="H13" s="1"/>
  <c r="G12"/>
  <c r="G11"/>
  <c r="G10"/>
  <c r="G9"/>
  <c r="G8"/>
  <c r="G4"/>
  <c r="G5"/>
  <c r="G6"/>
  <c r="G7"/>
  <c r="G3"/>
  <c r="G72" i="2"/>
  <c r="H72" s="1"/>
  <c r="G71"/>
  <c r="H71" s="1"/>
  <c r="G70"/>
  <c r="H3" i="3" l="1"/>
  <c r="H14"/>
  <c r="H8"/>
  <c r="G64" i="2"/>
  <c r="G65"/>
  <c r="G66"/>
  <c r="G67"/>
  <c r="G68"/>
  <c r="H68" s="1"/>
  <c r="G69"/>
  <c r="H69" s="1"/>
  <c r="G51" l="1"/>
  <c r="G52"/>
  <c r="H52" s="1"/>
  <c r="G53"/>
  <c r="H53" s="1"/>
  <c r="G54"/>
  <c r="G55"/>
  <c r="H55" s="1"/>
  <c r="G56"/>
  <c r="G57"/>
  <c r="G58"/>
  <c r="G59"/>
  <c r="G60"/>
  <c r="G61"/>
  <c r="G62"/>
  <c r="G63"/>
  <c r="G50"/>
  <c r="G46"/>
  <c r="H46" s="1"/>
  <c r="G45"/>
  <c r="H45" s="1"/>
  <c r="G42"/>
  <c r="G43"/>
  <c r="G44"/>
  <c r="H44" s="1"/>
  <c r="H50" l="1"/>
  <c r="H56"/>
  <c r="G34"/>
  <c r="G35"/>
  <c r="G36"/>
  <c r="G37"/>
  <c r="G38"/>
  <c r="G39"/>
  <c r="G40"/>
  <c r="G41"/>
  <c r="H35" l="1"/>
  <c r="G33"/>
  <c r="H33" s="1"/>
  <c r="G32"/>
  <c r="H32" s="1"/>
  <c r="G31"/>
  <c r="H31" s="1"/>
  <c r="G30"/>
  <c r="H30" s="1"/>
  <c r="G29"/>
  <c r="G28"/>
  <c r="G27"/>
  <c r="G26"/>
  <c r="G25"/>
  <c r="G24"/>
  <c r="G23"/>
  <c r="G22"/>
  <c r="G21"/>
  <c r="G20"/>
  <c r="G19"/>
  <c r="G18"/>
  <c r="G17"/>
  <c r="G16"/>
  <c r="G15"/>
  <c r="G14"/>
  <c r="G13"/>
  <c r="G12"/>
  <c r="G11"/>
  <c r="G10"/>
  <c r="G3"/>
  <c r="H3" s="1"/>
  <c r="G4"/>
  <c r="G5"/>
  <c r="G7"/>
  <c r="G8"/>
  <c r="G9"/>
  <c r="H9" s="1"/>
  <c r="H4" l="1"/>
  <c r="H10"/>
  <c r="H16"/>
  <c r="H7"/>
  <c r="G101" i="1"/>
  <c r="H101" s="1"/>
  <c r="G104"/>
  <c r="G105"/>
  <c r="G106"/>
  <c r="G107"/>
  <c r="H107" s="1"/>
  <c r="G108"/>
  <c r="H108" s="1"/>
  <c r="G109"/>
  <c r="G110"/>
  <c r="G100"/>
  <c r="H100" s="1"/>
  <c r="H104" l="1"/>
  <c r="G98"/>
  <c r="G97"/>
  <c r="G96"/>
  <c r="G95"/>
  <c r="G94"/>
  <c r="G93"/>
  <c r="G92"/>
  <c r="G91"/>
  <c r="G90"/>
  <c r="G89"/>
  <c r="G88"/>
  <c r="G87"/>
  <c r="G86"/>
  <c r="G85"/>
  <c r="H92" l="1"/>
  <c r="H94"/>
  <c r="H96"/>
  <c r="H85"/>
  <c r="G84"/>
  <c r="G83"/>
  <c r="G82"/>
  <c r="G74"/>
  <c r="G79"/>
  <c r="G78"/>
  <c r="G81"/>
  <c r="G80"/>
  <c r="G59"/>
  <c r="G60"/>
  <c r="G61"/>
  <c r="H61" s="1"/>
  <c r="G62"/>
  <c r="G63"/>
  <c r="G64"/>
  <c r="G65"/>
  <c r="G66"/>
  <c r="G67"/>
  <c r="G68"/>
  <c r="G69"/>
  <c r="G70"/>
  <c r="G71"/>
  <c r="G72"/>
  <c r="G73"/>
  <c r="G75"/>
  <c r="G76"/>
  <c r="G77"/>
  <c r="G58"/>
  <c r="G57"/>
  <c r="H57" s="1"/>
  <c r="I92" l="1"/>
  <c r="H82"/>
  <c r="H80"/>
  <c r="H73"/>
  <c r="H62"/>
  <c r="H58"/>
  <c r="I62" l="1"/>
  <c r="G56" l="1"/>
  <c r="G55"/>
  <c r="H55" l="1"/>
  <c r="G31"/>
  <c r="H31" s="1"/>
  <c r="G32"/>
  <c r="G33"/>
  <c r="G34"/>
  <c r="G35"/>
  <c r="G36"/>
  <c r="G37"/>
  <c r="G38"/>
  <c r="G39"/>
  <c r="G40"/>
  <c r="G41"/>
  <c r="G42"/>
  <c r="G43"/>
  <c r="G44"/>
  <c r="G45"/>
  <c r="G47"/>
  <c r="G48"/>
  <c r="G49"/>
  <c r="G50"/>
  <c r="G51"/>
  <c r="G52"/>
  <c r="G53"/>
  <c r="H53" s="1"/>
  <c r="G54"/>
  <c r="H41" l="1"/>
  <c r="H51"/>
  <c r="H47"/>
  <c r="G6"/>
  <c r="H6" s="1"/>
  <c r="G7"/>
  <c r="G8"/>
  <c r="G9"/>
  <c r="G10"/>
  <c r="G11"/>
  <c r="G12"/>
  <c r="G13"/>
  <c r="G14"/>
  <c r="G15"/>
  <c r="G16"/>
  <c r="G17"/>
  <c r="G18"/>
  <c r="G19"/>
  <c r="G20"/>
  <c r="G21"/>
  <c r="G22"/>
  <c r="G23"/>
  <c r="G24"/>
  <c r="G25"/>
  <c r="G26"/>
  <c r="G27"/>
  <c r="G28"/>
  <c r="G29"/>
  <c r="G30"/>
  <c r="H30" s="1"/>
  <c r="G5"/>
  <c r="H5" s="1"/>
  <c r="I41" l="1"/>
  <c r="H23"/>
  <c r="H13"/>
  <c r="H20"/>
  <c r="H7"/>
</calcChain>
</file>

<file path=xl/sharedStrings.xml><?xml version="1.0" encoding="utf-8"?>
<sst xmlns="http://schemas.openxmlformats.org/spreadsheetml/2006/main" count="5069" uniqueCount="1511">
  <si>
    <t>BARANG MASUK ARAW FILM</t>
  </si>
  <si>
    <t>TGL MASUK</t>
  </si>
  <si>
    <t>NAMA BARANG</t>
  </si>
  <si>
    <t>SUPLIER</t>
  </si>
  <si>
    <t>QTY</t>
  </si>
  <si>
    <t>SAT</t>
  </si>
  <si>
    <t>HARGA/PCS/SET</t>
  </si>
  <si>
    <t>JUMLAH</t>
  </si>
  <si>
    <t>TOTAL FAKTUR</t>
  </si>
  <si>
    <t>KET</t>
  </si>
  <si>
    <t>NO</t>
  </si>
  <si>
    <t>TGL BARANG MASUK</t>
  </si>
  <si>
    <t>NAMA SALES/ SUPLIER</t>
  </si>
  <si>
    <t>JUMLAH BON</t>
  </si>
  <si>
    <t>BON JATUH TEMPO MEI 2021 ( JT)</t>
  </si>
  <si>
    <t>PB.IRWAN</t>
  </si>
  <si>
    <t>PB.LEO</t>
  </si>
  <si>
    <t>MR.BOSS</t>
  </si>
  <si>
    <t>HENDRIK</t>
  </si>
  <si>
    <t>JOVANINDO</t>
  </si>
  <si>
    <t>SALIM (MOBILINDO)</t>
  </si>
  <si>
    <t>JKI</t>
  </si>
  <si>
    <t>BON JATUH TEMPO JUNI 2021 ( JT)</t>
  </si>
  <si>
    <t>SARUNG JOK INNOVA LUXURY MB 8808</t>
  </si>
  <si>
    <t>SARUNG JOK INNOVA LUXURY MB 9001 +9010</t>
  </si>
  <si>
    <t>B'IDA</t>
  </si>
  <si>
    <t>SET</t>
  </si>
  <si>
    <t>FRONT GUARD (PLANG DEPAN) PAJERO '19 RHINO</t>
  </si>
  <si>
    <t>TJM</t>
  </si>
  <si>
    <t>TALANG AIR H-TECH HITAM ALL NEW PAJERO'16 D/T</t>
  </si>
  <si>
    <t>OUTER COVER ELEGANT BLACKTIVO JAZZ</t>
  </si>
  <si>
    <t>HANDLE COVER BLACKTIVO JAZZ</t>
  </si>
  <si>
    <t>SIDE SCUFF PLATE ACTIVO SPORTY W/LAMP AN RUSH</t>
  </si>
  <si>
    <t>JSL</t>
  </si>
  <si>
    <t>RENCANA CASH BLN MARET</t>
  </si>
  <si>
    <t>MEI</t>
  </si>
  <si>
    <t>JUNI</t>
  </si>
  <si>
    <t>STRETCHER AMBULANCE YDC 3B</t>
  </si>
  <si>
    <t>GM</t>
  </si>
  <si>
    <t xml:space="preserve">LUNAS </t>
  </si>
  <si>
    <t>SARUNG JOK RUSH'20 MB 9001 + 9005</t>
  </si>
  <si>
    <t>SARUNG JOK XPANDER MB 9001 + 9008</t>
  </si>
  <si>
    <t>BALANCE ARM FORTUNER MERAH</t>
  </si>
  <si>
    <t>LIS GRILL HITAM BRIO'20 ORI</t>
  </si>
  <si>
    <t>SPOILER BRIO MERAH</t>
  </si>
  <si>
    <t>SPOILER BRIO PUTIH</t>
  </si>
  <si>
    <t>SPOILER BRIO SILVER</t>
  </si>
  <si>
    <t>SPOILER BRIO HITAM</t>
  </si>
  <si>
    <t>FOGLAMP BRIO DLAA</t>
  </si>
  <si>
    <t>IRWAN</t>
  </si>
  <si>
    <t>KARPET MI 3 RAY BLACK GREY</t>
  </si>
  <si>
    <t>KARPET MI 3 RAY COFFE BEIGE</t>
  </si>
  <si>
    <t>KARPET MI 2 RAY BLACK GREY</t>
  </si>
  <si>
    <t>GARNIS LAMPU DEPAN HILUX'20 HITAM WITH LOGO</t>
  </si>
  <si>
    <t>GARNIS LAMPU BELAKANG HILUX'20 HITAM WITH LOGO</t>
  </si>
  <si>
    <t xml:space="preserve">GARNIS LAMPU DEPAN RUSH'18 HITAM </t>
  </si>
  <si>
    <t xml:space="preserve">GARNIS LAMPU BELAKANG RUSH'18 HITAM </t>
  </si>
  <si>
    <t xml:space="preserve">GARNIS LAMPU DEPAN PAJERO'18 HITAM </t>
  </si>
  <si>
    <t xml:space="preserve">GARNIS LAMPU BELAKANG PAJERO'18 HITAM </t>
  </si>
  <si>
    <t>KACA FILM WB 70i+ (1809200207K2A1)</t>
  </si>
  <si>
    <t>WINCOS</t>
  </si>
  <si>
    <t>ROL</t>
  </si>
  <si>
    <t xml:space="preserve">TOWING BELAKANG MCC (PLANG BELAKANG) PAJERO </t>
  </si>
  <si>
    <t>NVM</t>
  </si>
  <si>
    <t>JUNI TGL 10</t>
  </si>
  <si>
    <t>TV ANDROID 10' ENIGMA</t>
  </si>
  <si>
    <t>SALIM(MOBILINDO)</t>
  </si>
  <si>
    <t>APRIL</t>
  </si>
  <si>
    <t>SARUNG JOK G.AVANZA '20 HITAM</t>
  </si>
  <si>
    <t>SARUNG JOK G.AVANZA '20 HITAM/MERAH</t>
  </si>
  <si>
    <t>SARUNG JOK G.AVANZA '20 HITAM/GREY</t>
  </si>
  <si>
    <t>SARUNG JOK G.AVANZA '20 HITAM/COKLAT</t>
  </si>
  <si>
    <t>SARUNG JOK RUSH'20 HITAM</t>
  </si>
  <si>
    <t>SARUNG JOK CALYA '20 HITAM</t>
  </si>
  <si>
    <t>SARUNG JOK BRIO '20 HITAM</t>
  </si>
  <si>
    <t>SARUNG JOK BRIO '20 HITAM/GREY</t>
  </si>
  <si>
    <t>SARUNG JOK BRIO '20 HITAM/MERAH</t>
  </si>
  <si>
    <t>VALEO WIPER CB 16' 400MM</t>
  </si>
  <si>
    <t>VALEO WIPER CB 17' 425MM</t>
  </si>
  <si>
    <t>VALEO WIPER CB 18' 450MM</t>
  </si>
  <si>
    <t>VALEO WIPER CB 20' 500MM</t>
  </si>
  <si>
    <t>VALEO WIPER CB 22' 550MM</t>
  </si>
  <si>
    <t>VALEO WIPER CB 14' 350MM</t>
  </si>
  <si>
    <t>BONUS</t>
  </si>
  <si>
    <t>BRIO/AN BRIO'18 SIDE SCUFF PLATE BLACK</t>
  </si>
  <si>
    <t>AN PAJERO'16 SIDE SCUFF PLATE BLACK</t>
  </si>
  <si>
    <t>AVANZA/AGYA/AYLA HANDLE COVER EXCLUSIVE CHROME</t>
  </si>
  <si>
    <t>BRIO/AN BRIO'18 OUTER COVER ELEGANT CHROME</t>
  </si>
  <si>
    <t>GRATIS 1</t>
  </si>
  <si>
    <t>BESTCO CAR COVER AN BRIO 18</t>
  </si>
  <si>
    <t>BESTCO CAR COVER AN RUSH/ TERIOS 18</t>
  </si>
  <si>
    <t>LAMPU POLISI LED MERAH</t>
  </si>
  <si>
    <t>KACA FILM WINTERBLAST HCD 30G C 70 (2004230109EGAI)</t>
  </si>
  <si>
    <t xml:space="preserve"> WINCOWS</t>
  </si>
  <si>
    <t>FOOT STEP(TANGGA SAMPING) REVO ORI ( HILUX)</t>
  </si>
  <si>
    <t>GARNISH LAMPU BELAKANG FORTUNER</t>
  </si>
  <si>
    <t>GREAT</t>
  </si>
  <si>
    <t>OTOPROJECT</t>
  </si>
  <si>
    <t>OUTER PLASTIK CHROME MITSUBISHI MIRAGE</t>
  </si>
  <si>
    <t>DOOR HANDLE PLASTIK CHROME MITSUBISHI MIRAGE</t>
  </si>
  <si>
    <t>TANK COVER M.TAWON MIRAGE(HITAM)</t>
  </si>
  <si>
    <t>KARPET DASAR PAJERO SPORT'16 - ON BLACK</t>
  </si>
  <si>
    <t>HRV HANDLE COVER FRONT CHROME</t>
  </si>
  <si>
    <t>AN RUSH '18 TRD FOGLAMP COVER CHROME</t>
  </si>
  <si>
    <t>AN INNOVA'16 TRUNKLID FULL CHROME</t>
  </si>
  <si>
    <t>AN BRIO'18 REAR WINDOW TRIM CHROME</t>
  </si>
  <si>
    <t>HRV HANDLE COVER REAR CHROME</t>
  </si>
  <si>
    <t>AN PAJERO'16 OUTER COVER ELEGANT CHROME</t>
  </si>
  <si>
    <t>AN PAJERO'16 HEAD LAMP GARNISH  CHROME</t>
  </si>
  <si>
    <t>AN PAJERO'16 TAIL LAMP GARNISH CHROME</t>
  </si>
  <si>
    <t>AN INNOVA '16 HEAD LAMP GARNISH EXCLUSIVE CHROME</t>
  </si>
  <si>
    <t>AN INNOVA'16 TAIL LAMP GARNISH EXCLUSIVE CHROME</t>
  </si>
  <si>
    <t>HRV OUTER HANDLE COVER ELEGANT CHROME</t>
  </si>
  <si>
    <t>AN RUSH '18 /TERIOS HANDLE COVER KEYLESS BLACKTIVO</t>
  </si>
  <si>
    <t>AN BRIO '18 TAIL LAMP GARNISH BLACKTIVO</t>
  </si>
  <si>
    <t>MOBILIO /BRIO HEAD LAMP GARNISH BLACKTIVO</t>
  </si>
  <si>
    <t>BESTCO CAR COVER PAJERO'16</t>
  </si>
  <si>
    <t>BESTCO CAR COVER AVANZA</t>
  </si>
  <si>
    <t>INNOVA'16 SIDE SCUFF PLATE BLACK</t>
  </si>
  <si>
    <t>AN AVANZA/CALYA '16/ SIGRA'16 HANDLE COVER CHROME</t>
  </si>
  <si>
    <t>AVANZA OUTER COVER ELEGANT</t>
  </si>
  <si>
    <t>AVANZA/CALYA/SIGRA'16 HANDLE COVER CHROME</t>
  </si>
  <si>
    <t>MARET</t>
  </si>
  <si>
    <t>KARPET DASAR AGYA HITAM</t>
  </si>
  <si>
    <t>KARPET DASAR BRIO HITAM</t>
  </si>
  <si>
    <t>KARPET DASAR RUSH HITAM</t>
  </si>
  <si>
    <t>NVM(HANDOYO)</t>
  </si>
  <si>
    <t>PARFUM DEO SCENTS  COFFEE</t>
  </si>
  <si>
    <t>PARFUM DORFREE KERTAS  MORNING DEW</t>
  </si>
  <si>
    <t>PARFUM DORFREE KERTAS FRUITY</t>
  </si>
  <si>
    <t>PARFUM DORFREE KERTAS  TROPICAL FRUITY</t>
  </si>
  <si>
    <t>PARFUM DORFREE KERTAS HAWAIAN SWEET</t>
  </si>
  <si>
    <t>PARFUM DORFREE KERTAS STRAWBERRY</t>
  </si>
  <si>
    <t>DUS</t>
  </si>
  <si>
    <t>PCS</t>
  </si>
  <si>
    <t>FEBRUARI</t>
  </si>
  <si>
    <t>PARFUM</t>
  </si>
  <si>
    <t>F/S (TANGGA SAMPING)FORTUNER 12 (MDL ORI)</t>
  </si>
  <si>
    <t>AVANZA/AGYA/AYLA HANDLE COVER EXCLUSIVE BLACKTIVO</t>
  </si>
  <si>
    <t>RUSH'18 SILTPLATE BELAKANG</t>
  </si>
  <si>
    <t>BESTCO BAR (BODY COVER) BRIO'18</t>
  </si>
  <si>
    <t>BESTCO BAR (BODY COVER) CALYA/SIGRA'16</t>
  </si>
  <si>
    <t>BESTCO BAR (BODY COVER) INNOVA'16</t>
  </si>
  <si>
    <t>BESTCO BAR (BODY COVER) MOBILIO</t>
  </si>
  <si>
    <t>KACA FILM ANTI GORES-BLACK 20%</t>
  </si>
  <si>
    <t>KACA FILM 3M 60%</t>
  </si>
  <si>
    <t>DHARMESTA</t>
  </si>
  <si>
    <t>KARPET DASAR BRIO HITAM TIPIS</t>
  </si>
  <si>
    <t>PB.HERMAN</t>
  </si>
  <si>
    <t>BON JATUH TEMPO JULI 2021 ( JT)</t>
  </si>
  <si>
    <t>VENTE TV 2DIN DECKLESS ANDROID 10' PREMIUM</t>
  </si>
  <si>
    <t>JULI</t>
  </si>
  <si>
    <t>PAJERO'16 REAR TOWING BAR LONG</t>
  </si>
  <si>
    <t>INNOVA'16 REAR TOWING BAR LONG</t>
  </si>
  <si>
    <t>TITIPAN</t>
  </si>
  <si>
    <t xml:space="preserve">TOWING  BELAKANG ARB CALYA/SIGRA </t>
  </si>
  <si>
    <t>TOWING  BELAKANG ARB AVANZA/RUSH'18</t>
  </si>
  <si>
    <t>TOWING  BELAKANG ARB XPANDER</t>
  </si>
  <si>
    <t>AM77</t>
  </si>
  <si>
    <t>CASH BLN JANUARI</t>
  </si>
  <si>
    <t>TALANG AIR  BRIO SLIM</t>
  </si>
  <si>
    <t>KO AKHON</t>
  </si>
  <si>
    <t>TALANG AIR JUMBO CANTER CARBON(HITAM)</t>
  </si>
  <si>
    <t>KARPET KARET 3PC HITAM</t>
  </si>
  <si>
    <t>HERMAN</t>
  </si>
  <si>
    <t>KARPET DASAR AGYA BLACK</t>
  </si>
  <si>
    <t>KARPET DASAR BRIO BLACK</t>
  </si>
  <si>
    <t>AVANZA/AGYA/AYLA OUTER CHROME</t>
  </si>
  <si>
    <t>MOBILIO/BRIO/BRV'16 HANDLE HITAM</t>
  </si>
  <si>
    <t>BRIO'18 SCUFF PLATE ACTIVO W/REFLECTOR</t>
  </si>
  <si>
    <t>RUSH/TERIOS/AVANZA/XENIA'19 MIROR COVER BLACK</t>
  </si>
  <si>
    <t>KARPET DASAR BRIO TIPIS</t>
  </si>
  <si>
    <t>KARPET KARET SMOKE TRANSPARAN</t>
  </si>
  <si>
    <t>FIRE STOP (RACUN API)</t>
  </si>
  <si>
    <t>LAMPU SOROT ATAP 90CM</t>
  </si>
  <si>
    <t>LAMPU SOROT ATAP 110CM</t>
  </si>
  <si>
    <t>DAUBLE TIPE HIJAU</t>
  </si>
  <si>
    <t>LUNAS TF 2/2</t>
  </si>
  <si>
    <t>HANDLE AVANZA VELOZ HITAM</t>
  </si>
  <si>
    <t>HANDLE DEPAN HRV KEYLESS HITAM</t>
  </si>
  <si>
    <t>HANDLE PAJERO'16 HITAM</t>
  </si>
  <si>
    <t>HANDLE BRIO HITAM</t>
  </si>
  <si>
    <t>TANKI HRV HITAM</t>
  </si>
  <si>
    <t>TANKI BRIO HITAM</t>
  </si>
  <si>
    <t>TANKI RUSH HITAM</t>
  </si>
  <si>
    <t>HANDLE OUTER BELAKANG HRV HITAM (2PCS)</t>
  </si>
  <si>
    <t>HANDLE OUTER BELAKANG HRV HITAM (6PCS)</t>
  </si>
  <si>
    <t>OUTER BRIO HITAM</t>
  </si>
  <si>
    <t>OUTER INNOVA'16 CHROME</t>
  </si>
  <si>
    <t>GARNIS LAMPU DEPAN HRV'20 HITAM</t>
  </si>
  <si>
    <t>GARNIS LAMPU BELAKANG HRV'20 HITAM</t>
  </si>
  <si>
    <t>KACA FILM SRC 60-BLACK (ANTI GORES 60% SLR)</t>
  </si>
  <si>
    <t>KACA FILM 4 MILI IR XT BLACK05 (KF CPF1 BLACK SECURITY 80%)</t>
  </si>
  <si>
    <t>HOOD MOLDING INNOVA'16</t>
  </si>
  <si>
    <t>SARUNG JOK RUSH 2021 (MB 9001 BLACK)</t>
  </si>
  <si>
    <t>HANDLE RUSH'18 SMARTKEY HITAM</t>
  </si>
  <si>
    <t>SILICON KUNCI PAJERO'16 HITAM</t>
  </si>
  <si>
    <t>SILICON KUNCI BRIO HITAM</t>
  </si>
  <si>
    <t>COVER MITSUBISHI XPANDER MERAH D/B</t>
  </si>
  <si>
    <t>COVER MITSUBISHI XPANDER HITAM D/B</t>
  </si>
  <si>
    <t>DOOR GUARD BRAVO TOYOTA HITAM</t>
  </si>
  <si>
    <t>DOOR GUARD BRAVO MITSUBISHI HITAM</t>
  </si>
  <si>
    <t>KACA FILM WINTERBLAST HCD 10G C 70 (2004230044EGAG)</t>
  </si>
  <si>
    <t>KACA FILM WINTERBLAST HCD 30G C 70 (2002030152K2A4)</t>
  </si>
  <si>
    <t>WINCOWS</t>
  </si>
  <si>
    <t>BRIO</t>
  </si>
  <si>
    <t>RUSH/TERIOS'18 FOGLAMP COVER M/TRD BLACKTIVO</t>
  </si>
  <si>
    <t>LOGO HONDA CHROME BRIO BELAKANG</t>
  </si>
  <si>
    <t>FRONT GUARD PAJERO 19 RHINO (V-2) + LED + SWITCH</t>
  </si>
  <si>
    <t>LUNAS TF 15/2</t>
  </si>
  <si>
    <t>KACA FILM WINTERBLAST HCD 10G C 70 (2004230019EGAI)</t>
  </si>
  <si>
    <t>KACA FILM WINTERBLAST HCD 10G C 70 (2004230018EGAH)</t>
  </si>
  <si>
    <t>KACA FILM WINTERBLAST HCD 30G C 70 (2004240102EGAC)</t>
  </si>
  <si>
    <t>SARUNG JOK BRIO VARIASI HITAM+MERAH</t>
  </si>
  <si>
    <t>SARUNG JOK BRIO VARIASI HITAM+CREAM</t>
  </si>
  <si>
    <t>KACA FILM WINCOS PREMIUM 50%</t>
  </si>
  <si>
    <t>LUNAS TF 16/2</t>
  </si>
  <si>
    <t>KACA FILM WINCOS PREMIUM 80%</t>
  </si>
  <si>
    <t>SARUNG JOK INNOVA RIBON MB-TEACH(MB 9013+9012)</t>
  </si>
  <si>
    <t>BODY KIT/OVER FENDER PAJERO'16 MDL ROCKFOR</t>
  </si>
  <si>
    <t>STIKER CARBON BLACK GLOSSY</t>
  </si>
  <si>
    <t>STIKER CARBON BLACK DOFF</t>
  </si>
  <si>
    <t>KABEL KLAKSON MX(RELAY BOSCH)</t>
  </si>
  <si>
    <t>TOWING BAR MCC RUSH/TERIOS'18</t>
  </si>
  <si>
    <t>TOWING BAR MCC PAJERO SPORT FULL</t>
  </si>
  <si>
    <t>ANTENA SIRIP HIU HYBIRD BLACK</t>
  </si>
  <si>
    <t>ANTENA SIRIP HIU HYBIRD GREY (MS)</t>
  </si>
  <si>
    <t>TURBO TIMER TY INNOVA ALL NEW I-CONCEPT</t>
  </si>
  <si>
    <t>SENSOR PARKING 2T LEOPARD</t>
  </si>
  <si>
    <t>CAMERA BLK ENIGMA (INFRA RED) JCS-606</t>
  </si>
  <si>
    <t>LAMPU ROOF LED (DOUBLE 90 CM) P1006K-2 BLUE-BLUE</t>
  </si>
  <si>
    <t>KLAKSON HELLA KEONG BIRU (TWIN TONE) 3 FH</t>
  </si>
  <si>
    <t>KLAKSON HELLA KEONG BLACK (TWIN TONE) 3 FH</t>
  </si>
  <si>
    <t>TOWING BAR MCC XPANDER</t>
  </si>
  <si>
    <t>TOWING BAR MCC FORTUNER/INNOVA</t>
  </si>
  <si>
    <t>KABEL LAMPU A VSS</t>
  </si>
  <si>
    <t>IRFAN</t>
  </si>
  <si>
    <t xml:space="preserve">FRONT GUARD PAJERO 19 RHINO (V-2) </t>
  </si>
  <si>
    <t>.</t>
  </si>
  <si>
    <t>KACA FILM WINTERBLAST HCD 10G C 70 (2004270009KA2D)</t>
  </si>
  <si>
    <t>KACA FILM WINTERBLAST HCD 10G C 70 (2004270012K2AJ)</t>
  </si>
  <si>
    <t>KACA FILM WINTERBLAST HCD 30G C 70 (2004240025EGAG)</t>
  </si>
  <si>
    <t>SARUNG JOK BRIO HITAM MERAH</t>
  </si>
  <si>
    <t>SARUNG JOK BRIO HITAM CREAM</t>
  </si>
  <si>
    <t>SARUNG JOK BRIO HITAM PUTIH</t>
  </si>
  <si>
    <t>SARUNG JOK RUSH HITAM MERAH</t>
  </si>
  <si>
    <t>SARUNG JOK RUSH HITAM CREAM</t>
  </si>
  <si>
    <t>GARNIS LAMPU DEPAN HRV'18 CHROME</t>
  </si>
  <si>
    <t>GARNIS LAMPU BELAKANG HRV'18 CHROME</t>
  </si>
  <si>
    <t>GARNIS LAMPU DEPAN HRV'18 BLACKDOFF</t>
  </si>
  <si>
    <t>GARNIS LAMPU DEPAN RUSH'18 BLACKDOFF</t>
  </si>
  <si>
    <t>GARNIS LAMPU BELAKANG RUSH'18 BLACKDOFF</t>
  </si>
  <si>
    <t>FOGLAMP BRIO'18 (DRL)</t>
  </si>
  <si>
    <t>AGUSTUS</t>
  </si>
  <si>
    <t>BON JATUH TEMPO AGUSTUS 2021 ( JT)</t>
  </si>
  <si>
    <t>KARPET MI 2 RAY ABU HITAM</t>
  </si>
  <si>
    <t>KARPET MI 2 RAY CREAM COKLAT</t>
  </si>
  <si>
    <t>KACA FILM SRC 80 BLACK (AG 80%)</t>
  </si>
  <si>
    <t>TANKI INNOVA HITAM</t>
  </si>
  <si>
    <t>OUTER INNOVA HITAM</t>
  </si>
  <si>
    <t>HANDLE INNOVA HITAM</t>
  </si>
  <si>
    <t>TANKI YARIS'18 HITAM</t>
  </si>
  <si>
    <t>DIFFUSER BRIO'18</t>
  </si>
  <si>
    <t>SILT PLAT SAMPING BRIO'18</t>
  </si>
  <si>
    <t>SILT PLAT SAMPING BRIO'18 LED</t>
  </si>
  <si>
    <t>HANDLE CRV'17 HITAM</t>
  </si>
  <si>
    <t>OUTER CRV'17 HITAM</t>
  </si>
  <si>
    <t>TANKI CRV'18 HITAM</t>
  </si>
  <si>
    <t>TDK ORDER</t>
  </si>
  <si>
    <t>SPOILER BRIO'18 PUTIH</t>
  </si>
  <si>
    <t>SPOILER BRIO'18 GRAY</t>
  </si>
  <si>
    <t>KARPET DASAR YARIS HITAM</t>
  </si>
  <si>
    <t>KARPET DASAR AVANZA HITAM</t>
  </si>
  <si>
    <t>KARPET DASAR XPANDER HITAM</t>
  </si>
  <si>
    <t>SARUNG STIR MB TECH HITAM MERAH</t>
  </si>
  <si>
    <t>LUNAS 5/3</t>
  </si>
  <si>
    <t>TOWING ARB RUSH'18 MODEL FULL BODY KAKI PISAH</t>
  </si>
  <si>
    <t>ROYAL CITY</t>
  </si>
  <si>
    <t>SARUNG JOK SATYA HITAM MERAH</t>
  </si>
  <si>
    <t>SARUNG JOK GRAND INNOVA HITAM COKLAT</t>
  </si>
  <si>
    <t>BUK IDA</t>
  </si>
  <si>
    <t>FOOTSTEP (TANGGA)SAMPING INNOVA</t>
  </si>
  <si>
    <t>KARPET MI 3 RAY HITAM GREY</t>
  </si>
  <si>
    <t>FRONT GRILL RUSH'18 APOLLO BLACK+LIST CHROME</t>
  </si>
  <si>
    <t>SARUNG JOK GRAND AVANZA HITAM+MERAH VARIASI</t>
  </si>
  <si>
    <t>OTO PROJECT</t>
  </si>
  <si>
    <t>SARUNG JOK GRAND AVANZA HITAM+GRAY VARIASI</t>
  </si>
  <si>
    <t>KACA FILM SPARTA 40%</t>
  </si>
  <si>
    <t>SARUNG JOK RUSH'20 HITAM+GRAY VARIASI</t>
  </si>
  <si>
    <t>SARUNG JOK RUSH'20 HITAM+MERAH VARIASI</t>
  </si>
  <si>
    <t>SARUNG JOK XPANDER CROSS'20 HITAM+MERAH VARIASI</t>
  </si>
  <si>
    <t>SARUNG JOK INNOVA'20 HITAM+COKLAT VARIASI</t>
  </si>
  <si>
    <t>SARUNG JOK BRIO RS'20 HITAM</t>
  </si>
  <si>
    <t>TANGGA SAMPING RUSH'18 ORI</t>
  </si>
  <si>
    <t>TRUNK LID FORTUNER'16 RUNING</t>
  </si>
  <si>
    <t>KARET PINTU HONDA</t>
  </si>
  <si>
    <t>KARET PINTU DAIHATSU</t>
  </si>
  <si>
    <t>TURBO TIMER INNOVA RIBON</t>
  </si>
  <si>
    <t>GERNIS DEPAN ATAS PAJERO'21 HITAM</t>
  </si>
  <si>
    <t>GARNIS DEPAN BAWAH PAJERO'21 HITAM</t>
  </si>
  <si>
    <t>GARNIS BELAKANG PAJERO'21 HITAM</t>
  </si>
  <si>
    <t>SARUNG JOK BRIO'20 HITAM</t>
  </si>
  <si>
    <t xml:space="preserve">SARUNG JOK BRIO RS'20 HITAM+GRAY </t>
  </si>
  <si>
    <t>SARUNG JOK GRAND AVANZA'20 HITAM</t>
  </si>
  <si>
    <t xml:space="preserve">SARUNG JOK BRIO'20 HITAM </t>
  </si>
  <si>
    <t>SARUNG JOK INNOVA TIPE G HITAM+COKLAT</t>
  </si>
  <si>
    <t>SARUNG JOK BRIO SATYA (MB 9007+9004)</t>
  </si>
  <si>
    <t>SARUNG JOK BRIO RS (MB 9001+7002)</t>
  </si>
  <si>
    <t xml:space="preserve">SARUNG JOK INNOVA V 20 HITAM </t>
  </si>
  <si>
    <t xml:space="preserve">SARUNG JOK XPANDER CROSS 20 HITAM </t>
  </si>
  <si>
    <t xml:space="preserve">SARUNG JOK KARIMUN WAGON 20 HITAM </t>
  </si>
  <si>
    <t xml:space="preserve">SARUNG JOK BRIO SATYA 20 HITAM </t>
  </si>
  <si>
    <t xml:space="preserve">SARUNG JOK HRV 21 HITAM </t>
  </si>
  <si>
    <t xml:space="preserve">SARUNG JOK HILUX 21 HITAM </t>
  </si>
  <si>
    <t xml:space="preserve">SARUNG JOK INNOVA G 20 HITAM </t>
  </si>
  <si>
    <t>SARUNG JOK BRIO SATYA 20 HITAM  CAPPUCINO</t>
  </si>
  <si>
    <t>SARUNG JOK BRIO RS 20 HITAM CAPPUCINO</t>
  </si>
  <si>
    <t xml:space="preserve">SARUNG JOK AVANZA HITAM CAPPUCINO 20 HITAM </t>
  </si>
  <si>
    <t>BODY COVER PAJERO SPORT'16 HITAM BIRU</t>
  </si>
  <si>
    <t>BODY COVER PAJERO SPORT'16 HITAM MERAH</t>
  </si>
  <si>
    <t>BODY COVER FORTUNER'16 HITAM MERAH</t>
  </si>
  <si>
    <t>LUNAS TF 13/3</t>
  </si>
  <si>
    <t>FOOTSTEP(TANGGA) SAMPING HRV</t>
  </si>
  <si>
    <t>KACA FILM WINCOS WB 70i+  (2011200010K2AS)</t>
  </si>
  <si>
    <t>LUNAS</t>
  </si>
  <si>
    <t>SARUNG JOK MB-TEACH RUSH'19 (8801-BLACK)</t>
  </si>
  <si>
    <t>SARUNG JOK MB-TEACH FORTUNER'13(9012-9007)</t>
  </si>
  <si>
    <t>LED TEMBAK RING BULAT PUTIH ICC</t>
  </si>
  <si>
    <t>MOBILINDO</t>
  </si>
  <si>
    <t>LED TEMBAK RING BULAT MERAH</t>
  </si>
  <si>
    <t>BUMPER KAP MESIN PAJERO</t>
  </si>
  <si>
    <t>BUMPER KAP MESIN INNOVA REBORN</t>
  </si>
  <si>
    <t>BUMPER KAP MESIN HRV</t>
  </si>
  <si>
    <t>LED TEMBAK 6 LED PUTIH KUNING</t>
  </si>
  <si>
    <t>LED TEMBAK 12 LED BIRU STROBO</t>
  </si>
  <si>
    <t>LED TEMBAK 16 LED SEGI HITAM</t>
  </si>
  <si>
    <t>LED TEMBAK 16 LED SEGI MERAH</t>
  </si>
  <si>
    <t>LED TEMBAK 12 LED 4 SISI</t>
  </si>
  <si>
    <t>LED TEMBAK 20 CM</t>
  </si>
  <si>
    <t>LED TEMBAK 48 LED</t>
  </si>
  <si>
    <t>HEADLAMP BULAT 7"</t>
  </si>
  <si>
    <t>SARUNG STIR MSV HITAM</t>
  </si>
  <si>
    <t>SARUNG STIR KULIT</t>
  </si>
  <si>
    <t>HEADLAMP KOTAK 7"</t>
  </si>
  <si>
    <t>HEADLAMP KOTAK 7" 15 LED</t>
  </si>
  <si>
    <t>HEADLAMP BULAT 7" TRANSFORMER</t>
  </si>
  <si>
    <t>LED TEMBAK BAUT 6 LED PUTIH</t>
  </si>
  <si>
    <t>PARFUM PEACHE BEUTY</t>
  </si>
  <si>
    <t>PARFUM ELDRAN</t>
  </si>
  <si>
    <t>DOORLIGHT WARNING</t>
  </si>
  <si>
    <t>LED TEMBAK 24 LED 2 SISI STROBO</t>
  </si>
  <si>
    <t>LED DRL BIRU-BIRU</t>
  </si>
  <si>
    <t>LED DRL BIRU-MERAH</t>
  </si>
  <si>
    <t>LED TEMBAK 3 MATA</t>
  </si>
  <si>
    <t>LED TEMBAK 15 LED PUTIH KUNING</t>
  </si>
  <si>
    <t>LED TEMBAK BULAT 7" MERAH</t>
  </si>
  <si>
    <t>LED TEMBAK BULAT 7" HITAM</t>
  </si>
  <si>
    <t>DUDUKAN KAP MESIN</t>
  </si>
  <si>
    <t>4 JUTA BULAN 8,SISANYA BULAN 9</t>
  </si>
  <si>
    <t>EMBLEM RS ORI</t>
  </si>
  <si>
    <t>SEPTEMBER</t>
  </si>
  <si>
    <t>BON JATUH TEMPO SEPTEMBER 2021 ( JT)</t>
  </si>
  <si>
    <t>KACA FILM WB BRIO 60%</t>
  </si>
  <si>
    <t>KACA FILM WB BRIO 40%</t>
  </si>
  <si>
    <t>KACA FILM WB BRIO 80%</t>
  </si>
  <si>
    <t>SARUNG JOK KARIMUN WAGON 20 HITAM+CAPUCINO</t>
  </si>
  <si>
    <t>SARUNG JOK G.AVANZA 20 HITAM+CAPUCINO</t>
  </si>
  <si>
    <t>SARUNG JOK HRV 20 HITAM+MERAH</t>
  </si>
  <si>
    <t>SARUNG JOK BRIO SATYA '18 HITAM+MERAH</t>
  </si>
  <si>
    <t>SARUNG JOK BRIO SATYA 20 HITAM+MERAH</t>
  </si>
  <si>
    <t>SARUNG JOK BRIO SATYA 20 HITAM+MOCCA</t>
  </si>
  <si>
    <t>SARUNG JOK BRIO RS 20 HITAM+MERAH</t>
  </si>
  <si>
    <t>SARUNG JOK WAGON R 20 HITAM+MERAH</t>
  </si>
  <si>
    <t>BODY COVER RUSH HITAM BIRU</t>
  </si>
  <si>
    <t>BODY COVER RUSH HITAM MERAH</t>
  </si>
  <si>
    <t>BODY COVER BRIO HITAM MERAH</t>
  </si>
  <si>
    <t>BELUM</t>
  </si>
  <si>
    <t>KONFIRMASI</t>
  </si>
  <si>
    <t>SALES</t>
  </si>
  <si>
    <t>(SEPTEMBER)</t>
  </si>
  <si>
    <t>SILICON KUNCI RUSH'2018 HITAM</t>
  </si>
  <si>
    <t>SILICON KUNCI PAJERO'2018 HITAM</t>
  </si>
  <si>
    <t>TALANG AIR BRIO POLOS</t>
  </si>
  <si>
    <t>PARFUM GUCCI</t>
  </si>
  <si>
    <t>PARFUM YSL</t>
  </si>
  <si>
    <t>PARFUM DIOR</t>
  </si>
  <si>
    <t>PARFUM DAVIDOFF</t>
  </si>
  <si>
    <t>PARFUM BLACK OPIUM</t>
  </si>
  <si>
    <t>PARFUM SWITIZAL</t>
  </si>
  <si>
    <t>PARFUM CHANEL</t>
  </si>
  <si>
    <t>PARFUM LV</t>
  </si>
  <si>
    <t>PARFUM BOCCARAT</t>
  </si>
  <si>
    <t>KARPET MIE 3 RAY (HITAM) ( POTONGAN)</t>
  </si>
  <si>
    <t>GPS GT 06N</t>
  </si>
  <si>
    <t>ASMIATI</t>
  </si>
  <si>
    <t>TOWING BAR MCC, TY FORTUNER 10-16/ INNOVA 12-16</t>
  </si>
  <si>
    <t>GARNIS LAMPU DEPAN INNOVA'16 CHROME</t>
  </si>
  <si>
    <t>MIRROR COVER CHROME INNOVA'16/FORTUNER'16</t>
  </si>
  <si>
    <t>GARNIS LAMPU DEPAN CALYA'19 CHROME</t>
  </si>
  <si>
    <t>GARNIS LAMPU BELAKANG CALYA'16 CHROME</t>
  </si>
  <si>
    <t>GARNIS LAMPU DEPAN PAJERO '16 HITAM</t>
  </si>
  <si>
    <t>GARNIS LAMPU BELAKANG PAJERO'16 HITAM</t>
  </si>
  <si>
    <t>OUTER CHROME INNOVA'16</t>
  </si>
  <si>
    <t>SILT PLATE SAMPING AVANZA/XENIA</t>
  </si>
  <si>
    <t>SILT PLATE BELAKANG BRIO'19</t>
  </si>
  <si>
    <t>BESTCO(BODY COVER )XPANDER</t>
  </si>
  <si>
    <t>SARUNG JOK MB AGYA (MB 9001+9006)</t>
  </si>
  <si>
    <t>OUTER HITAM RUSH'18</t>
  </si>
  <si>
    <t>GARNIS LAMPU BELAKANG INNOVA'16 CHROME</t>
  </si>
  <si>
    <t>TANKI RUSH '18 HITAM</t>
  </si>
  <si>
    <t>TV ANDROID ENIGMA 10"</t>
  </si>
  <si>
    <t>LUNAS 06/04/2021</t>
  </si>
  <si>
    <t>KARPET KARET 3D HITAM</t>
  </si>
  <si>
    <t>FRONT GUARD(PLANG DEPAN)RHINO GUARD PAJERO'19</t>
  </si>
  <si>
    <t>FRONT GUARD(PLANG DEPAN)RHINO GUARD FORTUNER'16</t>
  </si>
  <si>
    <t>LUNAS TF 10/4</t>
  </si>
  <si>
    <t>AN INNOVA 16 SIDE WINDOW TRIM CHROME 8PCS</t>
  </si>
  <si>
    <t>AN INNOVA 16 SIDE BODY MOLDING CHROME</t>
  </si>
  <si>
    <t>CALYA 19/ SIGRA 19 HEAD LAMP GARNISH BLACKTIVO</t>
  </si>
  <si>
    <t>CALYA 16/SIGRA 16 TAIL LAMP GARNISH BLACTIVO</t>
  </si>
  <si>
    <t>KACAFILM WINTERBLAS HCD 10G C 70 (2101080049KA2E)</t>
  </si>
  <si>
    <t>KACAFILM WINTERBLAS HCD 10G C 70 (2101080052KA28)</t>
  </si>
  <si>
    <t>KACAFILM WINTERBLAS HCD 30G C 70 (2004240080EGAH)</t>
  </si>
  <si>
    <t>SARUNG JOK GRAND INNOVA G mb 9001 BD + 9012 BD</t>
  </si>
  <si>
    <t>SARUNG JOK XPANDER mb 9001 + 9015</t>
  </si>
  <si>
    <t>SPOILER BRIO'18 BLACK</t>
  </si>
  <si>
    <t>SPOILER BRIO'18 RED</t>
  </si>
  <si>
    <t>LUNAS 13 APRIL 2021</t>
  </si>
  <si>
    <t xml:space="preserve">LEM 3M </t>
  </si>
  <si>
    <t>LEO</t>
  </si>
  <si>
    <t>KARPET DASAR PAJERO'16 HITAM</t>
  </si>
  <si>
    <t>KARPET DASAR FORTUNER HITAM</t>
  </si>
  <si>
    <t>KARPET DASAR BRIO'18 HITAM</t>
  </si>
  <si>
    <t>KARPET DASAR INNOVA'16 HITAM</t>
  </si>
  <si>
    <t>SARUNG STIR MBTECH</t>
  </si>
  <si>
    <t>DI TAMBAH + DIFFUSER 13 SET (4.225.000) TOTAL Rp 10.045.000</t>
  </si>
  <si>
    <t>TALANG AIR H-TECH HITAM XPANDER (D/T)</t>
  </si>
  <si>
    <t>MR. BOSS</t>
  </si>
  <si>
    <t>MOBILIO 17 RS / AN BRIO 18 HEAD LAMP GARNIS BLACKIVO</t>
  </si>
  <si>
    <t>AN BRIO 18 TAIL LAMP GARNISH BLACKTIVO</t>
  </si>
  <si>
    <t>XPANDER 17 OUTER HANDLE COVER ELEGANT BLACKTIVO</t>
  </si>
  <si>
    <t xml:space="preserve">AN INNOVA 16 TANK COVER PRESTIGE </t>
  </si>
  <si>
    <t xml:space="preserve">PCS </t>
  </si>
  <si>
    <t>XPANDER 17 TANK COVER BESTIVO BLACKTIVO</t>
  </si>
  <si>
    <t>AN AVANZA TANK COVER CROSSTIVO BLACKTIVO</t>
  </si>
  <si>
    <t xml:space="preserve">AN AVANZA / AN XENIA SIDE SCUFF PLATE BLACK </t>
  </si>
  <si>
    <t>AN RUSH 18 TANK COVER CADILLAC BLACKTIVO</t>
  </si>
  <si>
    <t>AN BRIO 18 TANK COVER CADILLAC BLACKTIVO</t>
  </si>
  <si>
    <t>SARUNG JOK INNOVA AN 16 (G) S/S GARIS 04 VL. HITAM + COKLAT</t>
  </si>
  <si>
    <t xml:space="preserve">SARUNG JOK INNOVA AN 16 (V). S/S GARIS 04 VL HITAM+ COKLAT </t>
  </si>
  <si>
    <t xml:space="preserve">SARUNG JOK INNOVA AN 16 (V). S/S GARIS 01 VL HITAM+ COKLAT </t>
  </si>
  <si>
    <t>DIKEMBALIKAN</t>
  </si>
  <si>
    <t>KANEBO</t>
  </si>
  <si>
    <t>BODYBAG</t>
  </si>
  <si>
    <t>OKTOBER</t>
  </si>
  <si>
    <t>BON JATUH TEMPO OKTOBER 2021 ( JT)</t>
  </si>
  <si>
    <t>SUNMASTER</t>
  </si>
  <si>
    <t>PLANG BELAKANG ARB AVANZA/RUSH'18</t>
  </si>
  <si>
    <t>PLANG BELAKANG ARB CALYA/SIGRA</t>
  </si>
  <si>
    <t>LUNAS TF 30/1</t>
  </si>
  <si>
    <t>KACA FILM XAP-35 (INFINITY 40%)</t>
  </si>
  <si>
    <t xml:space="preserve">SARUNG JOK GRAND LIVINA 2019 MB.9001 LIS MERAH+ 2 BH BANTAL </t>
  </si>
  <si>
    <t>BODY COVER BRIO</t>
  </si>
  <si>
    <t>BODY COVER AGYA / AYLA</t>
  </si>
  <si>
    <t>GARNIS LAMPU DEPAN FORTUNER '16 HITAM DOFF</t>
  </si>
  <si>
    <t>GARNIS LAMPU BELAKANG FORTUNER '16 HITAM DOFF</t>
  </si>
  <si>
    <t>GARNIS LAMPU DEPAN XPANDER CROSS HITAM DOFF</t>
  </si>
  <si>
    <t>GARNIS LAMPU BELAKANG XPANDER CROSS HITAM DOFF</t>
  </si>
  <si>
    <t>GARNIS LAMPU DEPAN HILUX '21 HITAM DOFF</t>
  </si>
  <si>
    <t>GARNIS LAMPU BELAKANG HILUX '21 HITAM DOFF</t>
  </si>
  <si>
    <t>GARNIS LAMPU DEPAN BRIO '18 HITAM DOFF</t>
  </si>
  <si>
    <t>GARNIS LAMPU BELAKANG BRIO'18 HITAM DOFF</t>
  </si>
  <si>
    <t>HANDLE FORTUNER'16 HITAM DOFF</t>
  </si>
  <si>
    <t>GARNIS LAMPU DEPAN HRV'18 HITAM DOFF</t>
  </si>
  <si>
    <t>GARNIS LAMPU BELAKANG HRV'18 HITAM DOFF</t>
  </si>
  <si>
    <t>HANDLE HRV HITAM DOFF</t>
  </si>
  <si>
    <t>OUTER HRV HITAM DOFF</t>
  </si>
  <si>
    <t>TANKI HRV HITAM DOFF</t>
  </si>
  <si>
    <t>SEPTEMBER (AWAL)</t>
  </si>
  <si>
    <t>BODY COVER AN FORTUNER '18 H/M</t>
  </si>
  <si>
    <t>BODY COVER BRIO '18 H+B</t>
  </si>
  <si>
    <t>YUSUF ORCA</t>
  </si>
  <si>
    <t>TWIST TW 6512</t>
  </si>
  <si>
    <t>RACK HUMMER/FOXCO LARGE(BSR)</t>
  </si>
  <si>
    <t>KARPET DASAR SIGRA HITAM TIPIS</t>
  </si>
  <si>
    <t>OUTER HILUX'21 HITAM</t>
  </si>
  <si>
    <t>GARNIS LAMPU DEPAN HILUX'21 TYPE G HITAM</t>
  </si>
  <si>
    <t>GARNIS LAMPU BELAKANG HILUX'21 TYPE G HITAM</t>
  </si>
  <si>
    <t>OUTER HILUX'21 CHROME</t>
  </si>
  <si>
    <t>HANDLE HILUX'21 HITAM</t>
  </si>
  <si>
    <t>HANDLE HILUX'21 CHROME</t>
  </si>
  <si>
    <t>TANKI HILUX'21 HITAM</t>
  </si>
  <si>
    <t>TANKI HILUX'21 CHROME</t>
  </si>
  <si>
    <t>TOWING DEPAN TRD AVANZA/RUSH'18</t>
  </si>
  <si>
    <t>TOWING DEPAN TRD AVANZA ALL NEW</t>
  </si>
  <si>
    <t>TOWING DEPAN TRD CALYA</t>
  </si>
  <si>
    <t>LUNAS TF. 29/4/21</t>
  </si>
  <si>
    <t>TANK COVER CARBON A/N BRIO</t>
  </si>
  <si>
    <t>KLAKSON GOZZO</t>
  </si>
  <si>
    <t>ALARM KONE A/N FORTUNER</t>
  </si>
  <si>
    <t>RING FOGLAMP AVZ'19</t>
  </si>
  <si>
    <t xml:space="preserve">ANTENA SIRIP HIU MERAH </t>
  </si>
  <si>
    <t>ANTENA SIRIP HIU PUTIH</t>
  </si>
  <si>
    <t>CASING KUNCI CARBON RUSH</t>
  </si>
  <si>
    <t>CASING KUNCI CARBON BRIO</t>
  </si>
  <si>
    <t>GIRO 30/6/21</t>
  </si>
  <si>
    <t>GIRO 30/7/21</t>
  </si>
  <si>
    <t>GIRO AGUSTUS</t>
  </si>
  <si>
    <t>GIRO 10/9/21</t>
  </si>
  <si>
    <t>ADR-9988 10.1 INOH 4 + 64G (PART NO. EA168-1089)</t>
  </si>
  <si>
    <t>ORCA</t>
  </si>
  <si>
    <t>OEM CABLE- HONDA HRV-46TK 10.1 TN '15-'18</t>
  </si>
  <si>
    <t>FRAME ORCA FR 46TK HONDA HRV 10.1 TH '15-'18</t>
  </si>
  <si>
    <t>PLAT NOMOR 46 CM SSOB MB 1811-11</t>
  </si>
  <si>
    <t>PLAT NOMOR 46 CM SSOB MB 1811-12</t>
  </si>
  <si>
    <t>WINCOS HCD 30G UK 1.52 X 30 M</t>
  </si>
  <si>
    <t xml:space="preserve">WINTERBLAST 0 I UK 1.52 X 30 M </t>
  </si>
  <si>
    <t>KLAKSON ORCA</t>
  </si>
  <si>
    <t>LOGO RS</t>
  </si>
  <si>
    <t>KD CALYA HITAM</t>
  </si>
  <si>
    <t>SARUNG JOK AGYA (MB 9001 +MB 9007)</t>
  </si>
  <si>
    <t>BESTCO CAR COVER FORTUNER</t>
  </si>
  <si>
    <t>BESTCO CAR COVER BRIO'18</t>
  </si>
  <si>
    <t>BESTCO CAR COVER BRIO</t>
  </si>
  <si>
    <t>BESTCO CAR COVER YARIS</t>
  </si>
  <si>
    <t>BESTCO CAR COVER CALYA/SIGRA</t>
  </si>
  <si>
    <t>GRILL RUSH'18 MDL PRADO</t>
  </si>
  <si>
    <t>GRILL INNOVA'16 MDL ALPARD</t>
  </si>
  <si>
    <t>DOUBLE TIPE TRANSPARAN</t>
  </si>
  <si>
    <t>FOGLAMP ALL NEW AVZ RUSH '18</t>
  </si>
  <si>
    <t>KAKI SPORT RACK</t>
  </si>
  <si>
    <t>SILICON KUNCI HONDA BRIO HITAM</t>
  </si>
  <si>
    <t>SILICON KUNCI HONDA BRIO MERAH</t>
  </si>
  <si>
    <t>SILICON KUNCI HONDA BRIO BIRU</t>
  </si>
  <si>
    <t>SILICON KUNCI HONDA INNOVA HITAM</t>
  </si>
  <si>
    <t>SILICON KUNCI HONDA INNOVA MERAH</t>
  </si>
  <si>
    <t>SILICON KUNCI HONDA INNOVA BIRU</t>
  </si>
  <si>
    <t>SILICON KUNCI HONDA RUSH/VELOZ BIRU</t>
  </si>
  <si>
    <t>SILICON KUNCI CALYA HITAM</t>
  </si>
  <si>
    <t>SILICON KUNCI CALYA MERAH</t>
  </si>
  <si>
    <t>SILICON KUNCI CALYA BIRU</t>
  </si>
  <si>
    <t>EMBLEM CUP MESIN PAJERO SPORT'16 CHROME</t>
  </si>
  <si>
    <t>EMBLEM CUP MESIN PAJERO SPORT'16 HITAM</t>
  </si>
  <si>
    <t>TOWING MCC RUSH '18</t>
  </si>
  <si>
    <t>TOWING MCC XPANDER</t>
  </si>
  <si>
    <t>KACA FILM WINTERBLAST HCD 30G C 70 (2101080254K2AC)</t>
  </si>
  <si>
    <t>ROLL</t>
  </si>
  <si>
    <t>SPOILER BRIO'18 WHITE</t>
  </si>
  <si>
    <t>SPOILER BRIO'18 MODREN STEEL</t>
  </si>
  <si>
    <t>SPOILER BRIO'18 YELLOW</t>
  </si>
  <si>
    <t>KACA FILM WINTERBLAST HCD 30G C 70 (2102150119K2AB)</t>
  </si>
  <si>
    <t>TF 29/4</t>
  </si>
  <si>
    <t>LUNAS TF. 18/5/21</t>
  </si>
  <si>
    <t>LUNAS TF.18/5/21</t>
  </si>
  <si>
    <t>GIRO 25/5/21</t>
  </si>
  <si>
    <t>GIRO 15/5/21</t>
  </si>
  <si>
    <t>GIRO 20/5/21</t>
  </si>
  <si>
    <t>GIRO 10/5/21</t>
  </si>
  <si>
    <t>GIRO 30/5/21</t>
  </si>
  <si>
    <t xml:space="preserve"> GIRO 15/5/21</t>
  </si>
  <si>
    <t>GREAT (KO OKHON)</t>
  </si>
  <si>
    <t>GRILL COVER BRIO 18 BLACK</t>
  </si>
  <si>
    <t>GRILL COVER BRIO 18 BLACKTIVO</t>
  </si>
  <si>
    <t>GRILL COVER BRIO 18 SILVER KOMB</t>
  </si>
  <si>
    <t>GRILL COVER BRIO 18 TAFFETA WHITE</t>
  </si>
  <si>
    <t>GIRO  30/7/21</t>
  </si>
  <si>
    <t>GIRO 30/8/21</t>
  </si>
  <si>
    <t>GIRO 30/9/21</t>
  </si>
  <si>
    <t>KACA FILM WINTERBLAST HCD 10G C 70 (2101080150K2A7)</t>
  </si>
  <si>
    <t>KACA FILM WINTERBLAST HCD 10G C 70 (2101080146K2AC)</t>
  </si>
  <si>
    <t>KACA FILM WINTERBLAST HCD 30G C 70 (2102150161K2A8)</t>
  </si>
  <si>
    <t>KACA FILM WINTERBLAST HCD 30G C 70 (2102150186K2AF)</t>
  </si>
  <si>
    <t>TALANG AIR ALL NEW PAJERO (DI KEMBALIKAN)</t>
  </si>
  <si>
    <t>TOWING MCC FORTUNER '16 (ISI PAJERO 3)</t>
  </si>
  <si>
    <t>DIFFUSER BRIO</t>
  </si>
  <si>
    <t>SPOILER BRIO'18 SILVER</t>
  </si>
  <si>
    <t>NOVEMBER (PERTENGAHAN)</t>
  </si>
  <si>
    <t>MEI (CASH)</t>
  </si>
  <si>
    <t>BON JATUH TEMPO NOVEMBER 2021 ( JT)</t>
  </si>
  <si>
    <t>GARNIS LAMP '20 CHROME HEAD</t>
  </si>
  <si>
    <t>GARNIS LAMP '20 CHROME TAIL</t>
  </si>
  <si>
    <t>FRONT GRILLE COVER BRIO '18 CARNIVAL YELLOW</t>
  </si>
  <si>
    <t>FRONT GRILLE COVER BRIO '18 RALLYE RED</t>
  </si>
  <si>
    <t xml:space="preserve">SARUNG JOK RUSH'18 HITAM </t>
  </si>
  <si>
    <t>KARPET DASAR JAZZ HITAM</t>
  </si>
  <si>
    <t>SARUNG JOK XPANDER  HITAM CREAM</t>
  </si>
  <si>
    <t>TALANG AIR BRIO</t>
  </si>
  <si>
    <t>COVER SPION RUSH'18 CHROME</t>
  </si>
  <si>
    <t>OUTER RUSH'18 HITAM</t>
  </si>
  <si>
    <t>TANK COVER BRIO HITAM</t>
  </si>
  <si>
    <t>TALANG AIR PAJERO'16 (GANTI YG DIKEMBALIKAN)</t>
  </si>
  <si>
    <t>SWITCH PINTU AVANZA (ORDERAN LAMA)</t>
  </si>
  <si>
    <t>TURBO TIMER FORTUNER'16( ORDERAN LAMA)</t>
  </si>
  <si>
    <t xml:space="preserve">GRILL PAJERO MODEL ALPHARD '16 </t>
  </si>
  <si>
    <t xml:space="preserve">GRILLE APOLO PAJERO '16 </t>
  </si>
  <si>
    <t>GIRO 15/06/2021</t>
  </si>
  <si>
    <t>GIRO 30/06/2021</t>
  </si>
  <si>
    <t>GIRO 12/6/2021</t>
  </si>
  <si>
    <t>GIRO 10/6/2021</t>
  </si>
  <si>
    <t>GIRO 30/6/2021</t>
  </si>
  <si>
    <t>GIRO 15/6/21</t>
  </si>
  <si>
    <t>GIRO 18/6/2021</t>
  </si>
  <si>
    <t>KACA FILM FX 3M (40%,60%)</t>
  </si>
  <si>
    <t>NOVEMBER</t>
  </si>
  <si>
    <t>ROOF BOX KANAKA (BC) HITAM</t>
  </si>
  <si>
    <t>SPOILER A.N BRIO HITAM</t>
  </si>
  <si>
    <t>SPOILER A.N BRIO MERAH</t>
  </si>
  <si>
    <t>SPOILER A.N BRIO KUNING</t>
  </si>
  <si>
    <t>SPOILER A.N BRIO GREY</t>
  </si>
  <si>
    <t>SPOILER A.N BRIO PUTIH</t>
  </si>
  <si>
    <t>SPOILER A.N BRIO SILVER</t>
  </si>
  <si>
    <t>TOW BEL CUSTOM W/L + ANTING -PAJERO SPORT DUDUKAN MERAH FB</t>
  </si>
  <si>
    <t>KARPET MIE 3RAY HITAM /MERAH</t>
  </si>
  <si>
    <t>KARPET MIE 3 RAY COKLAT/CREAM</t>
  </si>
  <si>
    <t>LUNAS TF 01/6/21</t>
  </si>
  <si>
    <t>LUNAS TF. 01/6/21</t>
  </si>
  <si>
    <t>LUNAS TF 04/06/2021</t>
  </si>
  <si>
    <t>TALANG AIR CITY HB</t>
  </si>
  <si>
    <t>KACA FILM AG 80%</t>
  </si>
  <si>
    <t>REFLEKTOR BUMPER HRV</t>
  </si>
  <si>
    <t>KACA FILM CPF1 60%</t>
  </si>
  <si>
    <t>TANGGA SAMPING INNOVA</t>
  </si>
  <si>
    <t>RETRAC MIRROR INNOVA</t>
  </si>
  <si>
    <t>BON JATUH TEMPO DESEMBER 2021 ( JT)</t>
  </si>
  <si>
    <t>NOVEMBER (5.500.000)</t>
  </si>
  <si>
    <t>DESEMBER (10.000.000)</t>
  </si>
  <si>
    <t>TOWING MCC FORTUNER TRD</t>
  </si>
  <si>
    <t>TOWING MCC INNOVA REBRON</t>
  </si>
  <si>
    <t>KARPET  UNIVERSAL BLACK</t>
  </si>
  <si>
    <t>CAMERA BLK CAMERA (INFRA RED)</t>
  </si>
  <si>
    <t>KANCING BUMPER SPOILER/FENDER (100 PCS)</t>
  </si>
  <si>
    <t>LAP MICROFIBER RAZO,ALL PURPOSE ,GREEEN</t>
  </si>
  <si>
    <t>LAP MICROFIBER RAZO,ALL PURPOSE ,PINK</t>
  </si>
  <si>
    <t>LAP MICROFIBER RAZO,ALL PURPOSE ,PURPLE</t>
  </si>
  <si>
    <t>LAP MICROFIBER RAZO,ALL PURPOSE ,YELLOW</t>
  </si>
  <si>
    <t>LAP MICROFIBER RAZO,ALL PURPOSE ,RED(GRS)</t>
  </si>
  <si>
    <t>LAP MICROFIBER RAZO,ALL PURPOSE ,(GRS) WHITE</t>
  </si>
  <si>
    <t>LAP MICROFIBER RAZO,ALL PURPOSE ,(GRS) YELLOW</t>
  </si>
  <si>
    <t>LAP MICROFIBER RAZO,ALL PURPOSE ,GREY</t>
  </si>
  <si>
    <t>LAP MICROFIBER RAZO,ALL PURPOSE ,WHITE</t>
  </si>
  <si>
    <t>LAP MICROFIBER RAZO,ALL PURPOSE ,BLUE</t>
  </si>
  <si>
    <t>TOWING WELLCO XPANDER</t>
  </si>
  <si>
    <t>TOWING WELLCO INNOVA/FORTUNER</t>
  </si>
  <si>
    <t>SARUNG STIR OMAX BLACK/RED</t>
  </si>
  <si>
    <t>PACK</t>
  </si>
  <si>
    <t>GIRO 20/9/21</t>
  </si>
  <si>
    <t>FOOTSTEP SAMPING LAMPU RUSH</t>
  </si>
  <si>
    <t>KACA FILM WINTERBLAST HCD 10G C 70 (2103150035K2AG)</t>
  </si>
  <si>
    <t>KACA FILM WINTERBLAST HCD 30G C 70 (2103120200K2A0)</t>
  </si>
  <si>
    <t xml:space="preserve"> </t>
  </si>
  <si>
    <t>BODY KIT PAJERO SPORT 2021 ORI DESIGN</t>
  </si>
  <si>
    <t>GIRO 14/09/21</t>
  </si>
  <si>
    <t>GIRO 14/9/21</t>
  </si>
  <si>
    <t>GIRO 14/10/21</t>
  </si>
  <si>
    <t>giro</t>
  </si>
  <si>
    <t>lunas tf</t>
  </si>
  <si>
    <t>blm bayar</t>
  </si>
  <si>
    <t>total</t>
  </si>
  <si>
    <t>herman</t>
  </si>
  <si>
    <t>hendrik</t>
  </si>
  <si>
    <t>jsl</t>
  </si>
  <si>
    <t>mr.boss</t>
  </si>
  <si>
    <t>1-15 juni</t>
  </si>
  <si>
    <t>16-30</t>
  </si>
  <si>
    <t>mobilindo</t>
  </si>
  <si>
    <t>irwan</t>
  </si>
  <si>
    <t>handoyo</t>
  </si>
  <si>
    <t>V</t>
  </si>
  <si>
    <t>V(ceklis)</t>
  </si>
  <si>
    <t>GIRO YG DIBYR 60JT</t>
  </si>
  <si>
    <t>LUNAS TF 4/6/2021</t>
  </si>
  <si>
    <t>GIRO 15/7/21</t>
  </si>
  <si>
    <t>LUNAS TF.6/4/21</t>
  </si>
  <si>
    <t>KARPET DASAR CITY 2021</t>
  </si>
  <si>
    <t xml:space="preserve">KARPET DASAR BRIO </t>
  </si>
  <si>
    <t>KARPET DASAR G.XENIA</t>
  </si>
  <si>
    <t>KARPET DASAR XPANDER</t>
  </si>
  <si>
    <t>KARPET DASAR TRITON DC</t>
  </si>
  <si>
    <t>KARPET DASAR RUSH</t>
  </si>
  <si>
    <t>KARPET DASAR INNOVA</t>
  </si>
  <si>
    <t>TALANG AIR SLIM LIVINA</t>
  </si>
  <si>
    <t>GARNIS LAMPU DEPAN RUSH HITAM</t>
  </si>
  <si>
    <t>GARNIS LAMPU BELAKANG RUSH HITAM</t>
  </si>
  <si>
    <t>OUTHER CALYA</t>
  </si>
  <si>
    <t>TALANG AIR SLIM L300</t>
  </si>
  <si>
    <t>DESEMBER</t>
  </si>
  <si>
    <t>FAKTUR MERAH TDK ADA</t>
  </si>
  <si>
    <t xml:space="preserve">SPOILER A.N BRIO KUNING </t>
  </si>
  <si>
    <t xml:space="preserve"> NOVEMBER (PERTENGAHAN)</t>
  </si>
  <si>
    <t>BUZZ RACK</t>
  </si>
  <si>
    <t>CHAS</t>
  </si>
  <si>
    <t>KARPET DASAR BRIO</t>
  </si>
  <si>
    <t>SARUNG JOK RUSH '18 OSCAR HITAM  HITAM</t>
  </si>
  <si>
    <t>SARUNG JOK SIGRA LEXUS HITAM COFFEE</t>
  </si>
  <si>
    <t>SARUNG JOK SIGRA LEXUS HITAM MERAH</t>
  </si>
  <si>
    <t>SARUNG JOK SIGRA LEXUS CAPPUCINO HITAM</t>
  </si>
  <si>
    <t>SARUNG JOK SIGRA LEXUS MERAH HITAM</t>
  </si>
  <si>
    <t>SARUNG JOK RUSH'21 MB TECK (8801+ 8803)</t>
  </si>
  <si>
    <t>ROOF BOX GLOSSY BLACK</t>
  </si>
  <si>
    <t>SARUNG JOK AVANZA '12 CAPUCINO CAPUCINO</t>
  </si>
  <si>
    <t>TALANG AIR XPANDER</t>
  </si>
  <si>
    <t>DESEMBAR</t>
  </si>
  <si>
    <t>GRILL PAJERO MDL ALPARD (DIKEMBALIKAN)</t>
  </si>
  <si>
    <t>SARUNG JOK RUSH'18 LEXUS HITAM CAPPUCINO</t>
  </si>
  <si>
    <t>SARUNG JOK BRIO E LEXUS HITAM KUNING</t>
  </si>
  <si>
    <t>SARUNG JOK SIGRA LEXUS HITAM ABU</t>
  </si>
  <si>
    <t>SARUNG JOK BRIO E LEXUS HITAM ABU</t>
  </si>
  <si>
    <t>SARUNG JOK RUSH'18 LEXUS HITAM ABU</t>
  </si>
  <si>
    <t>KACA FILM WINTERBLAST HCD 10G C 70 (2103290159K2AL)</t>
  </si>
  <si>
    <t>GIRO 30/10/21</t>
  </si>
  <si>
    <t>GIRO 15/11/21</t>
  </si>
  <si>
    <t>GIRO 10/11/21</t>
  </si>
  <si>
    <t>GREAT(KO AKHON)</t>
  </si>
  <si>
    <t>GANTI YG RUSAK</t>
  </si>
  <si>
    <t>SARUNG JOK RUSH MB TECK(9001 + 9007 )</t>
  </si>
  <si>
    <t>BRIO'18 REAR SCUFF PLATE ACTIVO W/REFLECTOR</t>
  </si>
  <si>
    <t>PAJERO'21/TRITON'21 HEAD LAMP GARNISH CHROME</t>
  </si>
  <si>
    <t>PAJERO'21 TAIL LAMP GARNISH CHROME</t>
  </si>
  <si>
    <t>PAJERO'21/TRITON'21 SIGN LAMP GARNISH CHROME</t>
  </si>
  <si>
    <t>LIVINA'19 HEAD LAMP GARNISH BLACKTIVO</t>
  </si>
  <si>
    <t>LIVINA'19 TAIL LAMP GARNISH BLACKTIVO</t>
  </si>
  <si>
    <t>LIVINA'19 HEAD LAMP GARNISH CHROME</t>
  </si>
  <si>
    <t>LIVINA'19 TAIL LAMP GARNISH CHROME</t>
  </si>
  <si>
    <t xml:space="preserve">BRIO'18 REAR SIDE PLATE ACTIVO </t>
  </si>
  <si>
    <t>RUSH'18 REAR SIDE PLATE ACTIVO SPORTY</t>
  </si>
  <si>
    <t>LIVINA'19 OUTER HANDLE COVER ELEGANT CHROME</t>
  </si>
  <si>
    <t>LIVINA'19 OUTER HANDLE COVER ELEGANT BLACKTIVO</t>
  </si>
  <si>
    <t>LIVINA'19 TANK COVER CROSSTIVO</t>
  </si>
  <si>
    <t>LIVINA'19 TANK COVER ACTIVO</t>
  </si>
  <si>
    <t>PAJERO '16 TANK COVER CROSSTIVO</t>
  </si>
  <si>
    <t>MOBILIO'17 RS/ BRIO '18 HEAD LAMP GARNISH BLACKTIVO</t>
  </si>
  <si>
    <t>BRIO'18 TAIL LAMP GARNISH BLACKTIVO</t>
  </si>
  <si>
    <t>LUNAS TF.28/6/21</t>
  </si>
  <si>
    <t>LUNAS 28/6/21</t>
  </si>
  <si>
    <t>GRILL DEPAN INNOVA '21 MDL PRADO</t>
  </si>
  <si>
    <t>TOWBEL CUSTOM W/L + ANTING- PAJERO SPORT DUDUKAN MERAH FB</t>
  </si>
  <si>
    <t>DESEMBER (PERTENGAHAN)</t>
  </si>
  <si>
    <t>LUNAS TF. 01/7/21</t>
  </si>
  <si>
    <t>SARUNG JOK BRIO SATYA MB TECK (9001+9005)</t>
  </si>
  <si>
    <t>SARUNG JOK RAIZE MB TECK (9001+9016)</t>
  </si>
  <si>
    <t>TOLIB</t>
  </si>
  <si>
    <t>SISA 550.000</t>
  </si>
  <si>
    <t>ROOF RACK ADVENTURE</t>
  </si>
  <si>
    <t>MIGHTY SPORT RACK</t>
  </si>
  <si>
    <t>PAJERO 2021 BUMPER RHINO GUARD II</t>
  </si>
  <si>
    <t>PEGASUS</t>
  </si>
  <si>
    <t>GIRO 15/8/21</t>
  </si>
  <si>
    <t>GIRO 17/8/21</t>
  </si>
  <si>
    <t>GIRO TGL 15/ TGL 30</t>
  </si>
  <si>
    <t xml:space="preserve"> GIRO 30/9/2021</t>
  </si>
  <si>
    <t>SARUNG JOK RUSH '18/LEXUS HITAM ABU</t>
  </si>
  <si>
    <t>SARUNG JOK BRIO E/ LEXUS HITAM CAPPUCINO</t>
  </si>
  <si>
    <t>SARUNG JOK AVANZA'15/LEXUS HITAM CAPPUCINO</t>
  </si>
  <si>
    <t xml:space="preserve">SARUNG JOK AVANZA'15/LEXUS HITAM </t>
  </si>
  <si>
    <t>SARUNG JOK SIGRA/LEXUS HITAM CAPUCINO (VARIASI)</t>
  </si>
  <si>
    <t>KACA FILM ANTI GORES 60% SLR</t>
  </si>
  <si>
    <t>SARUNG STIR DRD HITAM-MERAH</t>
  </si>
  <si>
    <t>SARUNG STIR DRD HITAM-ABU</t>
  </si>
  <si>
    <t>SARUNG STIR DRD HITAM-CREAM</t>
  </si>
  <si>
    <t>SARUNG STIR DRD HITAM-COKLAT</t>
  </si>
  <si>
    <t>SARUNG STIR DRD HITAM-POLOS</t>
  </si>
  <si>
    <t>KAKI RAK BAGASI AUTO BOY</t>
  </si>
  <si>
    <t>TRUNKLID PAJERO'16 HITAM</t>
  </si>
  <si>
    <t>LAMPU HID I-CONCEPT 3 WARNA H4</t>
  </si>
  <si>
    <t>ANTENA SIRIP HIU HYBRID MERAH</t>
  </si>
  <si>
    <t>EMBLEM CUP MESIN XPANDER CROSS CHROME</t>
  </si>
  <si>
    <t>OUTHER HITAM XPANDER</t>
  </si>
  <si>
    <t>HANDLE HITAM XPANDER</t>
  </si>
  <si>
    <t>ANTENA SIRIP HIU HYBRID SILVER</t>
  </si>
  <si>
    <t>BHOLAM STANDAR H11 55 WATT</t>
  </si>
  <si>
    <t>BHOLAM STANDAR H16 19 WATT</t>
  </si>
  <si>
    <t xml:space="preserve">DESEMBER </t>
  </si>
  <si>
    <t>BANTALAN LEHER RAIZE</t>
  </si>
  <si>
    <t>KARPET MOBIL FULL 360 1 LAPIS ALL NEW PAJERO '16 TYPE D</t>
  </si>
  <si>
    <t>TITIPAN MR BOSS KE ARAW</t>
  </si>
  <si>
    <t>CM ORCA RC-185-2F KOTAK INFRA RED TWO FUNCTION</t>
  </si>
  <si>
    <t>TANDUK+ BRAKET RUSH '18 DELUXE</t>
  </si>
  <si>
    <t>ANTENA SIRIP HIU HYBRID HITAM</t>
  </si>
  <si>
    <t>TALANG AIR FLAT CITY HB</t>
  </si>
  <si>
    <t>DESEMBER (AKHIR)</t>
  </si>
  <si>
    <t>BODY KIT CITY HB MODULO DESIGN</t>
  </si>
  <si>
    <t>DOOR SILT PLATE CITY HB W/LAMP ORI DESIGN</t>
  </si>
  <si>
    <t>MUFFLER CUTTER PAJERO'16</t>
  </si>
  <si>
    <t>FRONT GRILL RUSH'18 NEW FORTUNER STYLE MATTE BLACK</t>
  </si>
  <si>
    <t>FRONT GRILL RUSH'18 NEW FORTUNER STYLE GLOSSY BLACK</t>
  </si>
  <si>
    <t>FRONT GRILL NEW PAJERO SPORT'21 APOLLO DESIGN GLOSSY BLACK</t>
  </si>
  <si>
    <t>SARUNG JOK BRIO SATYA MB TECK (8801+8810)</t>
  </si>
  <si>
    <t>SARUNG JOK RUSH '18/LEXUS HITAM</t>
  </si>
  <si>
    <t>SERVICE TV</t>
  </si>
  <si>
    <t>KACA FILM WINTERBLAST HCD 10G C 70 (2106040037EGAK)</t>
  </si>
  <si>
    <t>KACA FILM WINTERBLAST HCD 10G C 70 (2106040034EGAH)</t>
  </si>
  <si>
    <t>KACA FILM WINTERBLAST HCD 30G C 70 (2103290087K2AL)</t>
  </si>
  <si>
    <t>KACA FILM WINTERBLAST HCD 10G C 70 (2103150087K2AG)</t>
  </si>
  <si>
    <t>KACA FILM WINTERBLAST HCD 10G C 70 (2103150085K2AE)</t>
  </si>
  <si>
    <t>KACA FILM WINTERBLAST HCD 30G C 70 (2103120127K2A8)</t>
  </si>
  <si>
    <t>GARNISH DEPAN INNOVA 2016 HITAM</t>
  </si>
  <si>
    <t>GARNISH BELAKANG INNOVA 2016 HITAM</t>
  </si>
  <si>
    <t>HANDLE AVZ 2019 CARBON</t>
  </si>
  <si>
    <t>LAMPU STROBO GRILE TIPIS BIRU-BIRU</t>
  </si>
  <si>
    <t>LAMPU REFLEKTOR BELAKANG FORTUNER 2016</t>
  </si>
  <si>
    <t>JANUARI</t>
  </si>
  <si>
    <t>BON JATUH TEMPO JANUARI 2022 ( JT)</t>
  </si>
  <si>
    <t>SPOILER CITY HB MODULO DESIGN</t>
  </si>
  <si>
    <t>SIDE SKITE BRIO 2018 RS TYPE</t>
  </si>
  <si>
    <t>LUNAS 28/7/21</t>
  </si>
  <si>
    <t>LUNAS TF 28/7/21</t>
  </si>
  <si>
    <t>LUNAS 29/7/21</t>
  </si>
  <si>
    <t>LUNAS TF29/7/21</t>
  </si>
  <si>
    <t>LUNAS TF 21/7/21</t>
  </si>
  <si>
    <t>KARPET DASAR JAZZ'19 HITAM TIPIS</t>
  </si>
  <si>
    <t>KERANDA</t>
  </si>
  <si>
    <t>JAYA MADANI</t>
  </si>
  <si>
    <t>AGUSTUS ( AKHIR)</t>
  </si>
  <si>
    <t>KARPET DASAR SUPER HITAM CITY HAUS BEK</t>
  </si>
  <si>
    <t>KARPET DASAR SUPER BRIO HITAM</t>
  </si>
  <si>
    <t>LUNAS 26/7/21 (AGUSTUS)</t>
  </si>
  <si>
    <t>SUPERLID D/C HILUX REVO +KIT</t>
  </si>
  <si>
    <t>NU (TOLIB)</t>
  </si>
  <si>
    <t>BAN PEMKO PARIAMAN</t>
  </si>
  <si>
    <t>GIRO TGL 25/8/21</t>
  </si>
  <si>
    <t>MR BOSS</t>
  </si>
  <si>
    <t>GIRO TGL 30/8/21</t>
  </si>
  <si>
    <t>GIRO TGL 30/8/22</t>
  </si>
  <si>
    <t>GIRO TGL 30/9/21</t>
  </si>
  <si>
    <t>GIRO TGL 30/10/21</t>
  </si>
  <si>
    <t>GIRO TGL 10/11/21</t>
  </si>
  <si>
    <t>SARUNG JOK BRIO SATYA (MBTECK)</t>
  </si>
  <si>
    <t>GITO 30/8/21</t>
  </si>
  <si>
    <t>SARUNG JOK BRIO SATYA H/M</t>
  </si>
  <si>
    <t>KARPET DASAR AN BRIO TIPTS</t>
  </si>
  <si>
    <t xml:space="preserve">GRILLE PAJERO '21  MODEL ALPHARD </t>
  </si>
  <si>
    <t>TANDUK +BREKET AVANZA'19 DELEXU</t>
  </si>
  <si>
    <t>TANDUK +BREKET RUSH'19 DELEXU</t>
  </si>
  <si>
    <t>EMBLEM CUP MESIN PAJERO SPORT CHROME</t>
  </si>
  <si>
    <t>EMBLEM RS ORI GRILL DEPAN</t>
  </si>
  <si>
    <t>RETUR TDK COCOK</t>
  </si>
  <si>
    <t>COLOKAN SEAT BELT DOUBLE TOYOTA</t>
  </si>
  <si>
    <t>COLOKAN SEAT BELT DOUBLE HONDA</t>
  </si>
  <si>
    <t>EMBLEM CUP MENSIN XPANDER CHROME</t>
  </si>
  <si>
    <t>SILIKON KUNCI HONDA BRIO MERAH</t>
  </si>
  <si>
    <t>SILIKON KUNCI HONDA BRIO HITAM</t>
  </si>
  <si>
    <t>SILIKON KUNCI HONDA BRIO BIRU</t>
  </si>
  <si>
    <t>SILIKON KUNCI TOYOTA RUSH/VELOZ HITAM</t>
  </si>
  <si>
    <t>SILIKON KUNCI TOYOTA RUSH/VELOZ MERAH</t>
  </si>
  <si>
    <t>SILIKON KUNCI TOYOTA RUSH/VELOZ BIRU</t>
  </si>
  <si>
    <t>SILIKON KUNCI TOYOTA 3 TOMBOL ALL NEW FORTUNER HITAM</t>
  </si>
  <si>
    <t>SILIKON KUNCI TOYOTA 3 TOMBOL ALL NEW FORTUNER MERAH</t>
  </si>
  <si>
    <t>SILIKON KUNCI TOYOTA 3 TOMBOL ALL NEW FORTUNER BIRU</t>
  </si>
  <si>
    <t>KACA FILM PREMIUM HCD 03 G 2107010017K2A8</t>
  </si>
  <si>
    <t>KACA FILM PREMIUM HCD 20 G 2107010046K2AA</t>
  </si>
  <si>
    <t>TOWING RUSH/TERIOS MCC</t>
  </si>
  <si>
    <t>GIRO TGL 20/09/21</t>
  </si>
  <si>
    <t>TRUNKLID FORTUNER LED</t>
  </si>
  <si>
    <t>pertengahan</t>
  </si>
  <si>
    <t>LUNAS TF. TGL 12/8/21</t>
  </si>
  <si>
    <t>LUNAS TF. 12/8/21</t>
  </si>
  <si>
    <t>LUNAS TF</t>
  </si>
  <si>
    <t>SARUNG JOK BRIO SATYA  MB TECK(9001+9005)</t>
  </si>
  <si>
    <t>LUNAS TF. TGL 14/8/21</t>
  </si>
  <si>
    <t>LUNAS TF TGL 14/8/21</t>
  </si>
  <si>
    <t>LUNAS TF 14/8</t>
  </si>
  <si>
    <t>SILT PLATE BELAKANG INNOVA'16</t>
  </si>
  <si>
    <t>FOGLAMP RUSH '18</t>
  </si>
  <si>
    <t>TRANK LID ALL NEW FORTUNER + LAMPU RING</t>
  </si>
  <si>
    <t>OUTER ALL NEW PAJERO HITAM</t>
  </si>
  <si>
    <t>HANDLE ALL NEW RUSH '18 HITAM</t>
  </si>
  <si>
    <t>TANK COVER KARBON CALYA</t>
  </si>
  <si>
    <t xml:space="preserve">BODY KIT PAJERO '21 SILVER </t>
  </si>
  <si>
    <t>KETERANGAN : BRAKET TOWING PAJERO</t>
  </si>
  <si>
    <t>SARUNG JOK SATYA '18 HITAM BD FR</t>
  </si>
  <si>
    <t>SARUNG JOK G. AVZ HITAM BD FR</t>
  </si>
  <si>
    <t>KARPET DASAR RUSH HITAM TIPIS</t>
  </si>
  <si>
    <t>SIDE SKITE A.N BRIO '18 RS TYPE</t>
  </si>
  <si>
    <t>RER DIFFUSER A.N BRIO '18 RS TYPE</t>
  </si>
  <si>
    <t>PENGGANTI BARANG</t>
  </si>
  <si>
    <t>TOWING HRV MCC</t>
  </si>
  <si>
    <t>SARUNG JOK CALYA HITAM POLOS</t>
  </si>
  <si>
    <t>SARUNG JOK SIGRA HITAM POLOS</t>
  </si>
  <si>
    <t>SARUNG JOK BRIO SATYA HITAM POLOS</t>
  </si>
  <si>
    <t>SARUNG JOK G.AVANZA HITAM POLOS</t>
  </si>
  <si>
    <t>SARUNG JOK XPANDER HITAM POLOS</t>
  </si>
  <si>
    <t>SARUNG JOK G.XENIA HITAM POLOS</t>
  </si>
  <si>
    <t>SARUNG JOK AVANZA AB HITAM POLOS</t>
  </si>
  <si>
    <t>TOTAL</t>
  </si>
  <si>
    <t>F</t>
  </si>
  <si>
    <t>KACA FILM WINTERBLAST HCD 10G C 70 (2103300084K2AA)</t>
  </si>
  <si>
    <t>KACA FILM WINTERBLAST HCD 10G C 70 (2103300089K2AF)</t>
  </si>
  <si>
    <t>KACA FILM WINTERBLAST HCD 30G C 70 (2106030086EGAN)</t>
  </si>
  <si>
    <t>SARUNG JOK BRIO SATYA MB 9001+ MB 9003</t>
  </si>
  <si>
    <t>GARNISH DEPAN PAJERO'21 ATAS HITAM</t>
  </si>
  <si>
    <t>GARNISH BELAKANG PAJERO'21  HITAM</t>
  </si>
  <si>
    <t>GARNISH DEPAN HILUX'21  HITAM (G)</t>
  </si>
  <si>
    <t>GARNISH BELAKANG HILUX'21  HITAM (G)</t>
  </si>
  <si>
    <t>GARNISH DEPAN AVANZA'19  HITAM</t>
  </si>
  <si>
    <t>OUTER ALL NEW FORTUNER '16 HITAM</t>
  </si>
  <si>
    <t>OUTER ALL NEW FORTUNER '16 CHROME</t>
  </si>
  <si>
    <t>SARUNG JOK SATYA '18 HITAM ABU FR VARIASI</t>
  </si>
  <si>
    <t>SARUNG JOK G.AVANZA  HITAM ABU FR VARIASI</t>
  </si>
  <si>
    <t>SARUNG JOK SATYA '18 HITAM MERAH FR VARIASI</t>
  </si>
  <si>
    <t xml:space="preserve">SARUNG JOK G.AVANZA HITAM BD FR </t>
  </si>
  <si>
    <t>KD XENIA HITAM TIPIS</t>
  </si>
  <si>
    <t>GIRO TF. TGL 30/10/21</t>
  </si>
  <si>
    <t>LUNAS TF. TGL 25/8/21</t>
  </si>
  <si>
    <t>LUNAS TF. 25/8/21</t>
  </si>
  <si>
    <t>WINTERBLAST HCD 60%</t>
  </si>
  <si>
    <t>WINTERBLAST HCD 40%</t>
  </si>
  <si>
    <t xml:space="preserve">  </t>
  </si>
  <si>
    <t>GIRO TGL 15/9/21</t>
  </si>
  <si>
    <t>GIRO TGL 15/11/21</t>
  </si>
  <si>
    <t>GIRO TGL 30/11/21</t>
  </si>
  <si>
    <t>GIRO TGL 10/10/21</t>
  </si>
  <si>
    <t>BON JATUH TEMPO FEBRUARI 2022 ( JT)</t>
  </si>
  <si>
    <t>ANGGARAN 70 JT</t>
  </si>
  <si>
    <t>LUNAS TGL 30/8/21</t>
  </si>
  <si>
    <t xml:space="preserve">WINCOS </t>
  </si>
  <si>
    <t>LUNAS TRANSFER</t>
  </si>
  <si>
    <t>DI BYR DENGAN GIRO</t>
  </si>
  <si>
    <t>SARUNG JOK G.AVANZA HITAM ABU FR VARIASI</t>
  </si>
  <si>
    <t>SARUNG JOK BRIO SATYA HITAM ABU FR VARIASI</t>
  </si>
  <si>
    <t>SARUNG JOK BRIO SATYA HITAM MERAH FR VARIASI</t>
  </si>
  <si>
    <t>KARPET DASAR RUSH'18 HITAM</t>
  </si>
  <si>
    <t>SARUNG JOK AVANZA AB CAPUCINO</t>
  </si>
  <si>
    <t>KARPET DASAR INNOVA HITAM</t>
  </si>
  <si>
    <t>SARUNG STIR JEWEL HITAM BENANG MERAH</t>
  </si>
  <si>
    <t>SARUNG STIR JEWEL HITAM MERAH HITAM</t>
  </si>
  <si>
    <t>SARUNG STIR JEWEL CREAM HITAM CREAM</t>
  </si>
  <si>
    <t>SARUNG STIR JEWEL ABU HITAM ABU</t>
  </si>
  <si>
    <t>TOWING ARB RUSH'18/AVANZA</t>
  </si>
  <si>
    <t>BEMPER MINI +BRAKET CALYA</t>
  </si>
  <si>
    <t>OUTHER XPANDER CHROME</t>
  </si>
  <si>
    <t>HANDLE BRIO CHROME</t>
  </si>
  <si>
    <t>TANK COVER CHROME PAJERO'16</t>
  </si>
  <si>
    <t>TANK COVER AGYA HITAM</t>
  </si>
  <si>
    <t>CASH 31/8/21</t>
  </si>
  <si>
    <t>GIRO OKTOBER</t>
  </si>
  <si>
    <t>BYR DG GIRO</t>
  </si>
  <si>
    <t>PNDAHAN DARI GIRO NOVEMBER</t>
  </si>
  <si>
    <t>PINDAH KE BULAN 10 (5JT)</t>
  </si>
  <si>
    <t xml:space="preserve">GIRO OKTOBER </t>
  </si>
  <si>
    <t>GIRO TGL 15/10/21</t>
  </si>
  <si>
    <t>GIRO TGL.15/11/21</t>
  </si>
  <si>
    <t>GIRO TGL 15/12/21</t>
  </si>
  <si>
    <t>GIRO TGL 30/12/21</t>
  </si>
  <si>
    <t>GIRO . TGL 30/12/21</t>
  </si>
  <si>
    <t>DESEMBER GIRO</t>
  </si>
  <si>
    <t>GIRO DESEMBER</t>
  </si>
  <si>
    <t>NOVEMBER GIRO</t>
  </si>
  <si>
    <t>SARUNG JOK XPANDER CAPUCINO BD FR</t>
  </si>
  <si>
    <t>SARUNG JOK AVANZA CAPUCINO BD FR</t>
  </si>
  <si>
    <t>SARUNG JOK BRIO SATYA HITAM KUNING VARIASI</t>
  </si>
  <si>
    <t>KACA FILM 3 M 40%</t>
  </si>
  <si>
    <t>ERIK</t>
  </si>
  <si>
    <t>LUNAS TF. 01/9/21</t>
  </si>
  <si>
    <t>KACA FILM WINCOS HCD 30G UK 1.52X30M</t>
  </si>
  <si>
    <t>LOGO HONDA CHROME BRIO</t>
  </si>
  <si>
    <t>SARUNG JOK BRIO SATYA'18 HITAM KUNING</t>
  </si>
  <si>
    <t>SARUNG JOK BRIO SATYA'18 HITAM CAPUCINO</t>
  </si>
  <si>
    <t>KDP ALL NEW XENIA</t>
  </si>
  <si>
    <t>KDP  ALL NEW INNOVA HITAM</t>
  </si>
  <si>
    <t>KDP HILUX DC HITAM</t>
  </si>
  <si>
    <t>FORTUNER'21 BUMPER RHINO GUARD II</t>
  </si>
  <si>
    <t>PAJERO'21 BUMPER RHINO GUARD II</t>
  </si>
  <si>
    <t>PAJERO'21 BUMPER RHINO GUARD II + LED PJG 120 W</t>
  </si>
  <si>
    <t>LAMPU LED</t>
  </si>
  <si>
    <t>KACA FILM WINTERBLAST HCD 10G C 70 (2105060085K2AG)</t>
  </si>
  <si>
    <t>KACA FILM WINTERBLAST HCD 10G C 70 (2105060073K2AD)</t>
  </si>
  <si>
    <t>KACA FILM WINTERBLAST HCD 30G C 70 (2106030079EGAP)</t>
  </si>
  <si>
    <t>lunas tf 2/9/</t>
  </si>
  <si>
    <t>TANKI COVER FIT AN AVANZA CHROME</t>
  </si>
  <si>
    <t>OUTER TERIOS '18 HITAM</t>
  </si>
  <si>
    <t>EMBLEM CUP MESIN XPANDER CHROME</t>
  </si>
  <si>
    <t>HANDLE CARBON AN RUSH'18</t>
  </si>
  <si>
    <t>TALANG AIR FLAT ALL NEW BRIO</t>
  </si>
  <si>
    <t>TALANG AIR FLAT ALL NEW PAJERO</t>
  </si>
  <si>
    <t>TALANG AIR FLAT MOBILIO</t>
  </si>
  <si>
    <t>BALANCE ARM PAJERO</t>
  </si>
  <si>
    <t>BALANCE ARM FORTUNER</t>
  </si>
  <si>
    <t>WIPER HYBRID RWB T 170 UK.14"</t>
  </si>
  <si>
    <t>WIPER HYBRID RWB T 170 UK.16"</t>
  </si>
  <si>
    <t>WIPER HYBRID RWB T 170 UK.18"</t>
  </si>
  <si>
    <t>WIPER HYBRID RWB T 170 UK.20"</t>
  </si>
  <si>
    <t>WIPER HYBRID RWB T 170 UK.22"</t>
  </si>
  <si>
    <t>WIPER HYBRID RWB T 170 UK.17"</t>
  </si>
  <si>
    <t>SM-018 H RING SPEAKER 6" HONDA</t>
  </si>
  <si>
    <t>RCA CABLE 042-3M FROSTED BLACK/HYN</t>
  </si>
  <si>
    <t>RCA CABLE 042-5M FROSTED BLACK/HYN</t>
  </si>
  <si>
    <t>POWER CABLE PC-8AWG RED (30 MTR)/HYN</t>
  </si>
  <si>
    <t>ADR-9988 ECO 9 INCH 2G+16G (PART NO:EA 168-99)</t>
  </si>
  <si>
    <t>ADR-9988 ECO 10.1 INCH 2G+16G (PART NO:EA 168-1087)</t>
  </si>
  <si>
    <t>IIL-7700 (PART NO : EA168-6005)</t>
  </si>
  <si>
    <t>IIL-7700 (PART NO : EA168-6002)</t>
  </si>
  <si>
    <t>BODY COVER RWB ALL NEW BRIO</t>
  </si>
  <si>
    <t>BODY COVER RWB ALL NEW AGYA</t>
  </si>
  <si>
    <t>BODY COVER RWB ALL NEW YARRIS</t>
  </si>
  <si>
    <t>BODY COVER RWB CALYA</t>
  </si>
  <si>
    <t>BODY COVER RWB GRAND AVANZA</t>
  </si>
  <si>
    <t>BODY COVER RWB GRAND INNOVA</t>
  </si>
  <si>
    <t>BODY COVER RWB XPANDER</t>
  </si>
  <si>
    <t>BODY COVER RWB GRAND FORTUNER</t>
  </si>
  <si>
    <t>SARUNG JOK GRAND AVANZA HITAM MOCCA FR VARIASI</t>
  </si>
  <si>
    <t>KDP ALL NEW BRIO HITAM TIPIS</t>
  </si>
  <si>
    <t>AVANZA TANK COVER CROSSTIVO</t>
  </si>
  <si>
    <t>AN BRIO'18 REAR SCUFF PLATE BLACK W/REFLEKTOR</t>
  </si>
  <si>
    <t>AN RUSH/TERIOS'18 SIDE SCUFF PLATE BLACK</t>
  </si>
  <si>
    <t>AN AVANZA TANK COVER CROSSTIVO</t>
  </si>
  <si>
    <t>NEW YARIS'18 SIDE SCUFF PLATE ACTIVO</t>
  </si>
  <si>
    <t>SIGRA'16 TANK COVER CROSSTIVO BLACKTIVO</t>
  </si>
  <si>
    <t>AN BRIO'18 TANK COVER CADILLAC BLACKTIVO</t>
  </si>
  <si>
    <t>AN TERIOS'18 TANK COVER CADILLAC BLACKTIVO</t>
  </si>
  <si>
    <t>NEW YARIS'18 OUTER HANDLE COVER BLACKTIVO</t>
  </si>
  <si>
    <t>XPANDER'17 OUTER HANDLE COVER ELEGANT CHROME</t>
  </si>
  <si>
    <t>AN INNOVA'16 SIDE SCUFF PLATE BLACK</t>
  </si>
  <si>
    <t>KDP HD BRIO'18 BLACK</t>
  </si>
  <si>
    <t>KDP TY RAIZE, BLACK</t>
  </si>
  <si>
    <t>TALANG AIR BRIO SLIM</t>
  </si>
  <si>
    <t>TALANG AIR FLAT BRIO</t>
  </si>
  <si>
    <t>OUTER AVANZA HITAM</t>
  </si>
  <si>
    <t>HANDLE RAIZE HITAM</t>
  </si>
  <si>
    <t>OUTER HITAM RAIZE</t>
  </si>
  <si>
    <t>TOWING ARB FULL KNOCK DOWN MERAH+LED PAJERO</t>
  </si>
  <si>
    <t>TOWING ARB FULL KNOCK DOWN MERAH+LED FORTUNER</t>
  </si>
  <si>
    <t>KDP BRIO '18 HITAM</t>
  </si>
  <si>
    <t>KDP RAIZE HITAM</t>
  </si>
  <si>
    <t>KDP YARIS 2021 HITAM</t>
  </si>
  <si>
    <t>KACA FILM 3M FXST 60 %</t>
  </si>
  <si>
    <t>KACA FILM 3M FXST 40 %</t>
  </si>
  <si>
    <t>SARUNG JOK AVANZA HITAM CAPUCINO FERARI VARIASI</t>
  </si>
  <si>
    <t>KDP HRV HITAM</t>
  </si>
  <si>
    <t>KDP FORTUNER HITAM</t>
  </si>
  <si>
    <t>SARUNG JOK HRV MB 9001 + 7001</t>
  </si>
  <si>
    <t>SUB AKTIF SLIM (SPEAKER) 10' SANSUI SA-FA 1100</t>
  </si>
  <si>
    <t>D.DIN ANDROID 10.1' MOBILETECH MM-8803MX</t>
  </si>
  <si>
    <t>D.DIN 6.9' SANSUI SAPPORO SA-5202I (MIROR LINK)</t>
  </si>
  <si>
    <t>KACA FILM 3M BB 80%</t>
  </si>
  <si>
    <t>LUNAS TF 8/9/21</t>
  </si>
  <si>
    <t xml:space="preserve">TANKI COVER HITAM BRIO </t>
  </si>
  <si>
    <t>SILT PLATE SAMPING (LED) RAIZE CARBON</t>
  </si>
  <si>
    <t xml:space="preserve">COVER HANDLE MOBILIO/ ALL NEW BRIO HITAM </t>
  </si>
  <si>
    <t xml:space="preserve">OUTER ALL NEW BRIO HITAM </t>
  </si>
  <si>
    <t>GARNISH DEPAN ALL NEW BRIO HITAM</t>
  </si>
  <si>
    <t>KARPET MOBIL FULL 360 1 LAPIS ALL NEW FORTUNER TYPE F</t>
  </si>
  <si>
    <t>TALANG AIR JUMBO MODEL CARBON-CANTER (HITAM)</t>
  </si>
  <si>
    <t>SRC-60- BLACK (ANTI GORES 60% SLR)</t>
  </si>
  <si>
    <t>BON JATUH TEMPO MARET 2022 ( JT)</t>
  </si>
  <si>
    <t>BON JATUH TEMPO APRIL 2022 ( JT)</t>
  </si>
  <si>
    <t>BODY KIT PAJERO 2021 SILVER</t>
  </si>
  <si>
    <t>GIRO TGL 20/1/22</t>
  </si>
  <si>
    <t>GIRO TGL 20/2/22</t>
  </si>
  <si>
    <t>GIRO 20/2/22</t>
  </si>
  <si>
    <t>GIRO TGL 25/10/21</t>
  </si>
  <si>
    <t>KACA FILM WINTERBLAST HCD 03G C 70 (2101120127K2A6)</t>
  </si>
  <si>
    <t>LUNAS TF. 22/9/21</t>
  </si>
  <si>
    <t>KACA FILM SPARTA 40% SLR</t>
  </si>
  <si>
    <t>KACA FILM SPARTA 60% SLR</t>
  </si>
  <si>
    <t>KACA FILM SPARTA 80% SLR</t>
  </si>
  <si>
    <t>KACA FILM SRC 40% ANTIGORES</t>
  </si>
  <si>
    <t>GIRO 50 JT AWAL</t>
  </si>
  <si>
    <t>GIRO 30 JT AKHIR</t>
  </si>
  <si>
    <t>LUNAS TF. 20/9/21</t>
  </si>
  <si>
    <t>DOUBLE TIPE GREEN</t>
  </si>
  <si>
    <t xml:space="preserve">TALANG AIR AVANZA </t>
  </si>
  <si>
    <t>TALANG AIR XPANDER FLAT</t>
  </si>
  <si>
    <t>GARNISH LAMPU BELAKANG AVANZA'19 HITAM</t>
  </si>
  <si>
    <t>KARPET UNIVERSAL MIE KERITING 60 CM X 3M ( 2 RAY) BLACK</t>
  </si>
  <si>
    <t>KARPET UNIVERSAL MIE KERITING 60 CM X 3M ( 2 RAY) BLACK GREY</t>
  </si>
  <si>
    <t>KARPET UNIVERSAL MIE KERITING 60 CM X 4.5M ( 3 RAY) BLACK</t>
  </si>
  <si>
    <t>KARPET UNIVERSAL MIE KERITING 60 CM X 4.5M ( 3 RAY) BLACK GREY</t>
  </si>
  <si>
    <t>KARPET UNIVERSAL MIE KERITING 60 CM X 4.5M ( 3 RAY) BLACK RED</t>
  </si>
  <si>
    <t>KARPET UNIVERSAL MIE KERITING 60 CM X 4.5M ( 3 RAY) COFFE BEIGE</t>
  </si>
  <si>
    <t>STEP (TANGGA )SAMPING HRV</t>
  </si>
  <si>
    <t>STEP (TANGGA )SAMPING XPANDER</t>
  </si>
  <si>
    <t>SARUNG JOK SIGRA LEXUS HITAM COFFE</t>
  </si>
  <si>
    <t>SARUNG JOK SIGRA LEXUS HITAM CAPPUCINO</t>
  </si>
  <si>
    <t>SERVICE</t>
  </si>
  <si>
    <t>KO AKHON (GREAT)</t>
  </si>
  <si>
    <t>PARFUM GANTUNG STARBUCK</t>
  </si>
  <si>
    <t>PARFUM GANTUNG LV</t>
  </si>
  <si>
    <t>PARFUM GANTUNG GUCCI</t>
  </si>
  <si>
    <t>PARFUM GANTUNG BACARAT</t>
  </si>
  <si>
    <t>PARFUM GANTUNG DAVIDOF</t>
  </si>
  <si>
    <t>KARPET KARET CREAM</t>
  </si>
  <si>
    <t>KARPET KARET HITAM</t>
  </si>
  <si>
    <t>DOMPET POLOS CPR</t>
  </si>
  <si>
    <t>SUBKOLONG ENIGMA</t>
  </si>
  <si>
    <t>LED TEMBAK 64 LED 4 SISI STROBO</t>
  </si>
  <si>
    <t>LED TEMBAK 24 LED 8 SISI STROBO</t>
  </si>
  <si>
    <t>LED TEMBAK 12 LED 4 SISI STROBO</t>
  </si>
  <si>
    <t>LED KOTAK 6 LED STROBO BIRU-BIRU</t>
  </si>
  <si>
    <t>LED KOTAK 6 LED STROBO MERAH-MERAH</t>
  </si>
  <si>
    <t>DRL STROBO MERAH-MERAH</t>
  </si>
  <si>
    <t>DRL STROBO BIRU-BIRU</t>
  </si>
  <si>
    <t>LED TEMBAK ENGLE EYES 2 MATA</t>
  </si>
  <si>
    <t>LED TEMBAK ENGLE EYES 3 MATA</t>
  </si>
  <si>
    <t>PARFUM GANTUNG YSL</t>
  </si>
  <si>
    <t>LUNAS TF 29/9/21</t>
  </si>
  <si>
    <t>GIRO 8.5 JT</t>
  </si>
  <si>
    <t>\P</t>
  </si>
  <si>
    <t>;[LK</t>
  </si>
  <si>
    <t xml:space="preserve">                        </t>
  </si>
  <si>
    <t>SARUNG JOK MB TECK RUSH (9001 +9015)</t>
  </si>
  <si>
    <t>DIFFUSER AN.BRIO 2018 RS TYPE</t>
  </si>
  <si>
    <t>WINTERBLAST HCD 30G C70 (2106030063EGAI)</t>
  </si>
  <si>
    <t>GIRO 20 JT</t>
  </si>
  <si>
    <t>CEK</t>
  </si>
  <si>
    <t>KDP CITY 2021 HITAM</t>
  </si>
  <si>
    <t>TALANG AIR AN.BRIO</t>
  </si>
  <si>
    <t>GRILLE M.LEXUS PAJERO 2021</t>
  </si>
  <si>
    <t>TOWING ARB CALYA</t>
  </si>
  <si>
    <t>INJAKAN SAMPING OEM TRITON 2019</t>
  </si>
  <si>
    <t>OVERFENDER TRITON 2019</t>
  </si>
  <si>
    <t>INJAKAN SAMPING THANOS XPANDER</t>
  </si>
  <si>
    <t>GRILLE M.TRD RUSH 2018 GLOSY</t>
  </si>
  <si>
    <t>SARUNG JOK MB TECK INNOVA G 2014 (9001 +9007)</t>
  </si>
  <si>
    <t>AMPLIFIER ORCA 4 CHANNEL -7889A</t>
  </si>
  <si>
    <t>SPEAKER SPLIT ORCA RC-652SPL 6.5''</t>
  </si>
  <si>
    <t>FRAME ORCA HO136H H. BRIO / MOBILIO 10.1 INCH TH. 2012</t>
  </si>
  <si>
    <t>MATER</t>
  </si>
  <si>
    <t>TOWING DEPAN MINI RUSH 2018</t>
  </si>
  <si>
    <t>LIPT BAMPER BAWAH ALL NEW BRIO</t>
  </si>
  <si>
    <t xml:space="preserve">SILIKON KUNCI ALL NEW BRIO </t>
  </si>
  <si>
    <t>KLIP BAMPER KECIL</t>
  </si>
  <si>
    <t>KLIP BAMPER BESAR</t>
  </si>
  <si>
    <t>DOORAUARD LUXURY DAIHATSU ( KARET PINTU)</t>
  </si>
  <si>
    <t>DOORAUARD LUXURY MITSUBHSHI ( KARET PINTU)</t>
  </si>
  <si>
    <t>DOORAUARD BRAVO TOYOTA ( KARET PINTU)</t>
  </si>
  <si>
    <t>DOORAUARD BRAVO DAIHATSU ( KARET PINTU)</t>
  </si>
  <si>
    <t>DOORAUARD BRAVO HONDA ( KARET PINTU)</t>
  </si>
  <si>
    <t>DOORAUARD BRAVO MITSUBDHI ( KARET PINTU)</t>
  </si>
  <si>
    <t>OUTHER ALL NEW BRIO CHROME</t>
  </si>
  <si>
    <t>TANK COVER PAJERO 2016 HITAM</t>
  </si>
  <si>
    <t>TANK COVER XPANDER HITAM</t>
  </si>
  <si>
    <t>TANK COVER AYLA HITAM</t>
  </si>
  <si>
    <t xml:space="preserve">GARNIS BELAKANG ALL NEW RUSH HITAM </t>
  </si>
  <si>
    <t xml:space="preserve">ANTENA SIRIP HYBRID PUTIH </t>
  </si>
  <si>
    <t>ANTENA SIRIP HYBRID MERAH</t>
  </si>
  <si>
    <t>ANTENA SIRIP HYBRID KUNING</t>
  </si>
  <si>
    <t>ANTENA SIRIP HYBRID HITAM</t>
  </si>
  <si>
    <t>SILT PLATE SAMPING XPANDER CROSS TANPA LAMPU</t>
  </si>
  <si>
    <t>SILT PLATE SAMPING XPANDER TANPA LAMPU</t>
  </si>
  <si>
    <t>SILT PLATE SAMPING XPANDER + LAMPU</t>
  </si>
  <si>
    <t>SILT PLATE BELAKANG RAIZE</t>
  </si>
  <si>
    <t>TOA POLISI 200 WATT + 6 TOMBOL</t>
  </si>
  <si>
    <t>TOA POLISI WELLES 200 WATT</t>
  </si>
  <si>
    <t xml:space="preserve">CONSUL BOX ALL NEW BRIO </t>
  </si>
  <si>
    <t>CONSUL BOX CALYA</t>
  </si>
  <si>
    <t>SILT PLATE BELAKANG FORTUNER 2021</t>
  </si>
  <si>
    <t>SPOLER CALYA HITAM</t>
  </si>
  <si>
    <t>SPOLER CALYA PUTIH</t>
  </si>
  <si>
    <t>EMBLEM CUP MESIN TERIOS CHROME</t>
  </si>
  <si>
    <t>TALANG AIR BRIO ALL NEW</t>
  </si>
  <si>
    <t>DIFFUSER ALL NEW BRIO '19</t>
  </si>
  <si>
    <t>KD BRIO HITAM TIPIS</t>
  </si>
  <si>
    <t>SPOILER BRIO RED</t>
  </si>
  <si>
    <t>SPOILER BRIO LUNAR SILVER</t>
  </si>
  <si>
    <t>SPOILER BRIO BLACK</t>
  </si>
  <si>
    <t>SPOILER BRIO WHITE</t>
  </si>
  <si>
    <t>MARET (PERTENGAHAN)</t>
  </si>
  <si>
    <t>CAR MAT 7D AN.FORTUNER'16 A/T SOLITAIRELINER BLACK (3 ROW) KARPET 3D</t>
  </si>
  <si>
    <t>CAR MAT 7D AN.PAJERO'16 A/T SOLITAIRELINER BLACK (3 ROW) KARPET 3D</t>
  </si>
  <si>
    <t>GIRO 30 JT</t>
  </si>
  <si>
    <t>KDP MS XPANDER BLACK</t>
  </si>
  <si>
    <t>KDP MS TRITON 2016 D/C BLACK</t>
  </si>
  <si>
    <t>KDP HD HRV BLACK</t>
  </si>
  <si>
    <t>KDP MS PAJERO 20-ON BLACK</t>
  </si>
  <si>
    <t>KDP HD BRIO 2018-ON BLACK</t>
  </si>
  <si>
    <t>KDP TY INNOVA 2016-ON BLACK</t>
  </si>
  <si>
    <t xml:space="preserve">TJM </t>
  </si>
  <si>
    <t>LUNAS TF. 29/9/21</t>
  </si>
  <si>
    <t>LUNAS TF. TGL 15/10/21</t>
  </si>
  <si>
    <t xml:space="preserve">KO AKHON 4.5 BLN </t>
  </si>
  <si>
    <t>AWAL</t>
  </si>
  <si>
    <t>KDP CALYA BLACK</t>
  </si>
  <si>
    <t>KDP CITY HB BLACK</t>
  </si>
  <si>
    <t>KDP BRIO '18 BLACK</t>
  </si>
  <si>
    <t>KD CITY HITAM TIPIS</t>
  </si>
  <si>
    <t>KD HRV HITAM TIPIS</t>
  </si>
  <si>
    <t>SARUNG JOK SIGRA MB TECK (9001+ 9004)</t>
  </si>
  <si>
    <t>CAMERA ENIGMA JS-606(SERVICE)</t>
  </si>
  <si>
    <t>tjm 4bln</t>
  </si>
  <si>
    <t xml:space="preserve"> GIRO  TGL 30/01/2022</t>
  </si>
  <si>
    <t>GIRO TGL 25/2/22</t>
  </si>
  <si>
    <t>DEAEMBER</t>
  </si>
  <si>
    <t>HERMAN(PINJAMAN)</t>
  </si>
  <si>
    <t>GIRO 30/11/21</t>
  </si>
  <si>
    <t>HERMAN (PINJAMAN)</t>
  </si>
  <si>
    <t>GIRO TGL 12/12/21</t>
  </si>
  <si>
    <t>WINTERBLAST HCD 03G C70 (2101120124K2A3)</t>
  </si>
  <si>
    <t>SARUNG JOK MB TECK TERIOS (9013)</t>
  </si>
  <si>
    <t>SARUNG JOK MB TECK HRV 2021 (8801 + 8805)</t>
  </si>
  <si>
    <t>KDP LUXIO BLACK</t>
  </si>
  <si>
    <t>KDP GRAND MAX BLACK</t>
  </si>
  <si>
    <t>TALANG AIR FLAT HRV</t>
  </si>
  <si>
    <t>TALANG AIR FLAT XPANDER</t>
  </si>
  <si>
    <t>BANTALAN 3 IN 1</t>
  </si>
  <si>
    <t>ANTENA SIRIP HIU HITAM</t>
  </si>
  <si>
    <t>SILL PLATE SAMPING BRIO TANPA LAMPU</t>
  </si>
  <si>
    <t>SILL PLATE SAMPING XPANDER TANPA LAMPU</t>
  </si>
  <si>
    <t>LOGO HONDA HITAM D/B BRIO</t>
  </si>
  <si>
    <t>GARNIS LAMPU DEPAN RUSH CHROME</t>
  </si>
  <si>
    <t>SPOILER CALYA GREY</t>
  </si>
  <si>
    <t>SPOILER CALYA MERAH</t>
  </si>
  <si>
    <t>GRILLE FORTUNER '16 MODEL APOLLO</t>
  </si>
  <si>
    <t>BRAKET TOWING MCC</t>
  </si>
  <si>
    <t>NONE BOX OEM BIN ESL PORT HRV15 BLACK</t>
  </si>
  <si>
    <t>CELLO SUB3 WBE SV40HM</t>
  </si>
  <si>
    <t>NONE PARTS METAL GRILL SUBWOOFER W8E HEXAGONAL BLACK</t>
  </si>
  <si>
    <t>CELLO AMPLIFIER M9MKII</t>
  </si>
  <si>
    <t>CELO AUDIO</t>
  </si>
  <si>
    <t>CELLO AUDIO</t>
  </si>
  <si>
    <t>BODY COVER ALL NEW AVANZA</t>
  </si>
  <si>
    <t>BODY COVER MOBILIO</t>
  </si>
  <si>
    <t>BODY COVER CALYA</t>
  </si>
  <si>
    <t>BODY COVER ALL NEW PAJERO</t>
  </si>
  <si>
    <t>BODY COVER ALL NEW FORTUNER</t>
  </si>
  <si>
    <t>BODY COVER ALL NEW INNOVA</t>
  </si>
  <si>
    <t>BODY COVER RAIZE</t>
  </si>
  <si>
    <t>BODY COVER ALL NEW CITY</t>
  </si>
  <si>
    <t>BODY COVER HRV</t>
  </si>
  <si>
    <t>BODY COVER ALL NEW BRIO</t>
  </si>
  <si>
    <t>BODY COVER GRAND AVANZA</t>
  </si>
  <si>
    <t>BODY COVER ALL NEW RUSH</t>
  </si>
  <si>
    <t>BODY COVER GRAND LIVINA</t>
  </si>
  <si>
    <t>BODY COVER XPANDER</t>
  </si>
  <si>
    <t>GIRO 80.270 JT</t>
  </si>
  <si>
    <t>SOKET CAMETA TOYOTA 300941</t>
  </si>
  <si>
    <t>SOKET CAMETA JAZZ BARU/SEJAJAR 300355</t>
  </si>
  <si>
    <t>SOKET CAMETA JAZZ LAMA/MIRING 300356</t>
  </si>
  <si>
    <t>BACKING SPEAKER PLASTIK 6.5' 301159</t>
  </si>
  <si>
    <t>VENTE ANDROID 9' PREMIUM 300886 PKT</t>
  </si>
  <si>
    <t>VENTE CAMERA AHD1080 UNIVERSAL 301257 PKT</t>
  </si>
  <si>
    <t>VENTE LED 3 WARNA H4 ECO SERIES 300823</t>
  </si>
  <si>
    <t>VENTE LED 3 WARNA H11 ECO SERIES 300822</t>
  </si>
  <si>
    <t>GIRO TGL 5/2/22</t>
  </si>
  <si>
    <t>SARUNG JOK BRIO SATYA HITAM/MERAH(VARIASI)</t>
  </si>
  <si>
    <t>SARUNG JOK AVANZA/XENIA HITAM/CREAM(VARIASI)</t>
  </si>
  <si>
    <t>SARUNG JOK RAIZE/ROCKY  HITAM/MERAH (VARIASI)</t>
  </si>
  <si>
    <t>BANTALAN JOK MOBIL HITAM/MERAH</t>
  </si>
  <si>
    <t>BANTALAN JOK MOBIL HITAM/CAPPUCINO</t>
  </si>
  <si>
    <t>V-CENT</t>
  </si>
  <si>
    <t>LUNAS TF. TGL 29/10/21</t>
  </si>
  <si>
    <t>SARUNG JOK MB TECK H.JAZZ'16 (9016 +9001)</t>
  </si>
  <si>
    <t>SARUNG JOK MB TECK RUSH'0 (9001 +9015)</t>
  </si>
  <si>
    <t>KACA FILM 3M CRYSTALINE 40%</t>
  </si>
  <si>
    <t>BODY COVER ALL PAJERO (H/M)</t>
  </si>
  <si>
    <t>BODY COVER ALL NEW FORTUNER '18 (H/M)</t>
  </si>
  <si>
    <t>BODY COVER ALL NEW RUSH STD</t>
  </si>
  <si>
    <t>BODY COVER CALYA STD</t>
  </si>
  <si>
    <t>BODY COVER GRAND AVANZA STD</t>
  </si>
  <si>
    <t>BODY COVER BRIO NEW (H/M)</t>
  </si>
  <si>
    <t>BODY COVER ALL NEW RUSH (H/M)</t>
  </si>
  <si>
    <t>BODY COVER RAIZE (H/M)</t>
  </si>
  <si>
    <t>BODY COVER CITY '21 (H/M)</t>
  </si>
  <si>
    <t>BODY COVER HRV (H/M)</t>
  </si>
  <si>
    <t>TALANG AIR SLIM CITY HB</t>
  </si>
  <si>
    <t>TUTUP BAN SERAP INJECTION PAJERO'16</t>
  </si>
  <si>
    <t>TUTUP BAN SERAP INJECTION FORTUNER'16</t>
  </si>
  <si>
    <t>TUTUP BAN SERAP INJECTION INNOVA REBRON</t>
  </si>
  <si>
    <t>OUTHER PAJERO '16 CHROME</t>
  </si>
  <si>
    <t>OUTHER PAJERO '16 HITAM</t>
  </si>
  <si>
    <t>TRUNKLID PAJERO HITAM</t>
  </si>
  <si>
    <t>SILL PLATE SAMPING HRV +LAMPU</t>
  </si>
  <si>
    <t>TDK DI PESAN</t>
  </si>
  <si>
    <t>KDP CITY HB,BLACK</t>
  </si>
  <si>
    <t>KDP INNOVA'16, BLACK</t>
  </si>
  <si>
    <t>LUNAS TF. TGL 06/11/21</t>
  </si>
  <si>
    <t>TALANG AIR L300</t>
  </si>
  <si>
    <t>FOOT STEP THANOS ALL NEW RUSH '18</t>
  </si>
  <si>
    <t>SARUNG JOK TERIOS 2021 MB (90001+9014)</t>
  </si>
  <si>
    <t>SARUNG JOK GRAND INNOVA MB (90001+9016)</t>
  </si>
  <si>
    <t>SARUNG JOK AVANZA AB (HITAM+CAPUCINO) FRR</t>
  </si>
  <si>
    <t>TOWING MCC PAJERO</t>
  </si>
  <si>
    <t>APRIL (PERTENGAHAN)</t>
  </si>
  <si>
    <t xml:space="preserve">CITY HATCHBACK DOOR HANDLE COVER (8 PCS) BLACK </t>
  </si>
  <si>
    <t xml:space="preserve">CITY HATCHBACK OUTER HANDLE COVER (4 PCS) BLACK </t>
  </si>
  <si>
    <t xml:space="preserve">CITY HATCHBACK TANK COVER (1 PCS) BLACK </t>
  </si>
  <si>
    <t>CITY HATCHBACK DOOR HANDLE COVER (8 PCS) CHROME</t>
  </si>
  <si>
    <t>CITY HATCHBACK OUTER HANDLE COVER (8 PCS) CHROME</t>
  </si>
  <si>
    <t>CITY HATCHBACK TANK COVER (1 PCS) CHROME</t>
  </si>
  <si>
    <t xml:space="preserve">RAIZE / ROCKY HEAD LIGHT COVER (2 PCS) BLACK </t>
  </si>
  <si>
    <t xml:space="preserve">RAIZE / ROCKY TAIL LIGHT COVER (2 PCS) BLACK </t>
  </si>
  <si>
    <t>RAIZE TANK COVER (1 PCS) BLACK</t>
  </si>
  <si>
    <t>PLAT NO 46CM MIKA TANPA LAMPU</t>
  </si>
  <si>
    <t>PLAT NO 46CM MIKA + LAMPU</t>
  </si>
  <si>
    <t>PLAT NO 46CM ASTRA/BIASA</t>
  </si>
  <si>
    <t>SARUNG JOK BRIO SATYA'18 LEXUS HITAM KUNING</t>
  </si>
  <si>
    <t>SARUNG JOK AVANZA'16 LEXUS HITAM ABU</t>
  </si>
  <si>
    <t>SARUNG JOK BRIO SATYA'18 LEXUS HITAM ABU</t>
  </si>
  <si>
    <t>SARUNG JOK INNOVA V'21 LEXUS HITAM COFFE</t>
  </si>
  <si>
    <t>SARUNG JOK HILUX'12 G LEXUS HITAM HITAM</t>
  </si>
  <si>
    <t>SARUNG JOK AVANZA'16 LEXUS HITAM CAPPUCINO</t>
  </si>
  <si>
    <t>SARUNG JOK INNOVA G '21 LEXUS HITAM CAPPUCINO</t>
  </si>
  <si>
    <t>SARUNG JOK RUSH '18 LEXUS HITAM CAPPUCINO</t>
  </si>
  <si>
    <t>NOVEMBER (AKHIR)</t>
  </si>
  <si>
    <t>PACKING BARANG</t>
  </si>
  <si>
    <t>SARUNG JOK INNOVA G MB (9001+9010)</t>
  </si>
  <si>
    <t>SARUNG JOK BRIO SATYA'18 HITAM FR</t>
  </si>
  <si>
    <t>SARUNG JOK TERIOS '21 HITAM ABU FR</t>
  </si>
  <si>
    <t>SARUNG JOK BRIO SATYA'18 HITAM BD MERAH FR</t>
  </si>
  <si>
    <t>SARUNG JOK RUSH'18 HITAM MOCCA BD MERAH FR</t>
  </si>
  <si>
    <t>SARUNG JOK BRIO SATYA'18 HITAM  FR</t>
  </si>
  <si>
    <t>KACA FILM SRC 40 - BLACK (ANTI GORES 40% SLR)</t>
  </si>
  <si>
    <t>KACA FILM SRC 60 - BLACK (ANTI GORES 60% SLR)</t>
  </si>
  <si>
    <t>SARUNG JOK/TERIOS'19 VARIASI HITAM CREAM</t>
  </si>
  <si>
    <t>SARUNG JOK/TERIOS'19 VARIASI HITAM MERAH</t>
  </si>
  <si>
    <t>SARUNG JOK INNOVA REBRON G VARIASI HITAM TERACOTTA</t>
  </si>
  <si>
    <t>SARUNG JOK INNOVA REBRON V VARIASI HITAM TERACOTTA</t>
  </si>
  <si>
    <t>BANTALAN JOK MOBIL HITAM  MERAH</t>
  </si>
  <si>
    <t>BANTALAN JOK MOBIL HITAM  CAPPUCINO</t>
  </si>
  <si>
    <t>BANTALAN JOK MOBIL HITAM  TERACOTTA</t>
  </si>
  <si>
    <t>SARUNG JOK TERIOS'18 HITAM BD ABU  FR</t>
  </si>
  <si>
    <t>SARUNG JOK TERIOS'18 HITAM BD  FR</t>
  </si>
  <si>
    <t>SARUNG JOK TERIOS'18 HITAM BD MOCCA  FR</t>
  </si>
  <si>
    <t>SARUNG JOK RUSH'18 HITAM BD FR</t>
  </si>
  <si>
    <t>SARUNG JOK BRIO SATYA'18 HITAM BD FR</t>
  </si>
  <si>
    <t>SARUNG JOK INNOVA G'18 HITAM BD FR</t>
  </si>
  <si>
    <t>SARUNG JOK RUSH'18 HITAM BD ABU FR</t>
  </si>
  <si>
    <t>CITY HB HEAD LIGHT COVER (2PCS) BLACK</t>
  </si>
  <si>
    <t>CITY HB TAIL LIGHT COVER (4 PCS) BLACK</t>
  </si>
  <si>
    <t>CITY HB HEAD LIGHT COVER (2PCS) CHROME</t>
  </si>
  <si>
    <t>CITY HB TAIL LIGHT COVER (4 PCS) CHROME</t>
  </si>
  <si>
    <t>CITY HB DOOR SILT PLATE (4PCS) WITH LED</t>
  </si>
  <si>
    <t>DI BYR DG GIRO</t>
  </si>
  <si>
    <t>SARUNG JOK RUSH '18 FERARI HITAM + BD</t>
  </si>
  <si>
    <t>SARUNG JOK AVANZA VVTI FERARI CAPUCHINO +BD</t>
  </si>
  <si>
    <t>SARUNG JOK BRIO SATYA '18 FERARI HITAM+ BD</t>
  </si>
  <si>
    <t>SARUNG JOK TERIOS '18 FERARI HITAM + BD</t>
  </si>
  <si>
    <t xml:space="preserve">SARUNG JOK TERIOS '18 FERARI HITAM + MOCCA </t>
  </si>
  <si>
    <t>SARUNG JOK INNOVA G FERARI HITAM + COKLAT</t>
  </si>
  <si>
    <t>PHILIP H4 (12V 60/55)</t>
  </si>
  <si>
    <t>PHILIP P (P21/5W 23V/21)</t>
  </si>
  <si>
    <t>SARUNG JOK RUSH'18 HITAM BD MERAH  FR</t>
  </si>
  <si>
    <t>PELITA HARAPAN</t>
  </si>
  <si>
    <t>PHILIP (W21/5W 12V/21)TUSUK</t>
  </si>
  <si>
    <t>PHILIP (W21W/12V/21W) TUSUK</t>
  </si>
  <si>
    <t>PHILIP (LU5W/12V 5W) JAGUNG</t>
  </si>
  <si>
    <t xml:space="preserve">PHILIP (P21W/12V/21) </t>
  </si>
  <si>
    <t>LAMPU REM (12V/21.5W (K1)</t>
  </si>
  <si>
    <t>LAMPU REM (12V/20.5W (K2)</t>
  </si>
  <si>
    <t>DI ANGSUR</t>
  </si>
  <si>
    <t>RETUR</t>
  </si>
  <si>
    <t>TANDUK DEPAN MINI RUSH'18</t>
  </si>
  <si>
    <t>PLAT NO 46 CM MICA+LAMPU</t>
  </si>
  <si>
    <t>SARUNG JOK RUSH'18 HITAM MOCCA FR</t>
  </si>
  <si>
    <t>SARUNG JOK BRIO SATYA'18 HITAM ABU FR</t>
  </si>
  <si>
    <t>SARUNG JOK BRIO SATYA'18 HITAM CAPUCINO FR</t>
  </si>
  <si>
    <t>BODY KIT FORTUNER'16</t>
  </si>
  <si>
    <t>KACA FILM WINTERBLAST HCD 10 G C 70 (2107210115K2A9)</t>
  </si>
  <si>
    <t>KACA FILM WINTERBLAST HCD 10 G C 70 (2108160032K2AC)</t>
  </si>
  <si>
    <t>KACA FILM WINTERBLAST HCD 30 G C 70 (2108250237K2AJ)</t>
  </si>
  <si>
    <t>GIRO TGL 26/3/22</t>
  </si>
  <si>
    <t>TALANG AIR AGYA/AYLA FLAT (TITIPAN)</t>
  </si>
  <si>
    <t xml:space="preserve">BODY COVER ALL NEW FORTUNER </t>
  </si>
  <si>
    <t xml:space="preserve">BODY COVER ALL NEW RUSH </t>
  </si>
  <si>
    <t xml:space="preserve">BODY COVER CALYA </t>
  </si>
  <si>
    <t>SARUNG JOK RAIZE (HITAM + BD )FR (POLOS)</t>
  </si>
  <si>
    <t>SARUNG JOK INNOVA V (HITAM + BD )FR (POLOS)</t>
  </si>
  <si>
    <t>SARUNG JOK INNOVA G (HITAM +BD)FR (POLOS)</t>
  </si>
  <si>
    <t>SARUNG JOK GRAND AVANZA (HITAM +BD MOCCA)FR (POLOS)</t>
  </si>
  <si>
    <t>SARUNG JOK ROCKY (HITAM +BD)FR (POLOS)</t>
  </si>
  <si>
    <t>SARUNG JOK AGYA BARU (HITAM + BD ABU ABU) FR (POLOS)</t>
  </si>
  <si>
    <t>SARUNG JOK AVANZA AB (HITAM + BD) FR POLOS</t>
  </si>
  <si>
    <t>SARUNG JOK AVANZA VUTI (HITAM +BD)FR.  POLOS</t>
  </si>
  <si>
    <t>10 JUNI</t>
  </si>
  <si>
    <t>SARUNG JOK GRAND AVANZA HITAM ABU BD FR</t>
  </si>
  <si>
    <t>SARUNG JOK GRAND AVANZA HITAM MOCCA BD FR</t>
  </si>
  <si>
    <t>SARUNG JOK AGYA'18 HITAM MERAH BD FR</t>
  </si>
  <si>
    <t>SARUNG JOK RAIZE HITAM  BD FR</t>
  </si>
  <si>
    <t>SARUNG JOK GRAND AVANZA HITAM MERAH  BD FR</t>
  </si>
  <si>
    <t>SARUNG JOK BRIO SATYA HITAM  BD FR</t>
  </si>
  <si>
    <t>SARUNG JOK AGYA'18 HITAM  BD FR</t>
  </si>
  <si>
    <t>15 JUNI</t>
  </si>
  <si>
    <t>KACA FILM AG 60%</t>
  </si>
  <si>
    <t>GIRO TGL 25/3/22</t>
  </si>
  <si>
    <t>GIRO TGL 25/04/22</t>
  </si>
  <si>
    <t>LUNAS CASH 29/11</t>
  </si>
  <si>
    <t>LUNAS CASH 9/11</t>
  </si>
  <si>
    <t>LUNAS CASH/TF</t>
  </si>
  <si>
    <t>SARUNG JOK AGYA (HITAM + ABUBD)FR (POLOS)</t>
  </si>
  <si>
    <t>SARUNG JOK GRAND AVANZA  (HITAM + MOCCA BD) FR POLOS</t>
  </si>
  <si>
    <t>BODY COVER INNOVA REBORN</t>
  </si>
  <si>
    <t>BODY COVER CITY HB</t>
  </si>
  <si>
    <t>BODY COVER ALL NEW LIVINA</t>
  </si>
  <si>
    <t>GANTI RETURAN</t>
  </si>
  <si>
    <t>LUNAS TF. TGL 2/12/21</t>
  </si>
  <si>
    <t>M</t>
  </si>
  <si>
    <t>LUNAS TF 25/11</t>
  </si>
  <si>
    <t xml:space="preserve">KACA FILM 3M CRYSTALLINE (20%) </t>
  </si>
  <si>
    <t>SARUNG JOK BRIO SATYA'18 LEXUS HITAM CAPPUCINO</t>
  </si>
  <si>
    <t>SARUNG JOK RUSH'18 LEXUS HITAM MERAH</t>
  </si>
  <si>
    <t>SARUNG JOK AVANZA'16 LEXUS MERAH HITAM</t>
  </si>
  <si>
    <t>SARUNG JOK RUSH'18 LEXUS CAPPUCINO HITAM</t>
  </si>
  <si>
    <t>KDP GRANMAX BLACK</t>
  </si>
  <si>
    <t>BARANG PENGGANTI 25/12</t>
  </si>
  <si>
    <t>SARUNG JOK ALL NEW BRIO SATYA'18 HITAM MERAH FR</t>
  </si>
  <si>
    <t>SARUNG JOK ALL NEW BRIO SATYA'18 HITAM BEIGE FR</t>
  </si>
  <si>
    <t>SARUNG JOK AVANZA'16 HITAM MERAH FR</t>
  </si>
  <si>
    <t>SARUNG JOK TERIOS'13 MB 9001+9015</t>
  </si>
  <si>
    <t>HANDLE ALL NEW FORTUNER HITAM</t>
  </si>
  <si>
    <t>KABEL RELLAY SET</t>
  </si>
  <si>
    <t>CHARGER HP LOG ON 3 USB</t>
  </si>
  <si>
    <t>GRILL INNOVA REBRON</t>
  </si>
  <si>
    <t>BAMPER BELAKANG ALL NEW TRITON</t>
  </si>
  <si>
    <t>INJAKAN SAMPINGRUSH+LED</t>
  </si>
  <si>
    <t>TOWING ARB FORTUNER TRD</t>
  </si>
  <si>
    <t>TOWING ARB FULL PLATE KNOCKDOWN MERAH +LED FORTUNER</t>
  </si>
  <si>
    <t>GARNISH BELAKANG RUSH CHROME</t>
  </si>
  <si>
    <t>HANDLE RUSH HITAM</t>
  </si>
  <si>
    <t>GARNISH LAMPU DEPAN INNOVA'16 HITAM</t>
  </si>
  <si>
    <t>GARNISH LAMPU BELAKANG INNOVA'16 HITAM</t>
  </si>
  <si>
    <t>TANK COVER INNOVA'16 HITAM</t>
  </si>
  <si>
    <t>HANDLE INNOVA'16 HITAM</t>
  </si>
  <si>
    <t>OUTHER INNOVA'16 HITAM</t>
  </si>
  <si>
    <t>TURBO TIMER INNOVA'16</t>
  </si>
  <si>
    <t>OUTHER RUSH HITAM</t>
  </si>
  <si>
    <t>OUTHER RAIZE HITAM</t>
  </si>
  <si>
    <t>TANK COVER RAIZE HITAM</t>
  </si>
  <si>
    <t>TANK COVER RUSH HITAM</t>
  </si>
  <si>
    <r>
      <t>ANTENA SIRIP HYBIRD PUTIH (</t>
    </r>
    <r>
      <rPr>
        <b/>
        <sz val="11"/>
        <color theme="1"/>
        <rFont val="Calibri"/>
        <family val="2"/>
        <scheme val="minor"/>
      </rPr>
      <t>RETUR</t>
    </r>
    <r>
      <rPr>
        <sz val="11"/>
        <color theme="1"/>
        <rFont val="Calibri"/>
        <family val="2"/>
        <scheme val="minor"/>
      </rPr>
      <t>)</t>
    </r>
  </si>
  <si>
    <t>GIRO TGL 25/12/21</t>
  </si>
  <si>
    <t>GIRO TGL 25/1/22</t>
  </si>
  <si>
    <t>EA -168-9990 ADR PRO PLUS / APPLE CAR PLAY 9 INCHI 4 GB + 64GB+CM DVR (TVI ORCA ANDROID 9'')</t>
  </si>
  <si>
    <t xml:space="preserve">MEI </t>
  </si>
  <si>
    <t>VACUM UDARA MOBIL</t>
  </si>
  <si>
    <t>PENJEPIT PELINDUNG DEPAN</t>
  </si>
  <si>
    <t>AUTO2000</t>
  </si>
  <si>
    <t>KACA FILM WINTERBLAST HCD 10G C 70 (2107150297K2AN)</t>
  </si>
  <si>
    <t>KACA FILM WINTERBLAST HCD 30G C 70 (2108150189K2AP)</t>
  </si>
  <si>
    <t>FORTUNER '21 BUMPER AVENGER EVO</t>
  </si>
  <si>
    <t>LUNAS TF 06/12/21</t>
  </si>
  <si>
    <t>KACA FILM CPF1 STANDARD (60%)</t>
  </si>
  <si>
    <t>GIRO TGL 26/2/22</t>
  </si>
  <si>
    <t>GIRO TGL30/3/21</t>
  </si>
  <si>
    <t>KACA FILM PREMIUM HCD 20 G(50%)</t>
  </si>
  <si>
    <t>KACA FILM PREMIUM HCD 30 G (40%)</t>
  </si>
  <si>
    <t>GARNISH LAMPU DEPAN RUSH'18 HITAM</t>
  </si>
  <si>
    <t>HANDLE HITAM RUSH '18 KEYLESS</t>
  </si>
  <si>
    <t>CASING KUNCI CARBON BRV/BRIO</t>
  </si>
  <si>
    <t>CASING KUNCI CARBON PAJERO'16</t>
  </si>
  <si>
    <t>CASING KUNCI CARBON XPANDER</t>
  </si>
  <si>
    <t>SILICON KUNCI BRIO</t>
  </si>
  <si>
    <t>ALARM K-ONE INNOVA REBRON</t>
  </si>
  <si>
    <t>TALANG AIR FLAT FORTUNER'16</t>
  </si>
  <si>
    <t>TALANG AIR FLAT PAJERO'16</t>
  </si>
  <si>
    <t>TALANG AIR FLAT INNOVA REBRON</t>
  </si>
  <si>
    <t>FRAME  ORCA FR-268T T. NEW RUSH 9'' TH. 2018 ON</t>
  </si>
  <si>
    <t>BELUM DIBAYAR</t>
  </si>
  <si>
    <t>YG BELUM BYR</t>
  </si>
  <si>
    <t>YG SUDAH GIRO</t>
  </si>
  <si>
    <t>GIRO TGL 28/4/22</t>
  </si>
  <si>
    <t>GIRO TGL 29/4/22</t>
  </si>
  <si>
    <t>GIRO TGL 29/3/22</t>
  </si>
  <si>
    <t>SARUNG JOK MB TECK TERIOS'13 (9001+9015)</t>
  </si>
  <si>
    <t>HANDEL COVER  CITY HB BLACK</t>
  </si>
  <si>
    <t>OUTER COVER CITY HB BLACK</t>
  </si>
  <si>
    <t>TANK COVER CITY HB BLACK</t>
  </si>
  <si>
    <t>GARNIS LAMPU DEPAN CITY HB BLACK</t>
  </si>
  <si>
    <t>GARNIS LAMPU BELAKANG CITY HB BLACK</t>
  </si>
  <si>
    <t>HANDEL COVER  CITY HB CHROME</t>
  </si>
  <si>
    <t>OUTER COVER CITY HB CHROME</t>
  </si>
  <si>
    <t>TANK COVER CITY HB CHROME</t>
  </si>
  <si>
    <t>GARNIS LAMPU DEPAN CITY HB CHROME</t>
  </si>
  <si>
    <t>GARNIS LAMPU BELAKANG CITY HB CHROME</t>
  </si>
  <si>
    <t>AKHIR BULAN DESEMBER BLM DISC (5%)</t>
  </si>
  <si>
    <t>FRAME  ORCA FR-112H MOBILIO/BRIO G TH.2017</t>
  </si>
  <si>
    <t>BLM DISC 5%</t>
  </si>
  <si>
    <t>GIRO</t>
  </si>
  <si>
    <t xml:space="preserve">LEO </t>
  </si>
  <si>
    <t>LUNAS TF 23/12/21</t>
  </si>
  <si>
    <t>SELEBIHNYA DI RETUR</t>
  </si>
  <si>
    <t>TALANG AIR H- TECH HITAM ALL NEW PAJERO '16 (D/T)</t>
  </si>
  <si>
    <t>SIDE  BODY MOULDING (HITAM) ALL NEW RUSH/TERIOS '18</t>
  </si>
  <si>
    <t>SARUNG JOK MB TECK BRIO SATYA (9001+9005)</t>
  </si>
  <si>
    <t>SARUNG JOK MB TECK INNOVA'12 LUXURY (9001+9010)</t>
  </si>
  <si>
    <t>LUNAS TF. TGL 29/12/21</t>
  </si>
  <si>
    <t xml:space="preserve">TUTUP BAN SERAP RUSH </t>
  </si>
  <si>
    <t>TUTUP BAN SERAP FORTUNER</t>
  </si>
  <si>
    <t xml:space="preserve">SKITE PLATE BAMPER BELAKANG FORTUNER </t>
  </si>
  <si>
    <t>SKITE PLATE BAMPER BELAKANG INNOVA</t>
  </si>
  <si>
    <t>TOYOTA</t>
  </si>
  <si>
    <t>LIST KACA BELAKANG INNOVA CHROME</t>
  </si>
  <si>
    <t>LIST BODY FORTUNER CHROME</t>
  </si>
  <si>
    <t xml:space="preserve">LIST BODY INNOVA CHROME </t>
  </si>
  <si>
    <t xml:space="preserve">REAR LICENSE ORNAMENT FORTUNER CHROME </t>
  </si>
  <si>
    <t xml:space="preserve">REAR LICENSE ORNAMENT INNOVA  CHROME </t>
  </si>
  <si>
    <t>TRANK LED FORTUNER CHROME</t>
  </si>
  <si>
    <t>LITER U INNOVA CHROME</t>
  </si>
  <si>
    <t>HOOD MOLDING INNOVA CHROME</t>
  </si>
  <si>
    <t>HOOD MOLDING AVANZA '20CHROME</t>
  </si>
  <si>
    <t>SILT PLATE BELAKANG INNOVA LAMA</t>
  </si>
  <si>
    <t>KARPET ORIGINAL (BLUDRU) FORTUNER '18</t>
  </si>
  <si>
    <t>KARPET ORIGINAL (BLUDRU) INNOVA '18 '17</t>
  </si>
  <si>
    <t>LUNAS TF TGL 30/12/21</t>
  </si>
  <si>
    <t>LUNAS TF. TGL 04/01/22</t>
  </si>
  <si>
    <t>LUNAS TF. 06/01/22</t>
  </si>
  <si>
    <t>LUNAS TF TGL 10/1/22</t>
  </si>
  <si>
    <t>GIRO TGL 30/3/22</t>
  </si>
  <si>
    <t>GIRO TGL 10/4/22</t>
  </si>
  <si>
    <t>MARET AKHIR</t>
  </si>
  <si>
    <t xml:space="preserve">GARNISH DEPAN PAJERO'21 BAWAH HITAM </t>
  </si>
  <si>
    <t>giro tgl 15/3/22</t>
  </si>
  <si>
    <t>GIRO TGL 30/4/22</t>
  </si>
  <si>
    <t>LUNAS TF. 31/1/22</t>
  </si>
  <si>
    <t>LUNAS TF. TGL 07/02/22</t>
  </si>
  <si>
    <t>zxs</t>
  </si>
  <si>
    <t>ORCA/YUSUF</t>
  </si>
  <si>
    <t>TRANSFER TGL 28/2/22</t>
  </si>
  <si>
    <t>GREAT/KO AKHON</t>
  </si>
  <si>
    <t>TRANSRFER TGL 25/3/22</t>
  </si>
  <si>
    <t>GIRO TGL 25/4/22</t>
  </si>
  <si>
    <t>TRANSRFER TGL 26/3/22</t>
  </si>
  <si>
    <t>OTOPROJEC</t>
  </si>
</sst>
</file>

<file path=xl/styles.xml><?xml version="1.0" encoding="utf-8"?>
<styleSheet xmlns="http://schemas.openxmlformats.org/spreadsheetml/2006/main">
  <numFmts count="5">
    <numFmt numFmtId="164" formatCode="_-&quot;£&quot;* #,##0_-;\-&quot;£&quot;* #,##0_-;_-&quot;£&quot;* &quot;-&quot;_-;_-@_-"/>
    <numFmt numFmtId="165" formatCode="_-&quot;£&quot;* #,##0.00_-;\-&quot;£&quot;* #,##0.00_-;_-&quot;£&quot;* &quot;-&quot;??_-;_-@_-"/>
    <numFmt numFmtId="166" formatCode="_(&quot;Rp&quot;* #,##0_);_(&quot;Rp&quot;* \(#,##0\);_(&quot;Rp&quot;* &quot;-&quot;_);_(@_)"/>
    <numFmt numFmtId="167" formatCode="_-[$Rp-421]* #,##0_ ;_-[$Rp-421]* \-#,##0\ ;_-[$Rp-421]* &quot;-&quot;_ ;_-@_ "/>
    <numFmt numFmtId="168" formatCode="_-[$Rp-421]* #,##0_ ;_-[$Rp-421]* \-#,##0\ ;_-[$Rp-421]* &quot;-&quot;??_ ;_-@_ 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haroni"/>
      <charset val="177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7030A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5"/>
      <name val="Calibri"/>
      <family val="2"/>
      <scheme val="minor"/>
    </font>
    <font>
      <b/>
      <sz val="11"/>
      <color theme="7"/>
      <name val="Calibri"/>
      <family val="2"/>
      <scheme val="minor"/>
    </font>
    <font>
      <i/>
      <sz val="11"/>
      <name val="Calibri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1" tint="0.3499862666707357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1038">
    <xf numFmtId="0" fontId="0" fillId="0" borderId="0" xfId="0"/>
    <xf numFmtId="0" fontId="2" fillId="0" borderId="0" xfId="0" applyFont="1"/>
    <xf numFmtId="0" fontId="0" fillId="0" borderId="0" xfId="0" applyAlignment="1">
      <alignment horizontal="center" vertical="center"/>
    </xf>
    <xf numFmtId="166" fontId="0" fillId="0" borderId="0" xfId="1" applyNumberFormat="1" applyFont="1"/>
    <xf numFmtId="1" fontId="2" fillId="0" borderId="0" xfId="0" applyNumberFormat="1" applyFont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66" fontId="0" fillId="0" borderId="1" xfId="1" applyNumberFormat="1" applyFont="1" applyBorder="1" applyAlignment="1">
      <alignment horizontal="center" vertical="center" wrapText="1"/>
    </xf>
    <xf numFmtId="166" fontId="0" fillId="0" borderId="1" xfId="1" applyNumberFormat="1" applyFon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1" fontId="3" fillId="2" borderId="1" xfId="0" quotePrefix="1" applyNumberFormat="1" applyFont="1" applyFill="1" applyBorder="1" applyAlignment="1">
      <alignment vertical="center"/>
    </xf>
    <xf numFmtId="0" fontId="3" fillId="2" borderId="1" xfId="0" applyFont="1" applyFill="1" applyBorder="1" applyAlignment="1">
      <alignment horizontal="center"/>
    </xf>
    <xf numFmtId="0" fontId="3" fillId="0" borderId="0" xfId="0" applyFont="1"/>
    <xf numFmtId="1" fontId="3" fillId="0" borderId="1" xfId="0" quotePrefix="1" applyNumberFormat="1" applyFont="1" applyBorder="1" applyAlignment="1">
      <alignment vertical="center"/>
    </xf>
    <xf numFmtId="0" fontId="3" fillId="0" borderId="1" xfId="0" applyFont="1" applyFill="1" applyBorder="1" applyAlignment="1">
      <alignment horizontal="center"/>
    </xf>
    <xf numFmtId="16" fontId="3" fillId="0" borderId="1" xfId="0" applyNumberFormat="1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Fill="1" applyAlignment="1"/>
    <xf numFmtId="0" fontId="3" fillId="0" borderId="0" xfId="0" applyFont="1" applyAlignment="1"/>
    <xf numFmtId="0" fontId="3" fillId="0" borderId="1" xfId="0" applyFont="1" applyBorder="1"/>
    <xf numFmtId="166" fontId="3" fillId="0" borderId="0" xfId="0" applyNumberFormat="1" applyFont="1"/>
    <xf numFmtId="16" fontId="3" fillId="0" borderId="1" xfId="0" applyNumberFormat="1" applyFont="1" applyBorder="1"/>
    <xf numFmtId="167" fontId="3" fillId="0" borderId="1" xfId="0" applyNumberFormat="1" applyFont="1" applyBorder="1"/>
    <xf numFmtId="0" fontId="3" fillId="0" borderId="1" xfId="0" applyFont="1" applyBorder="1" applyAlignment="1">
      <alignment horizontal="center"/>
    </xf>
    <xf numFmtId="1" fontId="3" fillId="3" borderId="1" xfId="0" quotePrefix="1" applyNumberFormat="1" applyFont="1" applyFill="1" applyBorder="1" applyAlignment="1">
      <alignment vertical="center"/>
    </xf>
    <xf numFmtId="16" fontId="3" fillId="3" borderId="1" xfId="0" applyNumberFormat="1" applyFont="1" applyFill="1" applyBorder="1"/>
    <xf numFmtId="0" fontId="3" fillId="3" borderId="1" xfId="0" applyFont="1" applyFill="1" applyBorder="1" applyAlignment="1">
      <alignment horizontal="center"/>
    </xf>
    <xf numFmtId="167" fontId="3" fillId="3" borderId="1" xfId="0" applyNumberFormat="1" applyFont="1" applyFill="1" applyBorder="1"/>
    <xf numFmtId="1" fontId="3" fillId="0" borderId="1" xfId="0" quotePrefix="1" applyNumberFormat="1" applyFont="1" applyFill="1" applyBorder="1" applyAlignment="1">
      <alignment vertical="center"/>
    </xf>
    <xf numFmtId="167" fontId="3" fillId="0" borderId="1" xfId="0" applyNumberFormat="1" applyFont="1" applyFill="1" applyBorder="1"/>
    <xf numFmtId="0" fontId="3" fillId="0" borderId="1" xfId="0" applyFont="1" applyFill="1" applyBorder="1"/>
    <xf numFmtId="16" fontId="3" fillId="0" borderId="0" xfId="0" applyNumberFormat="1" applyFont="1" applyFill="1"/>
    <xf numFmtId="0" fontId="3" fillId="0" borderId="0" xfId="0" applyFont="1" applyFill="1"/>
    <xf numFmtId="167" fontId="3" fillId="0" borderId="1" xfId="0" applyNumberFormat="1" applyFont="1" applyFill="1" applyBorder="1" applyAlignment="1">
      <alignment vertical="center"/>
    </xf>
    <xf numFmtId="167" fontId="3" fillId="0" borderId="0" xfId="0" applyNumberFormat="1" applyFont="1"/>
    <xf numFmtId="16" fontId="3" fillId="0" borderId="1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0" fillId="0" borderId="1" xfId="0" applyBorder="1"/>
    <xf numFmtId="0" fontId="3" fillId="0" borderId="1" xfId="0" applyNumberFormat="1" applyFont="1" applyBorder="1" applyAlignment="1">
      <alignment horizontal="center"/>
    </xf>
    <xf numFmtId="16" fontId="3" fillId="0" borderId="0" xfId="0" applyNumberFormat="1" applyFont="1"/>
    <xf numFmtId="16" fontId="3" fillId="4" borderId="1" xfId="0" applyNumberFormat="1" applyFont="1" applyFill="1" applyBorder="1"/>
    <xf numFmtId="0" fontId="3" fillId="4" borderId="1" xfId="0" applyFont="1" applyFill="1" applyBorder="1"/>
    <xf numFmtId="0" fontId="3" fillId="4" borderId="1" xfId="0" applyNumberFormat="1" applyFont="1" applyFill="1" applyBorder="1" applyAlignment="1">
      <alignment horizontal="center"/>
    </xf>
    <xf numFmtId="167" fontId="3" fillId="4" borderId="1" xfId="0" applyNumberFormat="1" applyFont="1" applyFill="1" applyBorder="1"/>
    <xf numFmtId="167" fontId="3" fillId="4" borderId="1" xfId="0" applyNumberFormat="1" applyFont="1" applyFill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167" fontId="3" fillId="0" borderId="1" xfId="0" applyNumberFormat="1" applyFont="1" applyBorder="1" applyAlignment="1">
      <alignment horizontal="center" vertical="center"/>
    </xf>
    <xf numFmtId="1" fontId="3" fillId="5" borderId="1" xfId="0" quotePrefix="1" applyNumberFormat="1" applyFont="1" applyFill="1" applyBorder="1" applyAlignment="1">
      <alignment vertical="center"/>
    </xf>
    <xf numFmtId="16" fontId="3" fillId="5" borderId="1" xfId="0" applyNumberFormat="1" applyFont="1" applyFill="1" applyBorder="1"/>
    <xf numFmtId="0" fontId="3" fillId="5" borderId="1" xfId="0" applyFont="1" applyFill="1" applyBorder="1" applyAlignment="1">
      <alignment horizontal="center"/>
    </xf>
    <xf numFmtId="167" fontId="3" fillId="5" borderId="1" xfId="0" applyNumberFormat="1" applyFont="1" applyFill="1" applyBorder="1"/>
    <xf numFmtId="0" fontId="3" fillId="5" borderId="0" xfId="0" applyFont="1" applyFill="1"/>
    <xf numFmtId="16" fontId="3" fillId="5" borderId="1" xfId="0" applyNumberFormat="1" applyFont="1" applyFill="1" applyBorder="1" applyAlignment="1"/>
    <xf numFmtId="166" fontId="3" fillId="5" borderId="1" xfId="1" applyNumberFormat="1" applyFont="1" applyFill="1" applyBorder="1" applyAlignment="1"/>
    <xf numFmtId="167" fontId="3" fillId="0" borderId="1" xfId="0" applyNumberFormat="1" applyFont="1" applyBorder="1" applyAlignment="1">
      <alignment vertical="center"/>
    </xf>
    <xf numFmtId="0" fontId="3" fillId="0" borderId="1" xfId="0" applyNumberFormat="1" applyFon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167" fontId="0" fillId="0" borderId="1" xfId="0" applyNumberFormat="1" applyBorder="1" applyAlignment="1">
      <alignment horizontal="center" vertical="center"/>
    </xf>
    <xf numFmtId="16" fontId="3" fillId="5" borderId="1" xfId="0" applyNumberFormat="1" applyFont="1" applyFill="1" applyBorder="1" applyAlignment="1">
      <alignment horizontal="center"/>
    </xf>
    <xf numFmtId="16" fontId="3" fillId="2" borderId="1" xfId="0" applyNumberFormat="1" applyFont="1" applyFill="1" applyBorder="1" applyAlignment="1">
      <alignment horizontal="center"/>
    </xf>
    <xf numFmtId="16" fontId="3" fillId="0" borderId="1" xfId="0" applyNumberFormat="1" applyFont="1" applyBorder="1" applyAlignment="1">
      <alignment horizontal="center"/>
    </xf>
    <xf numFmtId="16" fontId="3" fillId="0" borderId="1" xfId="0" applyNumberFormat="1" applyFont="1" applyFill="1" applyBorder="1" applyAlignment="1">
      <alignment horizontal="center"/>
    </xf>
    <xf numFmtId="167" fontId="0" fillId="0" borderId="1" xfId="0" applyNumberFormat="1" applyBorder="1"/>
    <xf numFmtId="16" fontId="0" fillId="0" borderId="1" xfId="0" applyNumberFormat="1" applyBorder="1"/>
    <xf numFmtId="0" fontId="0" fillId="0" borderId="1" xfId="0" applyBorder="1" applyAlignment="1">
      <alignment horizontal="center"/>
    </xf>
    <xf numFmtId="167" fontId="3" fillId="6" borderId="1" xfId="0" applyNumberFormat="1" applyFont="1" applyFill="1" applyBorder="1"/>
    <xf numFmtId="16" fontId="0" fillId="6" borderId="1" xfId="0" applyNumberFormat="1" applyFill="1" applyBorder="1"/>
    <xf numFmtId="0" fontId="0" fillId="6" borderId="1" xfId="0" applyFill="1" applyBorder="1"/>
    <xf numFmtId="0" fontId="0" fillId="6" borderId="1" xfId="0" applyFill="1" applyBorder="1" applyAlignment="1">
      <alignment horizontal="center"/>
    </xf>
    <xf numFmtId="167" fontId="0" fillId="6" borderId="1" xfId="0" applyNumberFormat="1" applyFill="1" applyBorder="1"/>
    <xf numFmtId="0" fontId="3" fillId="5" borderId="1" xfId="0" applyFont="1" applyFill="1" applyBorder="1"/>
    <xf numFmtId="0" fontId="3" fillId="5" borderId="1" xfId="0" applyNumberFormat="1" applyFont="1" applyFill="1" applyBorder="1" applyAlignment="1">
      <alignment horizontal="center"/>
    </xf>
    <xf numFmtId="167" fontId="3" fillId="5" borderId="1" xfId="0" applyNumberFormat="1" applyFont="1" applyFill="1" applyBorder="1" applyAlignment="1">
      <alignment vertical="center"/>
    </xf>
    <xf numFmtId="0" fontId="3" fillId="5" borderId="1" xfId="0" applyFont="1" applyFill="1" applyBorder="1" applyAlignment="1">
      <alignment horizontal="center" vertical="center"/>
    </xf>
    <xf numFmtId="16" fontId="3" fillId="5" borderId="0" xfId="0" applyNumberFormat="1" applyFont="1" applyFill="1"/>
    <xf numFmtId="0" fontId="3" fillId="5" borderId="1" xfId="0" applyNumberFormat="1" applyFont="1" applyFill="1" applyBorder="1" applyAlignment="1">
      <alignment horizontal="center" vertical="center"/>
    </xf>
    <xf numFmtId="167" fontId="3" fillId="5" borderId="1" xfId="0" applyNumberFormat="1" applyFont="1" applyFill="1" applyBorder="1" applyAlignment="1">
      <alignment horizontal="center" vertical="center"/>
    </xf>
    <xf numFmtId="16" fontId="0" fillId="5" borderId="1" xfId="0" applyNumberFormat="1" applyFill="1" applyBorder="1"/>
    <xf numFmtId="0" fontId="0" fillId="5" borderId="1" xfId="0" applyFill="1" applyBorder="1"/>
    <xf numFmtId="0" fontId="0" fillId="5" borderId="1" xfId="0" applyFill="1" applyBorder="1" applyAlignment="1">
      <alignment horizontal="center"/>
    </xf>
    <xf numFmtId="16" fontId="3" fillId="5" borderId="1" xfId="0" applyNumberFormat="1" applyFont="1" applyFill="1" applyBorder="1" applyAlignment="1">
      <alignment vertical="center"/>
    </xf>
    <xf numFmtId="16" fontId="3" fillId="6" borderId="1" xfId="0" applyNumberFormat="1" applyFont="1" applyFill="1" applyBorder="1"/>
    <xf numFmtId="0" fontId="3" fillId="6" borderId="1" xfId="0" applyFont="1" applyFill="1" applyBorder="1"/>
    <xf numFmtId="0" fontId="3" fillId="6" borderId="1" xfId="0" applyFont="1" applyFill="1" applyBorder="1" applyAlignment="1">
      <alignment horizontal="center" vertical="center"/>
    </xf>
    <xf numFmtId="0" fontId="3" fillId="6" borderId="1" xfId="0" applyNumberFormat="1" applyFont="1" applyFill="1" applyBorder="1" applyAlignment="1">
      <alignment horizontal="center" vertical="center"/>
    </xf>
    <xf numFmtId="167" fontId="3" fillId="6" borderId="1" xfId="0" applyNumberFormat="1" applyFont="1" applyFill="1" applyBorder="1" applyAlignment="1">
      <alignment horizontal="center" vertical="center"/>
    </xf>
    <xf numFmtId="0" fontId="3" fillId="6" borderId="0" xfId="0" applyFont="1" applyFill="1"/>
    <xf numFmtId="1" fontId="3" fillId="6" borderId="1" xfId="0" quotePrefix="1" applyNumberFormat="1" applyFont="1" applyFill="1" applyBorder="1" applyAlignment="1">
      <alignment vertical="center"/>
    </xf>
    <xf numFmtId="0" fontId="3" fillId="6" borderId="1" xfId="0" applyFont="1" applyFill="1" applyBorder="1" applyAlignment="1">
      <alignment horizontal="center"/>
    </xf>
    <xf numFmtId="16" fontId="3" fillId="7" borderId="1" xfId="0" applyNumberFormat="1" applyFont="1" applyFill="1" applyBorder="1"/>
    <xf numFmtId="0" fontId="3" fillId="7" borderId="1" xfId="0" applyFont="1" applyFill="1" applyBorder="1"/>
    <xf numFmtId="0" fontId="3" fillId="7" borderId="1" xfId="0" applyNumberFormat="1" applyFont="1" applyFill="1" applyBorder="1" applyAlignment="1">
      <alignment horizontal="center"/>
    </xf>
    <xf numFmtId="167" fontId="3" fillId="7" borderId="1" xfId="0" applyNumberFormat="1" applyFont="1" applyFill="1" applyBorder="1"/>
    <xf numFmtId="167" fontId="3" fillId="7" borderId="1" xfId="0" applyNumberFormat="1" applyFont="1" applyFill="1" applyBorder="1" applyAlignment="1">
      <alignment vertical="center"/>
    </xf>
    <xf numFmtId="0" fontId="3" fillId="7" borderId="1" xfId="0" applyFont="1" applyFill="1" applyBorder="1" applyAlignment="1">
      <alignment horizontal="center"/>
    </xf>
    <xf numFmtId="1" fontId="3" fillId="7" borderId="1" xfId="0" quotePrefix="1" applyNumberFormat="1" applyFont="1" applyFill="1" applyBorder="1" applyAlignment="1">
      <alignment vertical="center"/>
    </xf>
    <xf numFmtId="16" fontId="3" fillId="7" borderId="1" xfId="0" applyNumberFormat="1" applyFont="1" applyFill="1" applyBorder="1" applyAlignment="1">
      <alignment horizontal="center"/>
    </xf>
    <xf numFmtId="0" fontId="3" fillId="0" borderId="1" xfId="0" applyNumberFormat="1" applyFont="1" applyBorder="1"/>
    <xf numFmtId="167" fontId="3" fillId="2" borderId="1" xfId="0" applyNumberFormat="1" applyFont="1" applyFill="1" applyBorder="1"/>
    <xf numFmtId="16" fontId="0" fillId="8" borderId="1" xfId="0" applyNumberFormat="1" applyFill="1" applyBorder="1"/>
    <xf numFmtId="0" fontId="0" fillId="8" borderId="1" xfId="0" applyFill="1" applyBorder="1"/>
    <xf numFmtId="0" fontId="0" fillId="8" borderId="1" xfId="0" applyFill="1" applyBorder="1" applyAlignment="1">
      <alignment horizontal="center"/>
    </xf>
    <xf numFmtId="167" fontId="0" fillId="8" borderId="1" xfId="0" applyNumberFormat="1" applyFill="1" applyBorder="1"/>
    <xf numFmtId="16" fontId="0" fillId="8" borderId="0" xfId="0" applyNumberFormat="1" applyFill="1"/>
    <xf numFmtId="167" fontId="3" fillId="8" borderId="1" xfId="0" applyNumberFormat="1" applyFont="1" applyFill="1" applyBorder="1" applyAlignment="1">
      <alignment vertical="center"/>
    </xf>
    <xf numFmtId="16" fontId="3" fillId="8" borderId="1" xfId="0" applyNumberFormat="1" applyFont="1" applyFill="1" applyBorder="1" applyAlignment="1">
      <alignment horizontal="center" vertical="center"/>
    </xf>
    <xf numFmtId="16" fontId="3" fillId="8" borderId="0" xfId="0" applyNumberFormat="1" applyFont="1" applyFill="1" applyAlignment="1">
      <alignment vertical="center"/>
    </xf>
    <xf numFmtId="0" fontId="3" fillId="9" borderId="1" xfId="0" applyFont="1" applyFill="1" applyBorder="1" applyAlignment="1">
      <alignment horizontal="center"/>
    </xf>
    <xf numFmtId="167" fontId="3" fillId="9" borderId="1" xfId="0" applyNumberFormat="1" applyFont="1" applyFill="1" applyBorder="1"/>
    <xf numFmtId="1" fontId="3" fillId="9" borderId="1" xfId="0" quotePrefix="1" applyNumberFormat="1" applyFont="1" applyFill="1" applyBorder="1" applyAlignment="1">
      <alignment vertical="center"/>
    </xf>
    <xf numFmtId="16" fontId="3" fillId="9" borderId="1" xfId="0" applyNumberFormat="1" applyFont="1" applyFill="1" applyBorder="1"/>
    <xf numFmtId="16" fontId="3" fillId="10" borderId="0" xfId="0" applyNumberFormat="1" applyFont="1" applyFill="1"/>
    <xf numFmtId="0" fontId="3" fillId="10" borderId="1" xfId="0" applyFont="1" applyFill="1" applyBorder="1"/>
    <xf numFmtId="0" fontId="3" fillId="10" borderId="1" xfId="0" applyNumberFormat="1" applyFont="1" applyFill="1" applyBorder="1" applyAlignment="1">
      <alignment horizontal="center"/>
    </xf>
    <xf numFmtId="167" fontId="3" fillId="10" borderId="1" xfId="0" applyNumberFormat="1" applyFont="1" applyFill="1" applyBorder="1"/>
    <xf numFmtId="167" fontId="3" fillId="10" borderId="1" xfId="0" applyNumberFormat="1" applyFont="1" applyFill="1" applyBorder="1" applyAlignment="1">
      <alignment vertical="center"/>
    </xf>
    <xf numFmtId="0" fontId="3" fillId="10" borderId="1" xfId="0" applyFont="1" applyFill="1" applyBorder="1" applyAlignment="1">
      <alignment horizontal="center" vertical="center"/>
    </xf>
    <xf numFmtId="1" fontId="3" fillId="10" borderId="1" xfId="0" quotePrefix="1" applyNumberFormat="1" applyFont="1" applyFill="1" applyBorder="1" applyAlignment="1">
      <alignment vertical="center"/>
    </xf>
    <xf numFmtId="16" fontId="3" fillId="10" borderId="1" xfId="0" applyNumberFormat="1" applyFont="1" applyFill="1" applyBorder="1"/>
    <xf numFmtId="0" fontId="3" fillId="10" borderId="1" xfId="0" applyFont="1" applyFill="1" applyBorder="1" applyAlignment="1">
      <alignment horizontal="center"/>
    </xf>
    <xf numFmtId="16" fontId="3" fillId="10" borderId="1" xfId="0" applyNumberFormat="1" applyFont="1" applyFill="1" applyBorder="1" applyAlignment="1">
      <alignment horizontal="center"/>
    </xf>
    <xf numFmtId="167" fontId="0" fillId="0" borderId="1" xfId="0" applyNumberFormat="1" applyBorder="1" applyAlignment="1">
      <alignment vertical="center"/>
    </xf>
    <xf numFmtId="0" fontId="2" fillId="0" borderId="0" xfId="0" applyFont="1" applyAlignment="1">
      <alignment horizontal="center"/>
    </xf>
    <xf numFmtId="16" fontId="0" fillId="0" borderId="1" xfId="0" applyNumberFormat="1" applyBorder="1" applyAlignment="1">
      <alignment horizontal="center"/>
    </xf>
    <xf numFmtId="16" fontId="0" fillId="3" borderId="1" xfId="0" applyNumberFormat="1" applyFill="1" applyBorder="1"/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167" fontId="0" fillId="3" borderId="1" xfId="0" applyNumberFormat="1" applyFill="1" applyBorder="1"/>
    <xf numFmtId="16" fontId="0" fillId="3" borderId="0" xfId="0" applyNumberFormat="1" applyFill="1"/>
    <xf numFmtId="16" fontId="3" fillId="11" borderId="1" xfId="0" applyNumberFormat="1" applyFont="1" applyFill="1" applyBorder="1" applyAlignment="1">
      <alignment horizontal="center"/>
    </xf>
    <xf numFmtId="0" fontId="3" fillId="11" borderId="1" xfId="0" applyFont="1" applyFill="1" applyBorder="1"/>
    <xf numFmtId="0" fontId="3" fillId="11" borderId="1" xfId="0" applyFont="1" applyFill="1" applyBorder="1" applyAlignment="1">
      <alignment horizontal="center"/>
    </xf>
    <xf numFmtId="0" fontId="3" fillId="11" borderId="1" xfId="0" applyNumberFormat="1" applyFont="1" applyFill="1" applyBorder="1" applyAlignment="1">
      <alignment horizontal="center"/>
    </xf>
    <xf numFmtId="167" fontId="3" fillId="11" borderId="1" xfId="0" applyNumberFormat="1" applyFont="1" applyFill="1" applyBorder="1"/>
    <xf numFmtId="0" fontId="3" fillId="0" borderId="1" xfId="0" applyFont="1" applyBorder="1" applyAlignment="1">
      <alignment horizontal="center" vertical="center"/>
    </xf>
    <xf numFmtId="0" fontId="3" fillId="11" borderId="1" xfId="0" applyNumberFormat="1" applyFont="1" applyFill="1" applyBorder="1" applyAlignment="1">
      <alignment horizontal="center" vertical="center"/>
    </xf>
    <xf numFmtId="167" fontId="0" fillId="0" borderId="0" xfId="1" applyNumberFormat="1" applyFont="1"/>
    <xf numFmtId="167" fontId="0" fillId="0" borderId="1" xfId="1" applyNumberFormat="1" applyFont="1" applyBorder="1" applyAlignment="1">
      <alignment horizontal="center" vertical="center" wrapText="1"/>
    </xf>
    <xf numFmtId="167" fontId="0" fillId="0" borderId="0" xfId="0" applyNumberFormat="1"/>
    <xf numFmtId="0" fontId="3" fillId="6" borderId="0" xfId="0" applyFont="1" applyFill="1" applyBorder="1"/>
    <xf numFmtId="16" fontId="3" fillId="0" borderId="0" xfId="0" applyNumberFormat="1" applyFont="1" applyBorder="1"/>
    <xf numFmtId="0" fontId="3" fillId="0" borderId="0" xfId="0" applyFont="1" applyBorder="1" applyAlignment="1">
      <alignment horizontal="center"/>
    </xf>
    <xf numFmtId="167" fontId="3" fillId="2" borderId="0" xfId="0" applyNumberFormat="1" applyFont="1" applyFill="1" applyBorder="1"/>
    <xf numFmtId="0" fontId="3" fillId="0" borderId="0" xfId="0" applyFont="1" applyBorder="1"/>
    <xf numFmtId="16" fontId="3" fillId="12" borderId="1" xfId="0" applyNumberFormat="1" applyFont="1" applyFill="1" applyBorder="1"/>
    <xf numFmtId="0" fontId="3" fillId="12" borderId="1" xfId="0" applyFont="1" applyFill="1" applyBorder="1" applyAlignment="1">
      <alignment horizontal="center" vertical="center"/>
    </xf>
    <xf numFmtId="0" fontId="3" fillId="12" borderId="1" xfId="0" applyNumberFormat="1" applyFont="1" applyFill="1" applyBorder="1" applyAlignment="1">
      <alignment horizontal="center" vertical="center"/>
    </xf>
    <xf numFmtId="167" fontId="3" fillId="12" borderId="1" xfId="0" applyNumberFormat="1" applyFont="1" applyFill="1" applyBorder="1" applyAlignment="1">
      <alignment horizontal="center" vertical="center"/>
    </xf>
    <xf numFmtId="0" fontId="3" fillId="12" borderId="0" xfId="0" applyFont="1" applyFill="1"/>
    <xf numFmtId="0" fontId="0" fillId="0" borderId="1" xfId="0" applyBorder="1" applyAlignment="1">
      <alignment horizontal="left"/>
    </xf>
    <xf numFmtId="16" fontId="0" fillId="7" borderId="1" xfId="0" applyNumberFormat="1" applyFill="1" applyBorder="1"/>
    <xf numFmtId="0" fontId="0" fillId="7" borderId="1" xfId="0" applyFill="1" applyBorder="1"/>
    <xf numFmtId="0" fontId="0" fillId="7" borderId="1" xfId="0" applyFill="1" applyBorder="1" applyAlignment="1">
      <alignment horizontal="center"/>
    </xf>
    <xf numFmtId="167" fontId="0" fillId="7" borderId="1" xfId="0" applyNumberFormat="1" applyFill="1" applyBorder="1"/>
    <xf numFmtId="16" fontId="0" fillId="7" borderId="0" xfId="0" applyNumberFormat="1" applyFill="1"/>
    <xf numFmtId="0" fontId="3" fillId="13" borderId="1" xfId="0" applyFont="1" applyFill="1" applyBorder="1"/>
    <xf numFmtId="0" fontId="3" fillId="13" borderId="1" xfId="0" applyNumberFormat="1" applyFont="1" applyFill="1" applyBorder="1" applyAlignment="1">
      <alignment horizontal="center"/>
    </xf>
    <xf numFmtId="167" fontId="3" fillId="13" borderId="1" xfId="0" applyNumberFormat="1" applyFont="1" applyFill="1" applyBorder="1"/>
    <xf numFmtId="167" fontId="3" fillId="13" borderId="1" xfId="0" applyNumberFormat="1" applyFont="1" applyFill="1" applyBorder="1" applyAlignment="1">
      <alignment vertical="center"/>
    </xf>
    <xf numFmtId="16" fontId="3" fillId="13" borderId="1" xfId="0" applyNumberFormat="1" applyFont="1" applyFill="1" applyBorder="1"/>
    <xf numFmtId="0" fontId="3" fillId="13" borderId="1" xfId="0" applyFont="1" applyFill="1" applyBorder="1" applyAlignment="1">
      <alignment horizontal="center" vertical="center"/>
    </xf>
    <xf numFmtId="0" fontId="3" fillId="13" borderId="1" xfId="0" applyNumberFormat="1" applyFont="1" applyFill="1" applyBorder="1" applyAlignment="1">
      <alignment horizontal="center" vertical="center"/>
    </xf>
    <xf numFmtId="167" fontId="3" fillId="13" borderId="1" xfId="0" applyNumberFormat="1" applyFont="1" applyFill="1" applyBorder="1" applyAlignment="1">
      <alignment horizontal="center" vertical="center"/>
    </xf>
    <xf numFmtId="0" fontId="3" fillId="13" borderId="0" xfId="0" applyFont="1" applyFill="1"/>
    <xf numFmtId="16" fontId="3" fillId="13" borderId="0" xfId="0" applyNumberFormat="1" applyFont="1" applyFill="1"/>
    <xf numFmtId="16" fontId="0" fillId="13" borderId="1" xfId="0" applyNumberFormat="1" applyFill="1" applyBorder="1"/>
    <xf numFmtId="0" fontId="0" fillId="13" borderId="1" xfId="0" applyFill="1" applyBorder="1"/>
    <xf numFmtId="0" fontId="0" fillId="13" borderId="1" xfId="0" applyFill="1" applyBorder="1" applyAlignment="1">
      <alignment horizontal="center"/>
    </xf>
    <xf numFmtId="167" fontId="0" fillId="13" borderId="1" xfId="0" applyNumberFormat="1" applyFill="1" applyBorder="1"/>
    <xf numFmtId="0" fontId="0" fillId="13" borderId="0" xfId="0" applyFill="1"/>
    <xf numFmtId="0" fontId="3" fillId="13" borderId="1" xfId="0" applyFont="1" applyFill="1" applyBorder="1" applyAlignment="1">
      <alignment horizontal="center"/>
    </xf>
    <xf numFmtId="16" fontId="3" fillId="13" borderId="1" xfId="0" applyNumberFormat="1" applyFont="1" applyFill="1" applyBorder="1" applyAlignment="1">
      <alignment horizontal="center"/>
    </xf>
    <xf numFmtId="1" fontId="3" fillId="13" borderId="1" xfId="0" quotePrefix="1" applyNumberFormat="1" applyFont="1" applyFill="1" applyBorder="1" applyAlignment="1">
      <alignment vertical="center"/>
    </xf>
    <xf numFmtId="16" fontId="3" fillId="13" borderId="1" xfId="0" applyNumberFormat="1" applyFont="1" applyFill="1" applyBorder="1" applyAlignment="1"/>
    <xf numFmtId="166" fontId="3" fillId="13" borderId="1" xfId="1" applyNumberFormat="1" applyFont="1" applyFill="1" applyBorder="1" applyAlignment="1"/>
    <xf numFmtId="167" fontId="3" fillId="13" borderId="0" xfId="0" applyNumberFormat="1" applyFont="1" applyFill="1"/>
    <xf numFmtId="166" fontId="3" fillId="13" borderId="0" xfId="0" applyNumberFormat="1" applyFont="1" applyFill="1"/>
    <xf numFmtId="16" fontId="3" fillId="14" borderId="1" xfId="0" applyNumberFormat="1" applyFont="1" applyFill="1" applyBorder="1"/>
    <xf numFmtId="0" fontId="3" fillId="14" borderId="1" xfId="0" applyFont="1" applyFill="1" applyBorder="1"/>
    <xf numFmtId="0" fontId="3" fillId="14" borderId="1" xfId="0" applyNumberFormat="1" applyFont="1" applyFill="1" applyBorder="1" applyAlignment="1">
      <alignment horizontal="center"/>
    </xf>
    <xf numFmtId="167" fontId="3" fillId="14" borderId="1" xfId="0" applyNumberFormat="1" applyFont="1" applyFill="1" applyBorder="1"/>
    <xf numFmtId="167" fontId="3" fillId="14" borderId="1" xfId="0" applyNumberFormat="1" applyFont="1" applyFill="1" applyBorder="1" applyAlignment="1">
      <alignment vertical="center"/>
    </xf>
    <xf numFmtId="0" fontId="3" fillId="14" borderId="1" xfId="0" applyFont="1" applyFill="1" applyBorder="1" applyAlignment="1">
      <alignment horizontal="center" vertical="center"/>
    </xf>
    <xf numFmtId="0" fontId="3" fillId="14" borderId="1" xfId="0" applyNumberFormat="1" applyFont="1" applyFill="1" applyBorder="1" applyAlignment="1">
      <alignment horizontal="center" vertical="center"/>
    </xf>
    <xf numFmtId="167" fontId="3" fillId="14" borderId="1" xfId="0" applyNumberFormat="1" applyFont="1" applyFill="1" applyBorder="1" applyAlignment="1">
      <alignment horizontal="center" vertical="center"/>
    </xf>
    <xf numFmtId="16" fontId="0" fillId="14" borderId="1" xfId="0" applyNumberFormat="1" applyFill="1" applyBorder="1"/>
    <xf numFmtId="0" fontId="0" fillId="14" borderId="1" xfId="0" applyFill="1" applyBorder="1"/>
    <xf numFmtId="0" fontId="0" fillId="14" borderId="1" xfId="0" applyFill="1" applyBorder="1" applyAlignment="1">
      <alignment horizontal="center"/>
    </xf>
    <xf numFmtId="167" fontId="0" fillId="14" borderId="1" xfId="0" applyNumberFormat="1" applyFill="1" applyBorder="1"/>
    <xf numFmtId="0" fontId="0" fillId="14" borderId="1" xfId="0" applyFill="1" applyBorder="1" applyAlignment="1">
      <alignment horizontal="center" vertical="center"/>
    </xf>
    <xf numFmtId="16" fontId="0" fillId="14" borderId="0" xfId="0" applyNumberFormat="1" applyFill="1"/>
    <xf numFmtId="0" fontId="3" fillId="14" borderId="1" xfId="0" applyFont="1" applyFill="1" applyBorder="1" applyAlignment="1">
      <alignment horizontal="center"/>
    </xf>
    <xf numFmtId="16" fontId="3" fillId="14" borderId="0" xfId="0" applyNumberFormat="1" applyFont="1" applyFill="1"/>
    <xf numFmtId="16" fontId="0" fillId="14" borderId="1" xfId="0" applyNumberFormat="1" applyFill="1" applyBorder="1" applyAlignment="1">
      <alignment horizontal="center"/>
    </xf>
    <xf numFmtId="16" fontId="3" fillId="14" borderId="1" xfId="0" applyNumberFormat="1" applyFont="1" applyFill="1" applyBorder="1" applyAlignment="1">
      <alignment horizontal="center"/>
    </xf>
    <xf numFmtId="1" fontId="3" fillId="14" borderId="1" xfId="0" quotePrefix="1" applyNumberFormat="1" applyFont="1" applyFill="1" applyBorder="1" applyAlignment="1">
      <alignment vertical="center"/>
    </xf>
    <xf numFmtId="166" fontId="3" fillId="14" borderId="1" xfId="1" applyNumberFormat="1" applyFont="1" applyFill="1" applyBorder="1" applyAlignment="1"/>
    <xf numFmtId="16" fontId="3" fillId="15" borderId="1" xfId="0" applyNumberFormat="1" applyFont="1" applyFill="1" applyBorder="1"/>
    <xf numFmtId="0" fontId="3" fillId="15" borderId="1" xfId="0" applyFont="1" applyFill="1" applyBorder="1"/>
    <xf numFmtId="0" fontId="3" fillId="15" borderId="1" xfId="0" applyFont="1" applyFill="1" applyBorder="1" applyAlignment="1">
      <alignment horizontal="center"/>
    </xf>
    <xf numFmtId="0" fontId="3" fillId="15" borderId="1" xfId="0" applyNumberFormat="1" applyFont="1" applyFill="1" applyBorder="1" applyAlignment="1">
      <alignment horizontal="center"/>
    </xf>
    <xf numFmtId="167" fontId="3" fillId="15" borderId="1" xfId="0" applyNumberFormat="1" applyFont="1" applyFill="1" applyBorder="1"/>
    <xf numFmtId="0" fontId="3" fillId="15" borderId="0" xfId="0" applyFont="1" applyFill="1"/>
    <xf numFmtId="16" fontId="0" fillId="16" borderId="1" xfId="0" applyNumberFormat="1" applyFill="1" applyBorder="1"/>
    <xf numFmtId="0" fontId="0" fillId="16" borderId="1" xfId="0" applyFill="1" applyBorder="1"/>
    <xf numFmtId="0" fontId="0" fillId="16" borderId="1" xfId="0" applyFill="1" applyBorder="1" applyAlignment="1">
      <alignment horizontal="center" vertical="center"/>
    </xf>
    <xf numFmtId="0" fontId="3" fillId="16" borderId="1" xfId="0" applyNumberFormat="1" applyFont="1" applyFill="1" applyBorder="1" applyAlignment="1">
      <alignment horizontal="center"/>
    </xf>
    <xf numFmtId="167" fontId="3" fillId="16" borderId="1" xfId="0" applyNumberFormat="1" applyFont="1" applyFill="1" applyBorder="1"/>
    <xf numFmtId="167" fontId="0" fillId="16" borderId="1" xfId="0" applyNumberFormat="1" applyFill="1" applyBorder="1"/>
    <xf numFmtId="167" fontId="0" fillId="0" borderId="1" xfId="0" applyNumberFormat="1" applyBorder="1" applyAlignment="1">
      <alignment horizontal="center"/>
    </xf>
    <xf numFmtId="16" fontId="0" fillId="17" borderId="1" xfId="0" applyNumberFormat="1" applyFill="1" applyBorder="1" applyAlignment="1">
      <alignment horizontal="center"/>
    </xf>
    <xf numFmtId="0" fontId="0" fillId="17" borderId="1" xfId="0" applyFill="1" applyBorder="1" applyAlignment="1">
      <alignment horizontal="center"/>
    </xf>
    <xf numFmtId="0" fontId="3" fillId="17" borderId="1" xfId="0" applyFont="1" applyFill="1" applyBorder="1"/>
    <xf numFmtId="16" fontId="3" fillId="17" borderId="1" xfId="0" applyNumberFormat="1" applyFont="1" applyFill="1" applyBorder="1" applyAlignment="1">
      <alignment horizontal="center"/>
    </xf>
    <xf numFmtId="0" fontId="3" fillId="17" borderId="1" xfId="0" applyFont="1" applyFill="1" applyBorder="1" applyAlignment="1">
      <alignment horizontal="center"/>
    </xf>
    <xf numFmtId="166" fontId="3" fillId="17" borderId="1" xfId="1" applyNumberFormat="1" applyFont="1" applyFill="1" applyBorder="1" applyAlignment="1"/>
    <xf numFmtId="167" fontId="3" fillId="17" borderId="1" xfId="0" applyNumberFormat="1" applyFont="1" applyFill="1" applyBorder="1"/>
    <xf numFmtId="0" fontId="3" fillId="17" borderId="1" xfId="0" applyNumberFormat="1" applyFont="1" applyFill="1" applyBorder="1" applyAlignment="1">
      <alignment horizontal="center" vertical="center"/>
    </xf>
    <xf numFmtId="0" fontId="3" fillId="17" borderId="1" xfId="0" applyNumberFormat="1" applyFont="1" applyFill="1" applyBorder="1" applyAlignment="1">
      <alignment horizontal="center"/>
    </xf>
    <xf numFmtId="0" fontId="0" fillId="17" borderId="1" xfId="0" applyFill="1" applyBorder="1"/>
    <xf numFmtId="0" fontId="0" fillId="17" borderId="1" xfId="0" applyFill="1" applyBorder="1" applyAlignment="1">
      <alignment horizontal="center" vertical="center"/>
    </xf>
    <xf numFmtId="167" fontId="0" fillId="17" borderId="1" xfId="0" applyNumberFormat="1" applyFill="1" applyBorder="1"/>
    <xf numFmtId="16" fontId="3" fillId="17" borderId="0" xfId="0" applyNumberFormat="1" applyFont="1" applyFill="1"/>
    <xf numFmtId="16" fontId="0" fillId="9" borderId="1" xfId="0" applyNumberFormat="1" applyFill="1" applyBorder="1"/>
    <xf numFmtId="0" fontId="0" fillId="9" borderId="1" xfId="0" applyFill="1" applyBorder="1"/>
    <xf numFmtId="0" fontId="0" fillId="9" borderId="1" xfId="0" applyFill="1" applyBorder="1" applyAlignment="1">
      <alignment horizontal="center"/>
    </xf>
    <xf numFmtId="167" fontId="0" fillId="9" borderId="1" xfId="0" applyNumberFormat="1" applyFill="1" applyBorder="1"/>
    <xf numFmtId="16" fontId="3" fillId="5" borderId="2" xfId="0" applyNumberFormat="1" applyFont="1" applyFill="1" applyBorder="1" applyAlignment="1">
      <alignment horizontal="center" vertical="center"/>
    </xf>
    <xf numFmtId="0" fontId="3" fillId="5" borderId="0" xfId="0" applyFont="1" applyFill="1" applyAlignment="1"/>
    <xf numFmtId="16" fontId="0" fillId="5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167" fontId="0" fillId="5" borderId="1" xfId="0" applyNumberFormat="1" applyFill="1" applyBorder="1"/>
    <xf numFmtId="0" fontId="0" fillId="5" borderId="0" xfId="0" applyFill="1"/>
    <xf numFmtId="0" fontId="0" fillId="5" borderId="5" xfId="0" applyFill="1" applyBorder="1" applyAlignment="1">
      <alignment horizontal="center" vertical="center" wrapText="1"/>
    </xf>
    <xf numFmtId="0" fontId="0" fillId="5" borderId="0" xfId="0" applyFill="1" applyAlignment="1">
      <alignment horizontal="center"/>
    </xf>
    <xf numFmtId="16" fontId="0" fillId="18" borderId="1" xfId="0" applyNumberFormat="1" applyFill="1" applyBorder="1"/>
    <xf numFmtId="0" fontId="0" fillId="18" borderId="1" xfId="0" applyFill="1" applyBorder="1"/>
    <xf numFmtId="0" fontId="0" fillId="18" borderId="1" xfId="0" applyFill="1" applyBorder="1" applyAlignment="1">
      <alignment horizontal="center"/>
    </xf>
    <xf numFmtId="167" fontId="0" fillId="18" borderId="1" xfId="0" applyNumberFormat="1" applyFill="1" applyBorder="1" applyAlignment="1">
      <alignment horizontal="center"/>
    </xf>
    <xf numFmtId="167" fontId="0" fillId="18" borderId="1" xfId="0" applyNumberFormat="1" applyFill="1" applyBorder="1"/>
    <xf numFmtId="0" fontId="3" fillId="5" borderId="1" xfId="0" applyFont="1" applyFill="1" applyBorder="1" applyAlignment="1">
      <alignment horizontal="right"/>
    </xf>
    <xf numFmtId="16" fontId="3" fillId="5" borderId="1" xfId="0" applyNumberFormat="1" applyFont="1" applyFill="1" applyBorder="1" applyAlignment="1">
      <alignment horizontal="right"/>
    </xf>
    <xf numFmtId="0" fontId="0" fillId="0" borderId="0" xfId="0" applyFill="1"/>
    <xf numFmtId="0" fontId="3" fillId="8" borderId="1" xfId="0" applyFont="1" applyFill="1" applyBorder="1"/>
    <xf numFmtId="16" fontId="3" fillId="8" borderId="1" xfId="0" applyNumberFormat="1" applyFont="1" applyFill="1" applyBorder="1"/>
    <xf numFmtId="0" fontId="3" fillId="8" borderId="1" xfId="0" applyFont="1" applyFill="1" applyBorder="1" applyAlignment="1">
      <alignment horizontal="center"/>
    </xf>
    <xf numFmtId="167" fontId="3" fillId="8" borderId="1" xfId="0" applyNumberFormat="1" applyFont="1" applyFill="1" applyBorder="1"/>
    <xf numFmtId="0" fontId="0" fillId="0" borderId="1" xfId="0" applyFill="1" applyBorder="1" applyAlignment="1">
      <alignment horizontal="center"/>
    </xf>
    <xf numFmtId="166" fontId="0" fillId="8" borderId="1" xfId="0" applyNumberFormat="1" applyFill="1" applyBorder="1"/>
    <xf numFmtId="16" fontId="3" fillId="13" borderId="1" xfId="0" applyNumberFormat="1" applyFont="1" applyFill="1" applyBorder="1" applyAlignment="1">
      <alignment horizontal="right"/>
    </xf>
    <xf numFmtId="0" fontId="3" fillId="3" borderId="1" xfId="0" applyFont="1" applyFill="1" applyBorder="1" applyAlignment="1">
      <alignment horizontal="right"/>
    </xf>
    <xf numFmtId="16" fontId="3" fillId="10" borderId="1" xfId="0" applyNumberFormat="1" applyFont="1" applyFill="1" applyBorder="1" applyAlignment="1">
      <alignment horizontal="right"/>
    </xf>
    <xf numFmtId="16" fontId="3" fillId="7" borderId="1" xfId="0" applyNumberFormat="1" applyFont="1" applyFill="1" applyBorder="1" applyAlignment="1">
      <alignment horizontal="right"/>
    </xf>
    <xf numFmtId="16" fontId="3" fillId="6" borderId="1" xfId="0" applyNumberFormat="1" applyFont="1" applyFill="1" applyBorder="1" applyAlignment="1">
      <alignment horizontal="right"/>
    </xf>
    <xf numFmtId="16" fontId="0" fillId="19" borderId="1" xfId="0" applyNumberFormat="1" applyFill="1" applyBorder="1" applyAlignment="1">
      <alignment horizontal="center"/>
    </xf>
    <xf numFmtId="0" fontId="0" fillId="19" borderId="1" xfId="0" applyFill="1" applyBorder="1"/>
    <xf numFmtId="0" fontId="0" fillId="19" borderId="1" xfId="0" applyFill="1" applyBorder="1" applyAlignment="1">
      <alignment horizontal="center"/>
    </xf>
    <xf numFmtId="0" fontId="0" fillId="19" borderId="1" xfId="0" applyFill="1" applyBorder="1" applyAlignment="1">
      <alignment horizontal="center" vertical="center"/>
    </xf>
    <xf numFmtId="167" fontId="0" fillId="19" borderId="1" xfId="0" applyNumberFormat="1" applyFill="1" applyBorder="1"/>
    <xf numFmtId="167" fontId="3" fillId="19" borderId="1" xfId="0" applyNumberFormat="1" applyFont="1" applyFill="1" applyBorder="1"/>
    <xf numFmtId="0" fontId="3" fillId="9" borderId="1" xfId="0" applyFont="1" applyFill="1" applyBorder="1" applyAlignment="1">
      <alignment horizontal="right"/>
    </xf>
    <xf numFmtId="16" fontId="3" fillId="18" borderId="1" xfId="0" applyNumberFormat="1" applyFont="1" applyFill="1" applyBorder="1"/>
    <xf numFmtId="0" fontId="3" fillId="18" borderId="1" xfId="0" applyFont="1" applyFill="1" applyBorder="1" applyAlignment="1">
      <alignment horizontal="center"/>
    </xf>
    <xf numFmtId="167" fontId="3" fillId="18" borderId="1" xfId="0" applyNumberFormat="1" applyFont="1" applyFill="1" applyBorder="1"/>
    <xf numFmtId="16" fontId="3" fillId="18" borderId="1" xfId="0" applyNumberFormat="1" applyFont="1" applyFill="1" applyBorder="1" applyAlignment="1">
      <alignment horizontal="left"/>
    </xf>
    <xf numFmtId="16" fontId="3" fillId="20" borderId="1" xfId="0" applyNumberFormat="1" applyFont="1" applyFill="1" applyBorder="1"/>
    <xf numFmtId="0" fontId="3" fillId="20" borderId="1" xfId="0" applyFont="1" applyFill="1" applyBorder="1"/>
    <xf numFmtId="0" fontId="3" fillId="20" borderId="1" xfId="0" applyFont="1" applyFill="1" applyBorder="1" applyAlignment="1">
      <alignment horizontal="center"/>
    </xf>
    <xf numFmtId="0" fontId="3" fillId="20" borderId="1" xfId="0" applyNumberFormat="1" applyFont="1" applyFill="1" applyBorder="1" applyAlignment="1">
      <alignment horizontal="center"/>
    </xf>
    <xf numFmtId="167" fontId="3" fillId="20" borderId="1" xfId="0" applyNumberFormat="1" applyFont="1" applyFill="1" applyBorder="1"/>
    <xf numFmtId="0" fontId="3" fillId="20" borderId="0" xfId="0" applyFont="1" applyFill="1"/>
    <xf numFmtId="0" fontId="3" fillId="21" borderId="1" xfId="0" applyFont="1" applyFill="1" applyBorder="1"/>
    <xf numFmtId="16" fontId="3" fillId="21" borderId="1" xfId="0" applyNumberFormat="1" applyFont="1" applyFill="1" applyBorder="1"/>
    <xf numFmtId="0" fontId="3" fillId="21" borderId="1" xfId="0" applyFont="1" applyFill="1" applyBorder="1" applyAlignment="1">
      <alignment horizontal="center"/>
    </xf>
    <xf numFmtId="167" fontId="3" fillId="21" borderId="1" xfId="0" applyNumberFormat="1" applyFont="1" applyFill="1" applyBorder="1"/>
    <xf numFmtId="0" fontId="3" fillId="22" borderId="1" xfId="0" applyFont="1" applyFill="1" applyBorder="1"/>
    <xf numFmtId="16" fontId="3" fillId="22" borderId="1" xfId="0" applyNumberFormat="1" applyFont="1" applyFill="1" applyBorder="1"/>
    <xf numFmtId="0" fontId="3" fillId="22" borderId="1" xfId="0" applyFont="1" applyFill="1" applyBorder="1" applyAlignment="1">
      <alignment horizontal="center"/>
    </xf>
    <xf numFmtId="167" fontId="3" fillId="22" borderId="1" xfId="0" applyNumberFormat="1" applyFont="1" applyFill="1" applyBorder="1"/>
    <xf numFmtId="16" fontId="3" fillId="22" borderId="1" xfId="0" applyNumberFormat="1" applyFont="1" applyFill="1" applyBorder="1" applyAlignment="1">
      <alignment horizontal="left"/>
    </xf>
    <xf numFmtId="0" fontId="3" fillId="22" borderId="1" xfId="0" applyNumberFormat="1" applyFont="1" applyFill="1" applyBorder="1" applyAlignment="1">
      <alignment horizontal="center"/>
    </xf>
    <xf numFmtId="0" fontId="3" fillId="22" borderId="0" xfId="0" applyFont="1" applyFill="1"/>
    <xf numFmtId="0" fontId="3" fillId="21" borderId="1" xfId="0" applyNumberFormat="1" applyFont="1" applyFill="1" applyBorder="1" applyAlignment="1">
      <alignment horizontal="center"/>
    </xf>
    <xf numFmtId="16" fontId="3" fillId="19" borderId="1" xfId="0" applyNumberFormat="1" applyFont="1" applyFill="1" applyBorder="1" applyAlignment="1">
      <alignment horizontal="center"/>
    </xf>
    <xf numFmtId="0" fontId="3" fillId="19" borderId="1" xfId="0" applyFont="1" applyFill="1" applyBorder="1"/>
    <xf numFmtId="0" fontId="3" fillId="19" borderId="1" xfId="0" applyFont="1" applyFill="1" applyBorder="1" applyAlignment="1">
      <alignment horizontal="center"/>
    </xf>
    <xf numFmtId="0" fontId="3" fillId="19" borderId="1" xfId="0" applyNumberFormat="1" applyFont="1" applyFill="1" applyBorder="1" applyAlignment="1">
      <alignment horizontal="center" vertical="center"/>
    </xf>
    <xf numFmtId="0" fontId="3" fillId="19" borderId="1" xfId="0" applyNumberFormat="1" applyFont="1" applyFill="1" applyBorder="1" applyAlignment="1">
      <alignment horizontal="center"/>
    </xf>
    <xf numFmtId="16" fontId="0" fillId="19" borderId="1" xfId="0" applyNumberFormat="1" applyFill="1" applyBorder="1"/>
    <xf numFmtId="167" fontId="0" fillId="19" borderId="1" xfId="0" applyNumberFormat="1" applyFill="1" applyBorder="1" applyAlignment="1">
      <alignment vertical="center"/>
    </xf>
    <xf numFmtId="16" fontId="3" fillId="19" borderId="1" xfId="0" applyNumberFormat="1" applyFont="1" applyFill="1" applyBorder="1"/>
    <xf numFmtId="1" fontId="3" fillId="19" borderId="1" xfId="0" quotePrefix="1" applyNumberFormat="1" applyFont="1" applyFill="1" applyBorder="1" applyAlignment="1">
      <alignment vertical="center"/>
    </xf>
    <xf numFmtId="167" fontId="3" fillId="0" borderId="0" xfId="0" applyNumberFormat="1" applyFont="1" applyFill="1"/>
    <xf numFmtId="16" fontId="0" fillId="6" borderId="1" xfId="0" applyNumberFormat="1" applyFill="1" applyBorder="1" applyAlignment="1">
      <alignment horizontal="center"/>
    </xf>
    <xf numFmtId="0" fontId="0" fillId="6" borderId="1" xfId="0" applyFill="1" applyBorder="1" applyAlignment="1">
      <alignment horizontal="center" vertical="center"/>
    </xf>
    <xf numFmtId="0" fontId="3" fillId="19" borderId="0" xfId="0" applyFont="1" applyFill="1" applyAlignment="1"/>
    <xf numFmtId="167" fontId="0" fillId="19" borderId="1" xfId="0" applyNumberFormat="1" applyFill="1" applyBorder="1" applyAlignment="1">
      <alignment horizontal="center" vertical="center"/>
    </xf>
    <xf numFmtId="0" fontId="0" fillId="6" borderId="0" xfId="0" applyFill="1"/>
    <xf numFmtId="16" fontId="3" fillId="14" borderId="1" xfId="0" applyNumberFormat="1" applyFont="1" applyFill="1" applyBorder="1" applyAlignment="1">
      <alignment horizontal="right"/>
    </xf>
    <xf numFmtId="0" fontId="3" fillId="19" borderId="1" xfId="0" applyFont="1" applyFill="1" applyBorder="1" applyAlignment="1">
      <alignment horizontal="right"/>
    </xf>
    <xf numFmtId="0" fontId="0" fillId="8" borderId="1" xfId="0" applyFill="1" applyBorder="1" applyAlignment="1">
      <alignment horizontal="right"/>
    </xf>
    <xf numFmtId="1" fontId="3" fillId="23" borderId="1" xfId="0" quotePrefix="1" applyNumberFormat="1" applyFont="1" applyFill="1" applyBorder="1" applyAlignment="1">
      <alignment vertical="center"/>
    </xf>
    <xf numFmtId="16" fontId="3" fillId="23" borderId="1" xfId="0" applyNumberFormat="1" applyFont="1" applyFill="1" applyBorder="1" applyAlignment="1">
      <alignment horizontal="center"/>
    </xf>
    <xf numFmtId="0" fontId="3" fillId="23" borderId="1" xfId="0" applyFont="1" applyFill="1" applyBorder="1" applyAlignment="1">
      <alignment horizontal="center"/>
    </xf>
    <xf numFmtId="167" fontId="3" fillId="23" borderId="1" xfId="0" applyNumberFormat="1" applyFont="1" applyFill="1" applyBorder="1"/>
    <xf numFmtId="16" fontId="3" fillId="23" borderId="1" xfId="0" applyNumberFormat="1" applyFont="1" applyFill="1" applyBorder="1" applyAlignment="1">
      <alignment horizontal="right"/>
    </xf>
    <xf numFmtId="16" fontId="0" fillId="8" borderId="1" xfId="0" applyNumberFormat="1" applyFill="1" applyBorder="1" applyAlignment="1">
      <alignment horizontal="center"/>
    </xf>
    <xf numFmtId="0" fontId="3" fillId="10" borderId="1" xfId="0" applyFont="1" applyFill="1" applyBorder="1" applyAlignment="1">
      <alignment horizontal="right"/>
    </xf>
    <xf numFmtId="0" fontId="3" fillId="0" borderId="1" xfId="0" applyFont="1" applyFill="1" applyBorder="1" applyAlignment="1">
      <alignment horizontal="left"/>
    </xf>
    <xf numFmtId="0" fontId="0" fillId="0" borderId="4" xfId="0" applyFill="1" applyBorder="1" applyAlignment="1">
      <alignment horizontal="center"/>
    </xf>
    <xf numFmtId="1" fontId="3" fillId="8" borderId="1" xfId="0" quotePrefix="1" applyNumberFormat="1" applyFont="1" applyFill="1" applyBorder="1" applyAlignment="1">
      <alignment vertical="center"/>
    </xf>
    <xf numFmtId="16" fontId="3" fillId="8" borderId="1" xfId="0" applyNumberFormat="1" applyFont="1" applyFill="1" applyBorder="1" applyAlignment="1">
      <alignment horizontal="center"/>
    </xf>
    <xf numFmtId="0" fontId="3" fillId="8" borderId="1" xfId="0" applyFont="1" applyFill="1" applyBorder="1" applyAlignment="1">
      <alignment horizontal="left"/>
    </xf>
    <xf numFmtId="167" fontId="0" fillId="0" borderId="5" xfId="0" applyNumberFormat="1" applyBorder="1" applyAlignment="1">
      <alignment horizontal="center" vertical="center"/>
    </xf>
    <xf numFmtId="167" fontId="0" fillId="0" borderId="1" xfId="0" applyNumberFormat="1" applyFill="1" applyBorder="1" applyAlignment="1"/>
    <xf numFmtId="167" fontId="0" fillId="0" borderId="2" xfId="0" applyNumberFormat="1" applyBorder="1" applyAlignment="1">
      <alignment horizontal="center"/>
    </xf>
    <xf numFmtId="167" fontId="0" fillId="0" borderId="1" xfId="0" applyNumberFormat="1" applyFill="1" applyBorder="1" applyAlignment="1">
      <alignment vertical="center"/>
    </xf>
    <xf numFmtId="0" fontId="0" fillId="8" borderId="1" xfId="0" applyFill="1" applyBorder="1" applyAlignment="1">
      <alignment horizontal="center" vertical="center"/>
    </xf>
    <xf numFmtId="0" fontId="3" fillId="8" borderId="1" xfId="0" applyNumberFormat="1" applyFont="1" applyFill="1" applyBorder="1" applyAlignment="1">
      <alignment horizontal="center"/>
    </xf>
    <xf numFmtId="0" fontId="3" fillId="8" borderId="1" xfId="0" applyFont="1" applyFill="1" applyBorder="1" applyAlignment="1">
      <alignment horizontal="center" vertical="center"/>
    </xf>
    <xf numFmtId="166" fontId="3" fillId="8" borderId="1" xfId="1" applyNumberFormat="1" applyFont="1" applyFill="1" applyBorder="1" applyAlignment="1"/>
    <xf numFmtId="0" fontId="0" fillId="8" borderId="3" xfId="0" applyFill="1" applyBorder="1" applyAlignment="1">
      <alignment vertical="center"/>
    </xf>
    <xf numFmtId="0" fontId="0" fillId="8" borderId="4" xfId="0" applyFill="1" applyBorder="1" applyAlignment="1">
      <alignment vertical="center"/>
    </xf>
    <xf numFmtId="0" fontId="0" fillId="8" borderId="5" xfId="0" applyFill="1" applyBorder="1" applyAlignment="1">
      <alignment vertical="center"/>
    </xf>
    <xf numFmtId="10" fontId="0" fillId="0" borderId="0" xfId="0" applyNumberFormat="1"/>
    <xf numFmtId="16" fontId="0" fillId="23" borderId="1" xfId="0" applyNumberFormat="1" applyFill="1" applyBorder="1"/>
    <xf numFmtId="0" fontId="0" fillId="23" borderId="1" xfId="0" applyFill="1" applyBorder="1"/>
    <xf numFmtId="0" fontId="0" fillId="23" borderId="1" xfId="0" applyFill="1" applyBorder="1" applyAlignment="1">
      <alignment horizontal="center"/>
    </xf>
    <xf numFmtId="167" fontId="0" fillId="23" borderId="1" xfId="0" applyNumberFormat="1" applyFill="1" applyBorder="1"/>
    <xf numFmtId="16" fontId="3" fillId="23" borderId="1" xfId="0" applyNumberFormat="1" applyFont="1" applyFill="1" applyBorder="1"/>
    <xf numFmtId="0" fontId="3" fillId="23" borderId="1" xfId="0" applyFont="1" applyFill="1" applyBorder="1"/>
    <xf numFmtId="0" fontId="3" fillId="23" borderId="1" xfId="0" applyNumberFormat="1" applyFont="1" applyFill="1" applyBorder="1" applyAlignment="1">
      <alignment horizontal="center"/>
    </xf>
    <xf numFmtId="0" fontId="0" fillId="23" borderId="1" xfId="0" applyFill="1" applyBorder="1" applyAlignment="1">
      <alignment horizontal="center" vertical="center"/>
    </xf>
    <xf numFmtId="16" fontId="0" fillId="23" borderId="1" xfId="0" applyNumberFormat="1" applyFill="1" applyBorder="1" applyAlignment="1">
      <alignment horizontal="center"/>
    </xf>
    <xf numFmtId="0" fontId="3" fillId="8" borderId="1" xfId="0" applyFont="1" applyFill="1" applyBorder="1" applyAlignment="1">
      <alignment horizontal="right"/>
    </xf>
    <xf numFmtId="0" fontId="3" fillId="23" borderId="1" xfId="0" applyFont="1" applyFill="1" applyBorder="1" applyAlignment="1">
      <alignment horizontal="right"/>
    </xf>
    <xf numFmtId="167" fontId="3" fillId="5" borderId="0" xfId="0" applyNumberFormat="1" applyFont="1" applyFill="1"/>
    <xf numFmtId="1" fontId="3" fillId="24" borderId="1" xfId="0" quotePrefix="1" applyNumberFormat="1" applyFont="1" applyFill="1" applyBorder="1" applyAlignment="1">
      <alignment vertical="center"/>
    </xf>
    <xf numFmtId="16" fontId="3" fillId="24" borderId="1" xfId="0" applyNumberFormat="1" applyFont="1" applyFill="1" applyBorder="1" applyAlignment="1">
      <alignment horizontal="center"/>
    </xf>
    <xf numFmtId="0" fontId="3" fillId="24" borderId="1" xfId="0" applyFont="1" applyFill="1" applyBorder="1" applyAlignment="1">
      <alignment horizontal="center"/>
    </xf>
    <xf numFmtId="167" fontId="3" fillId="24" borderId="1" xfId="0" applyNumberFormat="1" applyFont="1" applyFill="1" applyBorder="1"/>
    <xf numFmtId="16" fontId="3" fillId="24" borderId="1" xfId="0" applyNumberFormat="1" applyFont="1" applyFill="1" applyBorder="1" applyAlignment="1">
      <alignment horizontal="right"/>
    </xf>
    <xf numFmtId="16" fontId="3" fillId="3" borderId="1" xfId="0" applyNumberFormat="1" applyFont="1" applyFill="1" applyBorder="1" applyAlignment="1">
      <alignment horizontal="center"/>
    </xf>
    <xf numFmtId="166" fontId="3" fillId="3" borderId="1" xfId="1" applyNumberFormat="1" applyFont="1" applyFill="1" applyBorder="1" applyAlignment="1"/>
    <xf numFmtId="16" fontId="3" fillId="3" borderId="1" xfId="0" applyNumberFormat="1" applyFont="1" applyFill="1" applyBorder="1" applyAlignment="1">
      <alignment horizontal="left"/>
    </xf>
    <xf numFmtId="166" fontId="0" fillId="0" borderId="0" xfId="0" applyNumberFormat="1"/>
    <xf numFmtId="0" fontId="0" fillId="13" borderId="1" xfId="0" applyFill="1" applyBorder="1" applyAlignment="1">
      <alignment horizontal="right"/>
    </xf>
    <xf numFmtId="0" fontId="0" fillId="23" borderId="1" xfId="0" applyFill="1" applyBorder="1" applyAlignment="1">
      <alignment horizontal="right"/>
    </xf>
    <xf numFmtId="16" fontId="0" fillId="25" borderId="1" xfId="0" applyNumberFormat="1" applyFill="1" applyBorder="1" applyAlignment="1">
      <alignment horizontal="center"/>
    </xf>
    <xf numFmtId="0" fontId="0" fillId="25" borderId="1" xfId="0" applyFill="1" applyBorder="1" applyAlignment="1">
      <alignment horizontal="center"/>
    </xf>
    <xf numFmtId="166" fontId="0" fillId="25" borderId="1" xfId="1" applyNumberFormat="1" applyFont="1" applyFill="1" applyBorder="1" applyAlignment="1"/>
    <xf numFmtId="0" fontId="0" fillId="25" borderId="1" xfId="0" applyFill="1" applyBorder="1" applyAlignment="1">
      <alignment horizontal="right"/>
    </xf>
    <xf numFmtId="16" fontId="0" fillId="6" borderId="1" xfId="0" applyNumberFormat="1" applyFont="1" applyFill="1" applyBorder="1" applyAlignment="1">
      <alignment horizontal="center"/>
    </xf>
    <xf numFmtId="0" fontId="0" fillId="6" borderId="1" xfId="0" applyFont="1" applyFill="1" applyBorder="1" applyAlignment="1">
      <alignment horizontal="center"/>
    </xf>
    <xf numFmtId="167" fontId="0" fillId="6" borderId="1" xfId="0" applyNumberFormat="1" applyFont="1" applyFill="1" applyBorder="1"/>
    <xf numFmtId="0" fontId="0" fillId="6" borderId="1" xfId="0" applyFont="1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" fontId="0" fillId="20" borderId="0" xfId="0" applyNumberFormat="1" applyFill="1"/>
    <xf numFmtId="0" fontId="0" fillId="20" borderId="0" xfId="0" applyFill="1"/>
    <xf numFmtId="14" fontId="0" fillId="20" borderId="0" xfId="0" applyNumberFormat="1" applyFill="1"/>
    <xf numFmtId="168" fontId="0" fillId="0" borderId="1" xfId="0" applyNumberFormat="1" applyBorder="1"/>
    <xf numFmtId="14" fontId="0" fillId="20" borderId="1" xfId="0" applyNumberFormat="1" applyFill="1" applyBorder="1"/>
    <xf numFmtId="16" fontId="0" fillId="20" borderId="1" xfId="0" applyNumberFormat="1" applyFill="1" applyBorder="1" applyAlignment="1">
      <alignment horizontal="center"/>
    </xf>
    <xf numFmtId="0" fontId="0" fillId="20" borderId="1" xfId="0" applyFill="1" applyBorder="1" applyAlignment="1">
      <alignment horizontal="center"/>
    </xf>
    <xf numFmtId="167" fontId="0" fillId="20" borderId="1" xfId="0" applyNumberFormat="1" applyFill="1" applyBorder="1"/>
    <xf numFmtId="1" fontId="0" fillId="0" borderId="1" xfId="0" applyNumberFormat="1" applyFill="1" applyBorder="1" applyAlignment="1">
      <alignment horizontal="center" vertical="center"/>
    </xf>
    <xf numFmtId="1" fontId="3" fillId="0" borderId="1" xfId="0" quotePrefix="1" applyNumberFormat="1" applyFont="1" applyFill="1" applyBorder="1" applyAlignment="1">
      <alignment horizontal="center" vertical="center"/>
    </xf>
    <xf numFmtId="16" fontId="3" fillId="15" borderId="1" xfId="0" applyNumberFormat="1" applyFont="1" applyFill="1" applyBorder="1" applyAlignment="1">
      <alignment horizontal="center"/>
    </xf>
    <xf numFmtId="0" fontId="0" fillId="15" borderId="1" xfId="0" applyFill="1" applyBorder="1" applyAlignment="1">
      <alignment horizontal="center"/>
    </xf>
    <xf numFmtId="167" fontId="0" fillId="15" borderId="1" xfId="0" applyNumberFormat="1" applyFill="1" applyBorder="1"/>
    <xf numFmtId="16" fontId="0" fillId="15" borderId="1" xfId="0" applyNumberFormat="1" applyFill="1" applyBorder="1"/>
    <xf numFmtId="0" fontId="0" fillId="15" borderId="1" xfId="0" applyFill="1" applyBorder="1"/>
    <xf numFmtId="0" fontId="0" fillId="15" borderId="1" xfId="0" applyFill="1" applyBorder="1" applyAlignment="1">
      <alignment horizontal="center" vertical="center"/>
    </xf>
    <xf numFmtId="167" fontId="0" fillId="15" borderId="1" xfId="0" applyNumberFormat="1" applyFill="1" applyBorder="1" applyAlignment="1">
      <alignment horizontal="center"/>
    </xf>
    <xf numFmtId="166" fontId="3" fillId="15" borderId="1" xfId="1" applyNumberFormat="1" applyFont="1" applyFill="1" applyBorder="1" applyAlignment="1"/>
    <xf numFmtId="0" fontId="0" fillId="15" borderId="0" xfId="0" applyFill="1"/>
    <xf numFmtId="166" fontId="0" fillId="0" borderId="0" xfId="0" applyNumberFormat="1" applyFill="1"/>
    <xf numFmtId="167" fontId="0" fillId="0" borderId="0" xfId="0" applyNumberFormat="1" applyAlignment="1">
      <alignment horizontal="center" vertical="center"/>
    </xf>
    <xf numFmtId="16" fontId="0" fillId="15" borderId="1" xfId="0" applyNumberFormat="1" applyFill="1" applyBorder="1" applyAlignment="1">
      <alignment horizontal="center"/>
    </xf>
    <xf numFmtId="0" fontId="0" fillId="15" borderId="1" xfId="0" applyFill="1" applyBorder="1" applyAlignment="1">
      <alignment horizontal="right"/>
    </xf>
    <xf numFmtId="16" fontId="3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15" borderId="1" xfId="0" applyFont="1" applyFill="1" applyBorder="1" applyAlignment="1">
      <alignment horizontal="right"/>
    </xf>
    <xf numFmtId="0" fontId="3" fillId="12" borderId="1" xfId="0" applyFont="1" applyFill="1" applyBorder="1"/>
    <xf numFmtId="16" fontId="3" fillId="12" borderId="1" xfId="0" applyNumberFormat="1" applyFont="1" applyFill="1" applyBorder="1" applyAlignment="1">
      <alignment horizontal="center"/>
    </xf>
    <xf numFmtId="0" fontId="3" fillId="12" borderId="1" xfId="0" applyFont="1" applyFill="1" applyBorder="1" applyAlignment="1">
      <alignment horizontal="center"/>
    </xf>
    <xf numFmtId="166" fontId="0" fillId="12" borderId="1" xfId="0" applyNumberFormat="1" applyFill="1" applyBorder="1"/>
    <xf numFmtId="1" fontId="3" fillId="16" borderId="1" xfId="0" quotePrefix="1" applyNumberFormat="1" applyFont="1" applyFill="1" applyBorder="1" applyAlignment="1">
      <alignment vertical="center"/>
    </xf>
    <xf numFmtId="16" fontId="3" fillId="16" borderId="1" xfId="0" applyNumberFormat="1" applyFont="1" applyFill="1" applyBorder="1" applyAlignment="1">
      <alignment horizontal="center"/>
    </xf>
    <xf numFmtId="0" fontId="3" fillId="16" borderId="1" xfId="0" applyFont="1" applyFill="1" applyBorder="1" applyAlignment="1">
      <alignment horizontal="center"/>
    </xf>
    <xf numFmtId="0" fontId="0" fillId="16" borderId="1" xfId="0" applyFill="1" applyBorder="1" applyAlignment="1">
      <alignment horizontal="center"/>
    </xf>
    <xf numFmtId="0" fontId="0" fillId="0" borderId="4" xfId="0" applyBorder="1" applyAlignment="1">
      <alignment horizontal="center" vertical="center"/>
    </xf>
    <xf numFmtId="167" fontId="0" fillId="0" borderId="4" xfId="0" applyNumberFormat="1" applyBorder="1" applyAlignment="1">
      <alignment horizontal="center" vertical="center"/>
    </xf>
    <xf numFmtId="166" fontId="3" fillId="0" borderId="0" xfId="0" applyNumberFormat="1" applyFont="1" applyFill="1"/>
    <xf numFmtId="16" fontId="0" fillId="12" borderId="1" xfId="0" applyNumberFormat="1" applyFill="1" applyBorder="1"/>
    <xf numFmtId="0" fontId="0" fillId="12" borderId="1" xfId="0" applyFill="1" applyBorder="1"/>
    <xf numFmtId="0" fontId="0" fillId="12" borderId="1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/>
    </xf>
    <xf numFmtId="167" fontId="0" fillId="12" borderId="1" xfId="0" applyNumberFormat="1" applyFill="1" applyBorder="1"/>
    <xf numFmtId="0" fontId="3" fillId="12" borderId="1" xfId="0" applyNumberFormat="1" applyFont="1" applyFill="1" applyBorder="1" applyAlignment="1">
      <alignment horizontal="center"/>
    </xf>
    <xf numFmtId="167" fontId="3" fillId="12" borderId="1" xfId="0" applyNumberFormat="1" applyFont="1" applyFill="1" applyBorder="1"/>
    <xf numFmtId="16" fontId="3" fillId="18" borderId="1" xfId="0" applyNumberFormat="1" applyFont="1" applyFill="1" applyBorder="1" applyAlignment="1">
      <alignment horizontal="center"/>
    </xf>
    <xf numFmtId="0" fontId="3" fillId="18" borderId="1" xfId="0" applyFont="1" applyFill="1" applyBorder="1" applyAlignment="1">
      <alignment horizontal="center" vertical="center"/>
    </xf>
    <xf numFmtId="0" fontId="3" fillId="18" borderId="1" xfId="0" applyFont="1" applyFill="1" applyBorder="1"/>
    <xf numFmtId="0" fontId="3" fillId="18" borderId="1" xfId="0" applyNumberFormat="1" applyFont="1" applyFill="1" applyBorder="1" applyAlignment="1">
      <alignment horizontal="center"/>
    </xf>
    <xf numFmtId="16" fontId="3" fillId="20" borderId="1" xfId="0" applyNumberFormat="1" applyFont="1" applyFill="1" applyBorder="1" applyAlignment="1">
      <alignment horizontal="center"/>
    </xf>
    <xf numFmtId="0" fontId="0" fillId="20" borderId="1" xfId="0" applyFill="1" applyBorder="1" applyAlignment="1">
      <alignment horizontal="left"/>
    </xf>
    <xf numFmtId="1" fontId="3" fillId="2" borderId="1" xfId="0" quotePrefix="1" applyNumberFormat="1" applyFont="1" applyFill="1" applyBorder="1" applyAlignment="1">
      <alignment horizontal="center" vertical="center"/>
    </xf>
    <xf numFmtId="1" fontId="3" fillId="0" borderId="1" xfId="0" quotePrefix="1" applyNumberFormat="1" applyFont="1" applyBorder="1" applyAlignment="1">
      <alignment horizontal="center" vertical="center"/>
    </xf>
    <xf numFmtId="0" fontId="0" fillId="20" borderId="1" xfId="0" applyFill="1" applyBorder="1"/>
    <xf numFmtId="0" fontId="0" fillId="20" borderId="1" xfId="0" applyFill="1" applyBorder="1" applyAlignment="1">
      <alignment horizontal="center" vertical="center"/>
    </xf>
    <xf numFmtId="167" fontId="0" fillId="0" borderId="1" xfId="0" applyNumberFormat="1" applyBorder="1" applyAlignment="1">
      <alignment horizontal="center" vertical="center"/>
    </xf>
    <xf numFmtId="16" fontId="0" fillId="10" borderId="1" xfId="0" applyNumberFormat="1" applyFill="1" applyBorder="1"/>
    <xf numFmtId="0" fontId="0" fillId="10" borderId="1" xfId="0" applyFill="1" applyBorder="1"/>
    <xf numFmtId="0" fontId="0" fillId="10" borderId="1" xfId="0" applyFill="1" applyBorder="1" applyAlignment="1">
      <alignment horizontal="center"/>
    </xf>
    <xf numFmtId="167" fontId="0" fillId="10" borderId="1" xfId="0" applyNumberFormat="1" applyFill="1" applyBorder="1"/>
    <xf numFmtId="166" fontId="3" fillId="10" borderId="1" xfId="1" applyNumberFormat="1" applyFont="1" applyFill="1" applyBorder="1" applyAlignment="1"/>
    <xf numFmtId="167" fontId="0" fillId="0" borderId="1" xfId="0" applyNumberFormat="1" applyBorder="1" applyAlignment="1">
      <alignment horizontal="center" vertical="center"/>
    </xf>
    <xf numFmtId="0" fontId="3" fillId="20" borderId="1" xfId="0" applyFont="1" applyFill="1" applyBorder="1" applyAlignment="1">
      <alignment horizontal="right"/>
    </xf>
    <xf numFmtId="0" fontId="3" fillId="0" borderId="0" xfId="0" applyFont="1" applyFill="1" applyAlignment="1">
      <alignment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Border="1" applyAlignment="1">
      <alignment horizontal="center"/>
    </xf>
    <xf numFmtId="167" fontId="0" fillId="10" borderId="1" xfId="0" applyNumberFormat="1" applyFill="1" applyBorder="1" applyAlignment="1">
      <alignment vertical="center"/>
    </xf>
    <xf numFmtId="167" fontId="0" fillId="10" borderId="1" xfId="0" applyNumberFormat="1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167" fontId="0" fillId="10" borderId="1" xfId="0" applyNumberFormat="1" applyFill="1" applyBorder="1" applyAlignment="1"/>
    <xf numFmtId="167" fontId="0" fillId="10" borderId="5" xfId="0" applyNumberFormat="1" applyFill="1" applyBorder="1" applyAlignment="1">
      <alignment horizontal="center" vertical="center"/>
    </xf>
    <xf numFmtId="168" fontId="0" fillId="10" borderId="1" xfId="0" applyNumberFormat="1" applyFill="1" applyBorder="1"/>
    <xf numFmtId="167" fontId="0" fillId="10" borderId="1" xfId="0" applyNumberFormat="1" applyFill="1" applyBorder="1" applyAlignment="1">
      <alignment horizontal="center"/>
    </xf>
    <xf numFmtId="0" fontId="3" fillId="12" borderId="1" xfId="0" applyFont="1" applyFill="1" applyBorder="1" applyAlignment="1">
      <alignment horizontal="right"/>
    </xf>
    <xf numFmtId="0" fontId="3" fillId="16" borderId="1" xfId="0" applyFont="1" applyFill="1" applyBorder="1"/>
    <xf numFmtId="0" fontId="3" fillId="16" borderId="1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/>
    <xf numFmtId="16" fontId="0" fillId="0" borderId="0" xfId="0" applyNumberFormat="1" applyFill="1" applyBorder="1" applyAlignment="1">
      <alignment horizontal="center" vertical="center"/>
    </xf>
    <xf numFmtId="0" fontId="0" fillId="0" borderId="0" xfId="0" applyFill="1" applyAlignment="1">
      <alignment horizontal="center"/>
    </xf>
    <xf numFmtId="16" fontId="0" fillId="0" borderId="0" xfId="0" applyNumberFormat="1" applyFill="1"/>
    <xf numFmtId="0" fontId="0" fillId="0" borderId="0" xfId="0" applyFill="1" applyBorder="1" applyAlignment="1">
      <alignment horizontal="center" vertical="center" wrapText="1"/>
    </xf>
    <xf numFmtId="167" fontId="0" fillId="16" borderId="1" xfId="0" applyNumberFormat="1" applyFill="1" applyBorder="1" applyAlignment="1">
      <alignment horizontal="center"/>
    </xf>
    <xf numFmtId="0" fontId="0" fillId="16" borderId="0" xfId="0" applyFill="1"/>
    <xf numFmtId="168" fontId="0" fillId="16" borderId="1" xfId="0" applyNumberFormat="1" applyFill="1" applyBorder="1"/>
    <xf numFmtId="16" fontId="3" fillId="0" borderId="0" xfId="0" applyNumberFormat="1" applyFont="1" applyFill="1" applyBorder="1" applyAlignment="1">
      <alignment horizontal="right"/>
    </xf>
    <xf numFmtId="0" fontId="3" fillId="0" borderId="0" xfId="0" applyFont="1" applyFill="1" applyBorder="1" applyAlignment="1"/>
    <xf numFmtId="0" fontId="3" fillId="0" borderId="0" xfId="0" applyFont="1" applyFill="1" applyBorder="1" applyAlignment="1">
      <alignment horizontal="right"/>
    </xf>
    <xf numFmtId="0" fontId="0" fillId="0" borderId="1" xfId="0" applyFill="1" applyBorder="1" applyAlignment="1">
      <alignment horizontal="center" vertical="center"/>
    </xf>
    <xf numFmtId="167" fontId="3" fillId="12" borderId="1" xfId="0" applyNumberFormat="1" applyFont="1" applyFill="1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167" fontId="0" fillId="0" borderId="1" xfId="0" applyNumberFormat="1" applyFill="1" applyBorder="1" applyAlignment="1">
      <alignment horizontal="center"/>
    </xf>
    <xf numFmtId="16" fontId="3" fillId="17" borderId="1" xfId="0" applyNumberFormat="1" applyFont="1" applyFill="1" applyBorder="1" applyAlignment="1"/>
    <xf numFmtId="16" fontId="3" fillId="14" borderId="1" xfId="0" applyNumberFormat="1" applyFont="1" applyFill="1" applyBorder="1" applyAlignment="1"/>
    <xf numFmtId="16" fontId="3" fillId="8" borderId="1" xfId="0" applyNumberFormat="1" applyFont="1" applyFill="1" applyBorder="1" applyAlignment="1"/>
    <xf numFmtId="16" fontId="3" fillId="19" borderId="1" xfId="0" applyNumberFormat="1" applyFont="1" applyFill="1" applyBorder="1" applyAlignment="1"/>
    <xf numFmtId="16" fontId="3" fillId="12" borderId="1" xfId="0" applyNumberFormat="1" applyFont="1" applyFill="1" applyBorder="1" applyAlignment="1"/>
    <xf numFmtId="16" fontId="3" fillId="16" borderId="1" xfId="0" applyNumberFormat="1" applyFont="1" applyFill="1" applyBorder="1" applyAlignment="1"/>
    <xf numFmtId="16" fontId="3" fillId="18" borderId="1" xfId="0" applyNumberFormat="1" applyFont="1" applyFill="1" applyBorder="1" applyAlignment="1"/>
    <xf numFmtId="16" fontId="0" fillId="20" borderId="1" xfId="0" applyNumberFormat="1" applyFill="1" applyBorder="1" applyAlignment="1"/>
    <xf numFmtId="16" fontId="0" fillId="23" borderId="1" xfId="0" applyNumberFormat="1" applyFill="1" applyBorder="1" applyAlignment="1"/>
    <xf numFmtId="16" fontId="0" fillId="20" borderId="1" xfId="0" applyNumberFormat="1" applyFill="1" applyBorder="1" applyAlignment="1">
      <alignment horizontal="center" vertical="center"/>
    </xf>
    <xf numFmtId="166" fontId="3" fillId="20" borderId="1" xfId="1" applyNumberFormat="1" applyFont="1" applyFill="1" applyBorder="1" applyAlignment="1"/>
    <xf numFmtId="16" fontId="3" fillId="20" borderId="1" xfId="0" applyNumberFormat="1" applyFont="1" applyFill="1" applyBorder="1" applyAlignment="1"/>
    <xf numFmtId="0" fontId="3" fillId="20" borderId="1" xfId="0" applyFont="1" applyFill="1" applyBorder="1" applyAlignment="1"/>
    <xf numFmtId="0" fontId="0" fillId="12" borderId="3" xfId="0" applyFill="1" applyBorder="1" applyAlignment="1">
      <alignment vertical="center"/>
    </xf>
    <xf numFmtId="1" fontId="3" fillId="20" borderId="1" xfId="0" quotePrefix="1" applyNumberFormat="1" applyFont="1" applyFill="1" applyBorder="1" applyAlignment="1">
      <alignment vertical="center"/>
    </xf>
    <xf numFmtId="166" fontId="3" fillId="19" borderId="1" xfId="1" applyNumberFormat="1" applyFont="1" applyFill="1" applyBorder="1" applyAlignment="1"/>
    <xf numFmtId="16" fontId="3" fillId="20" borderId="1" xfId="0" applyNumberFormat="1" applyFont="1" applyFill="1" applyBorder="1" applyAlignment="1">
      <alignment horizontal="right"/>
    </xf>
    <xf numFmtId="16" fontId="3" fillId="19" borderId="1" xfId="0" applyNumberFormat="1" applyFont="1" applyFill="1" applyBorder="1" applyAlignment="1">
      <alignment horizontal="right"/>
    </xf>
    <xf numFmtId="0" fontId="0" fillId="20" borderId="1" xfId="0" applyFill="1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16" fontId="3" fillId="15" borderId="1" xfId="0" applyNumberFormat="1" applyFont="1" applyFill="1" applyBorder="1" applyAlignment="1">
      <alignment vertical="center"/>
    </xf>
    <xf numFmtId="16" fontId="0" fillId="26" borderId="1" xfId="0" applyNumberFormat="1" applyFill="1" applyBorder="1"/>
    <xf numFmtId="0" fontId="0" fillId="26" borderId="1" xfId="0" applyFill="1" applyBorder="1"/>
    <xf numFmtId="0" fontId="0" fillId="26" borderId="1" xfId="0" applyFill="1" applyBorder="1" applyAlignment="1">
      <alignment horizontal="center" vertical="center"/>
    </xf>
    <xf numFmtId="167" fontId="0" fillId="26" borderId="1" xfId="0" applyNumberFormat="1" applyFill="1" applyBorder="1"/>
    <xf numFmtId="0" fontId="0" fillId="26" borderId="1" xfId="0" applyFill="1" applyBorder="1" applyAlignment="1">
      <alignment horizontal="left"/>
    </xf>
    <xf numFmtId="0" fontId="0" fillId="26" borderId="1" xfId="0" applyFill="1" applyBorder="1" applyAlignment="1">
      <alignment horizontal="center"/>
    </xf>
    <xf numFmtId="167" fontId="0" fillId="26" borderId="1" xfId="0" applyNumberFormat="1" applyFill="1" applyBorder="1" applyAlignment="1">
      <alignment horizontal="center"/>
    </xf>
    <xf numFmtId="16" fontId="3" fillId="26" borderId="1" xfId="0" applyNumberFormat="1" applyFont="1" applyFill="1" applyBorder="1"/>
    <xf numFmtId="0" fontId="3" fillId="26" borderId="1" xfId="0" applyFont="1" applyFill="1" applyBorder="1"/>
    <xf numFmtId="0" fontId="3" fillId="26" borderId="1" xfId="0" applyFont="1" applyFill="1" applyBorder="1" applyAlignment="1">
      <alignment horizontal="center"/>
    </xf>
    <xf numFmtId="0" fontId="3" fillId="26" borderId="1" xfId="0" applyNumberFormat="1" applyFont="1" applyFill="1" applyBorder="1" applyAlignment="1">
      <alignment horizontal="center"/>
    </xf>
    <xf numFmtId="167" fontId="3" fillId="26" borderId="1" xfId="0" applyNumberFormat="1" applyFont="1" applyFill="1" applyBorder="1"/>
    <xf numFmtId="16" fontId="0" fillId="26" borderId="1" xfId="0" applyNumberFormat="1" applyFill="1" applyBorder="1" applyAlignment="1">
      <alignment horizontal="center"/>
    </xf>
    <xf numFmtId="16" fontId="3" fillId="26" borderId="1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3" fillId="26" borderId="1" xfId="0" applyFont="1" applyFill="1" applyBorder="1" applyAlignment="1">
      <alignment horizontal="right"/>
    </xf>
    <xf numFmtId="0" fontId="3" fillId="13" borderId="1" xfId="0" applyFont="1" applyFill="1" applyBorder="1" applyAlignment="1">
      <alignment horizontal="right"/>
    </xf>
    <xf numFmtId="0" fontId="0" fillId="0" borderId="1" xfId="0" applyBorder="1" applyAlignment="1">
      <alignment horizontal="center" vertical="center"/>
    </xf>
    <xf numFmtId="0" fontId="0" fillId="23" borderId="1" xfId="0" applyFill="1" applyBorder="1" applyAlignment="1">
      <alignment horizontal="left"/>
    </xf>
    <xf numFmtId="0" fontId="0" fillId="0" borderId="0" xfId="0" applyBorder="1" applyAlignment="1">
      <alignment horizontal="center" vertical="center"/>
    </xf>
    <xf numFmtId="167" fontId="0" fillId="0" borderId="0" xfId="0" applyNumberFormat="1" applyFill="1" applyAlignment="1">
      <alignment horizontal="center" vertical="center"/>
    </xf>
    <xf numFmtId="167" fontId="3" fillId="20" borderId="1" xfId="0" applyNumberFormat="1" applyFont="1" applyFill="1" applyBorder="1" applyAlignment="1">
      <alignment horizontal="center"/>
    </xf>
    <xf numFmtId="167" fontId="0" fillId="20" borderId="1" xfId="0" applyNumberFormat="1" applyFill="1" applyBorder="1" applyAlignment="1">
      <alignment horizontal="center"/>
    </xf>
    <xf numFmtId="16" fontId="0" fillId="20" borderId="1" xfId="0" applyNumberFormat="1" applyFill="1" applyBorder="1"/>
    <xf numFmtId="168" fontId="3" fillId="0" borderId="0" xfId="0" applyNumberFormat="1" applyFont="1"/>
    <xf numFmtId="168" fontId="0" fillId="0" borderId="0" xfId="0" applyNumberFormat="1"/>
    <xf numFmtId="16" fontId="0" fillId="10" borderId="1" xfId="0" applyNumberFormat="1" applyFill="1" applyBorder="1" applyAlignment="1">
      <alignment horizontal="center"/>
    </xf>
    <xf numFmtId="167" fontId="3" fillId="10" borderId="1" xfId="0" applyNumberFormat="1" applyFont="1" applyFill="1" applyBorder="1" applyAlignment="1"/>
    <xf numFmtId="0" fontId="0" fillId="10" borderId="0" xfId="0" applyFill="1"/>
    <xf numFmtId="0" fontId="3" fillId="2" borderId="0" xfId="0" applyFont="1" applyFill="1" applyBorder="1" applyAlignment="1"/>
    <xf numFmtId="16" fontId="0" fillId="16" borderId="1" xfId="0" applyNumberFormat="1" applyFill="1" applyBorder="1" applyAlignment="1">
      <alignment vertical="center"/>
    </xf>
    <xf numFmtId="0" fontId="0" fillId="16" borderId="1" xfId="0" applyFill="1" applyBorder="1" applyAlignment="1"/>
    <xf numFmtId="167" fontId="0" fillId="16" borderId="1" xfId="0" applyNumberFormat="1" applyFill="1" applyBorder="1" applyAlignment="1">
      <alignment vertical="center"/>
    </xf>
    <xf numFmtId="16" fontId="3" fillId="16" borderId="1" xfId="0" applyNumberFormat="1" applyFont="1" applyFill="1" applyBorder="1"/>
    <xf numFmtId="168" fontId="0" fillId="23" borderId="1" xfId="0" applyNumberFormat="1" applyFill="1" applyBorder="1"/>
    <xf numFmtId="168" fontId="3" fillId="16" borderId="1" xfId="0" applyNumberFormat="1" applyFont="1" applyFill="1" applyBorder="1"/>
    <xf numFmtId="16" fontId="0" fillId="16" borderId="1" xfId="0" applyNumberFormat="1" applyFill="1" applyBorder="1" applyAlignment="1">
      <alignment horizontal="right" vertical="center"/>
    </xf>
    <xf numFmtId="16" fontId="0" fillId="16" borderId="1" xfId="0" applyNumberFormat="1" applyFill="1" applyBorder="1" applyAlignment="1">
      <alignment horizontal="left" vertical="center"/>
    </xf>
    <xf numFmtId="167" fontId="0" fillId="16" borderId="1" xfId="0" applyNumberFormat="1" applyFill="1" applyBorder="1" applyAlignment="1">
      <alignment horizontal="center" vertical="center"/>
    </xf>
    <xf numFmtId="0" fontId="3" fillId="16" borderId="1" xfId="0" applyFont="1" applyFill="1" applyBorder="1" applyAlignment="1">
      <alignment horizontal="right"/>
    </xf>
    <xf numFmtId="167" fontId="0" fillId="16" borderId="1" xfId="0" applyNumberFormat="1" applyFill="1" applyBorder="1" applyAlignment="1">
      <alignment horizontal="right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0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" fontId="0" fillId="27" borderId="1" xfId="0" applyNumberFormat="1" applyFill="1" applyBorder="1"/>
    <xf numFmtId="0" fontId="0" fillId="27" borderId="1" xfId="0" applyFill="1" applyBorder="1"/>
    <xf numFmtId="0" fontId="0" fillId="27" borderId="1" xfId="0" applyFill="1" applyBorder="1" applyAlignment="1">
      <alignment horizontal="center"/>
    </xf>
    <xf numFmtId="167" fontId="0" fillId="27" borderId="1" xfId="0" applyNumberFormat="1" applyFill="1" applyBorder="1"/>
    <xf numFmtId="167" fontId="3" fillId="27" borderId="1" xfId="0" applyNumberFormat="1" applyFont="1" applyFill="1" applyBorder="1"/>
    <xf numFmtId="16" fontId="3" fillId="27" borderId="1" xfId="0" applyNumberFormat="1" applyFont="1" applyFill="1" applyBorder="1"/>
    <xf numFmtId="0" fontId="3" fillId="27" borderId="1" xfId="0" applyFont="1" applyFill="1" applyBorder="1"/>
    <xf numFmtId="0" fontId="3" fillId="27" borderId="1" xfId="0" applyFont="1" applyFill="1" applyBorder="1" applyAlignment="1">
      <alignment horizontal="center"/>
    </xf>
    <xf numFmtId="0" fontId="3" fillId="27" borderId="1" xfId="0" applyNumberFormat="1" applyFont="1" applyFill="1" applyBorder="1" applyAlignment="1">
      <alignment horizontal="center"/>
    </xf>
    <xf numFmtId="168" fontId="0" fillId="27" borderId="1" xfId="0" applyNumberFormat="1" applyFill="1" applyBorder="1"/>
    <xf numFmtId="0" fontId="0" fillId="27" borderId="1" xfId="0" applyFill="1" applyBorder="1" applyAlignment="1">
      <alignment horizontal="center" vertical="center"/>
    </xf>
    <xf numFmtId="167" fontId="0" fillId="27" borderId="1" xfId="0" applyNumberFormat="1" applyFill="1" applyBorder="1" applyAlignment="1">
      <alignment vertical="center"/>
    </xf>
    <xf numFmtId="167" fontId="0" fillId="27" borderId="1" xfId="0" applyNumberFormat="1" applyFill="1" applyBorder="1" applyAlignment="1">
      <alignment horizontal="center"/>
    </xf>
    <xf numFmtId="16" fontId="0" fillId="27" borderId="1" xfId="0" applyNumberFormat="1" applyFill="1" applyBorder="1" applyAlignment="1">
      <alignment vertical="center"/>
    </xf>
    <xf numFmtId="0" fontId="0" fillId="27" borderId="1" xfId="0" applyFill="1" applyBorder="1" applyAlignment="1">
      <alignment vertical="center"/>
    </xf>
    <xf numFmtId="167" fontId="0" fillId="27" borderId="1" xfId="0" applyNumberFormat="1" applyFill="1" applyBorder="1" applyAlignment="1">
      <alignment horizontal="center" vertical="center"/>
    </xf>
    <xf numFmtId="16" fontId="3" fillId="27" borderId="1" xfId="0" applyNumberFormat="1" applyFont="1" applyFill="1" applyBorder="1" applyAlignment="1">
      <alignment horizontal="center"/>
    </xf>
    <xf numFmtId="166" fontId="3" fillId="27" borderId="1" xfId="1" applyNumberFormat="1" applyFont="1" applyFill="1" applyBorder="1" applyAlignment="1"/>
    <xf numFmtId="16" fontId="0" fillId="27" borderId="1" xfId="0" applyNumberForma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16" fontId="0" fillId="9" borderId="1" xfId="0" applyNumberFormat="1" applyFill="1" applyBorder="1" applyAlignment="1">
      <alignment horizontal="right"/>
    </xf>
    <xf numFmtId="0" fontId="0" fillId="9" borderId="1" xfId="0" applyFill="1" applyBorder="1" applyAlignment="1">
      <alignment horizontal="left" vertical="center"/>
    </xf>
    <xf numFmtId="0" fontId="0" fillId="9" borderId="1" xfId="0" applyFill="1" applyBorder="1" applyAlignment="1">
      <alignment horizontal="center" vertical="center"/>
    </xf>
    <xf numFmtId="167" fontId="0" fillId="9" borderId="1" xfId="0" applyNumberFormat="1" applyFill="1" applyBorder="1" applyAlignment="1">
      <alignment horizontal="center"/>
    </xf>
    <xf numFmtId="16" fontId="3" fillId="9" borderId="1" xfId="0" applyNumberFormat="1" applyFont="1" applyFill="1" applyBorder="1" applyAlignment="1">
      <alignment horizontal="center"/>
    </xf>
    <xf numFmtId="16" fontId="0" fillId="9" borderId="1" xfId="0" applyNumberFormat="1" applyFill="1" applyBorder="1" applyAlignment="1">
      <alignment horizontal="center" vertical="center"/>
    </xf>
    <xf numFmtId="167" fontId="3" fillId="9" borderId="1" xfId="0" applyNumberFormat="1" applyFont="1" applyFill="1" applyBorder="1" applyAlignment="1"/>
    <xf numFmtId="0" fontId="0" fillId="27" borderId="1" xfId="0" applyFill="1" applyBorder="1" applyAlignment="1">
      <alignment horizontal="right"/>
    </xf>
    <xf numFmtId="0" fontId="3" fillId="27" borderId="1" xfId="0" applyFont="1" applyFill="1" applyBorder="1" applyAlignment="1">
      <alignment horizontal="right"/>
    </xf>
    <xf numFmtId="16" fontId="3" fillId="27" borderId="1" xfId="0" applyNumberFormat="1" applyFont="1" applyFill="1" applyBorder="1" applyAlignment="1">
      <alignment horizontal="right"/>
    </xf>
    <xf numFmtId="0" fontId="0" fillId="0" borderId="1" xfId="0" applyFill="1" applyBorder="1"/>
    <xf numFmtId="167" fontId="3" fillId="0" borderId="5" xfId="0" applyNumberFormat="1" applyFont="1" applyFill="1" applyBorder="1" applyAlignment="1">
      <alignment vertical="center"/>
    </xf>
    <xf numFmtId="0" fontId="3" fillId="0" borderId="5" xfId="0" applyFont="1" applyFill="1" applyBorder="1" applyAlignment="1">
      <alignment horizontal="center" vertical="center"/>
    </xf>
    <xf numFmtId="16" fontId="3" fillId="0" borderId="1" xfId="0" applyNumberFormat="1" applyFont="1" applyFill="1" applyBorder="1"/>
    <xf numFmtId="16" fontId="0" fillId="0" borderId="1" xfId="0" applyNumberFormat="1" applyFill="1" applyBorder="1"/>
    <xf numFmtId="0" fontId="0" fillId="9" borderId="1" xfId="0" applyFill="1" applyBorder="1" applyAlignment="1">
      <alignment horizontal="right"/>
    </xf>
    <xf numFmtId="0" fontId="0" fillId="0" borderId="1" xfId="0" applyBorder="1" applyAlignment="1">
      <alignment horizontal="center" vertical="center"/>
    </xf>
    <xf numFmtId="166" fontId="3" fillId="0" borderId="0" xfId="0" applyNumberFormat="1" applyFont="1" applyBorder="1"/>
    <xf numFmtId="167" fontId="3" fillId="0" borderId="0" xfId="0" applyNumberFormat="1" applyFont="1" applyBorder="1"/>
    <xf numFmtId="0" fontId="0" fillId="0" borderId="0" xfId="0" applyAlignment="1">
      <alignment horizontal="center" wrapText="1"/>
    </xf>
    <xf numFmtId="167" fontId="0" fillId="0" borderId="0" xfId="0" applyNumberFormat="1" applyAlignment="1">
      <alignment vertical="center"/>
    </xf>
    <xf numFmtId="0" fontId="6" fillId="0" borderId="1" xfId="0" applyFont="1" applyFill="1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7" fillId="0" borderId="1" xfId="0" applyFont="1" applyFill="1" applyBorder="1" applyAlignment="1">
      <alignment horizontal="right"/>
    </xf>
    <xf numFmtId="0" fontId="5" fillId="0" borderId="1" xfId="0" applyFont="1" applyFill="1" applyBorder="1" applyAlignment="1">
      <alignment horizontal="left"/>
    </xf>
    <xf numFmtId="0" fontId="5" fillId="0" borderId="1" xfId="0" applyFont="1" applyFill="1" applyBorder="1" applyAlignment="1">
      <alignment horizontal="left" vertical="center"/>
    </xf>
    <xf numFmtId="0" fontId="6" fillId="0" borderId="0" xfId="0" applyFont="1"/>
    <xf numFmtId="0" fontId="7" fillId="0" borderId="0" xfId="0" applyFont="1"/>
    <xf numFmtId="0" fontId="5" fillId="0" borderId="0" xfId="0" applyFont="1"/>
    <xf numFmtId="0" fontId="3" fillId="0" borderId="0" xfId="0" applyFont="1" applyFill="1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16" fontId="8" fillId="0" borderId="1" xfId="0" applyNumberFormat="1" applyFont="1" applyFill="1" applyBorder="1" applyAlignment="1">
      <alignment horizontal="right"/>
    </xf>
    <xf numFmtId="0" fontId="9" fillId="0" borderId="0" xfId="0" applyFont="1"/>
    <xf numFmtId="167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left"/>
    </xf>
    <xf numFmtId="168" fontId="0" fillId="26" borderId="1" xfId="0" applyNumberFormat="1" applyFill="1" applyBorder="1"/>
    <xf numFmtId="168" fontId="0" fillId="16" borderId="1" xfId="0" applyNumberFormat="1" applyFill="1" applyBorder="1" applyAlignment="1">
      <alignment horizontal="right"/>
    </xf>
    <xf numFmtId="166" fontId="3" fillId="16" borderId="1" xfId="1" applyNumberFormat="1" applyFont="1" applyFill="1" applyBorder="1" applyAlignment="1"/>
    <xf numFmtId="167" fontId="0" fillId="26" borderId="1" xfId="0" applyNumberFormat="1" applyFill="1" applyBorder="1" applyAlignment="1">
      <alignment vertical="center"/>
    </xf>
    <xf numFmtId="167" fontId="0" fillId="26" borderId="1" xfId="0" applyNumberFormat="1" applyFill="1" applyBorder="1" applyAlignment="1">
      <alignment horizontal="center" vertical="center"/>
    </xf>
    <xf numFmtId="0" fontId="0" fillId="26" borderId="1" xfId="0" applyFill="1" applyBorder="1" applyAlignment="1">
      <alignment horizontal="left" vertical="center"/>
    </xf>
    <xf numFmtId="16" fontId="0" fillId="26" borderId="1" xfId="0" applyNumberFormat="1" applyFill="1" applyBorder="1" applyAlignment="1">
      <alignment horizontal="right" vertical="center"/>
    </xf>
    <xf numFmtId="16" fontId="3" fillId="19" borderId="1" xfId="0" applyNumberFormat="1" applyFont="1" applyFill="1" applyBorder="1" applyAlignment="1">
      <alignment horizontal="center" vertical="center"/>
    </xf>
    <xf numFmtId="0" fontId="3" fillId="19" borderId="1" xfId="0" applyFont="1" applyFill="1" applyBorder="1" applyAlignment="1">
      <alignment horizontal="center" vertical="center"/>
    </xf>
    <xf numFmtId="166" fontId="3" fillId="19" borderId="1" xfId="1" applyNumberFormat="1" applyFont="1" applyFill="1" applyBorder="1" applyAlignment="1">
      <alignment horizontal="center" vertical="center"/>
    </xf>
    <xf numFmtId="16" fontId="3" fillId="19" borderId="1" xfId="0" applyNumberFormat="1" applyFont="1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168" fontId="3" fillId="26" borderId="1" xfId="0" applyNumberFormat="1" applyFont="1" applyFill="1" applyBorder="1"/>
    <xf numFmtId="168" fontId="3" fillId="2" borderId="1" xfId="0" applyNumberFormat="1" applyFont="1" applyFill="1" applyBorder="1"/>
    <xf numFmtId="0" fontId="3" fillId="2" borderId="1" xfId="0" applyFont="1" applyFill="1" applyBorder="1"/>
    <xf numFmtId="16" fontId="3" fillId="16" borderId="1" xfId="0" applyNumberFormat="1" applyFont="1" applyFill="1" applyBorder="1" applyAlignment="1">
      <alignment horizontal="right"/>
    </xf>
    <xf numFmtId="16" fontId="0" fillId="0" borderId="1" xfId="0" applyNumberFormat="1" applyBorder="1" applyAlignment="1"/>
    <xf numFmtId="0" fontId="0" fillId="0" borderId="1" xfId="0" applyBorder="1" applyAlignment="1"/>
    <xf numFmtId="168" fontId="0" fillId="0" borderId="1" xfId="0" applyNumberFormat="1" applyBorder="1" applyAlignment="1"/>
    <xf numFmtId="0" fontId="0" fillId="26" borderId="1" xfId="0" applyFill="1" applyBorder="1" applyAlignment="1">
      <alignment horizontal="center" vertical="center"/>
    </xf>
    <xf numFmtId="168" fontId="0" fillId="0" borderId="1" xfId="2" applyNumberFormat="1" applyFont="1" applyBorder="1"/>
    <xf numFmtId="166" fontId="3" fillId="0" borderId="0" xfId="0" applyNumberFormat="1" applyFont="1" applyAlignment="1">
      <alignment horizontal="center"/>
    </xf>
    <xf numFmtId="168" fontId="3" fillId="0" borderId="1" xfId="0" applyNumberFormat="1" applyFont="1" applyFill="1" applyBorder="1"/>
    <xf numFmtId="0" fontId="3" fillId="0" borderId="1" xfId="0" applyFont="1" applyFill="1" applyBorder="1" applyAlignment="1">
      <alignment horizontal="right"/>
    </xf>
    <xf numFmtId="16" fontId="3" fillId="0" borderId="0" xfId="0" applyNumberFormat="1" applyFont="1" applyBorder="1" applyAlignment="1">
      <alignment horizontal="center"/>
    </xf>
    <xf numFmtId="16" fontId="3" fillId="0" borderId="0" xfId="0" applyNumberFormat="1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right" vertical="center"/>
    </xf>
    <xf numFmtId="0" fontId="0" fillId="0" borderId="0" xfId="0" applyFill="1" applyBorder="1" applyAlignment="1">
      <alignment horizontal="right"/>
    </xf>
    <xf numFmtId="0" fontId="3" fillId="0" borderId="0" xfId="0" applyFont="1" applyFill="1" applyBorder="1" applyAlignment="1">
      <alignment horizontal="left" vertical="center"/>
    </xf>
    <xf numFmtId="168" fontId="3" fillId="0" borderId="0" xfId="0" applyNumberFormat="1" applyFont="1" applyFill="1"/>
    <xf numFmtId="166" fontId="3" fillId="12" borderId="1" xfId="1" applyNumberFormat="1" applyFont="1" applyFill="1" applyBorder="1" applyAlignment="1"/>
    <xf numFmtId="16" fontId="3" fillId="12" borderId="1" xfId="0" applyNumberFormat="1" applyFont="1" applyFill="1" applyBorder="1" applyAlignment="1">
      <alignment horizontal="right"/>
    </xf>
    <xf numFmtId="168" fontId="0" fillId="12" borderId="1" xfId="0" applyNumberFormat="1" applyFill="1" applyBorder="1"/>
    <xf numFmtId="168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vertical="center"/>
    </xf>
    <xf numFmtId="168" fontId="0" fillId="0" borderId="1" xfId="0" applyNumberFormat="1" applyFill="1" applyBorder="1" applyAlignment="1">
      <alignment horizontal="right"/>
    </xf>
    <xf numFmtId="168" fontId="0" fillId="0" borderId="1" xfId="0" applyNumberFormat="1" applyFill="1" applyBorder="1"/>
    <xf numFmtId="168" fontId="0" fillId="6" borderId="1" xfId="0" applyNumberFormat="1" applyFill="1" applyBorder="1"/>
    <xf numFmtId="168" fontId="3" fillId="8" borderId="1" xfId="0" applyNumberFormat="1" applyFont="1" applyFill="1" applyBorder="1"/>
    <xf numFmtId="167" fontId="3" fillId="0" borderId="0" xfId="0" applyNumberFormat="1" applyFont="1" applyAlignment="1">
      <alignment vertical="center"/>
    </xf>
    <xf numFmtId="168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68" fontId="3" fillId="0" borderId="1" xfId="0" applyNumberFormat="1" applyFont="1" applyBorder="1"/>
    <xf numFmtId="0" fontId="0" fillId="16" borderId="5" xfId="0" applyFill="1" applyBorder="1" applyAlignment="1">
      <alignment horizontal="center" vertical="center"/>
    </xf>
    <xf numFmtId="166" fontId="3" fillId="23" borderId="1" xfId="1" applyNumberFormat="1" applyFont="1" applyFill="1" applyBorder="1" applyAlignment="1"/>
    <xf numFmtId="0" fontId="3" fillId="23" borderId="1" xfId="0" applyFont="1" applyFill="1" applyBorder="1" applyAlignment="1">
      <alignment horizontal="left"/>
    </xf>
    <xf numFmtId="0" fontId="0" fillId="0" borderId="1" xfId="0" applyBorder="1" applyAlignment="1">
      <alignment horizontal="center" vertical="center"/>
    </xf>
    <xf numFmtId="168" fontId="3" fillId="12" borderId="1" xfId="0" applyNumberFormat="1" applyFont="1" applyFill="1" applyBorder="1"/>
    <xf numFmtId="0" fontId="0" fillId="12" borderId="1" xfId="0" applyFill="1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8" fontId="3" fillId="18" borderId="1" xfId="0" applyNumberFormat="1" applyFont="1" applyFill="1" applyBorder="1"/>
    <xf numFmtId="168" fontId="0" fillId="5" borderId="1" xfId="0" applyNumberFormat="1" applyFill="1" applyBorder="1"/>
    <xf numFmtId="168" fontId="3" fillId="14" borderId="1" xfId="0" applyNumberFormat="1" applyFont="1" applyFill="1" applyBorder="1"/>
    <xf numFmtId="0" fontId="0" fillId="14" borderId="1" xfId="0" applyFill="1" applyBorder="1" applyAlignment="1">
      <alignment horizontal="left"/>
    </xf>
    <xf numFmtId="16" fontId="0" fillId="5" borderId="1" xfId="0" applyNumberFormat="1" applyFill="1" applyBorder="1" applyAlignment="1">
      <alignment horizontal="right" vertical="center"/>
    </xf>
    <xf numFmtId="0" fontId="0" fillId="5" borderId="1" xfId="0" applyFill="1" applyBorder="1" applyAlignment="1">
      <alignment horizontal="left" vertical="top"/>
    </xf>
    <xf numFmtId="167" fontId="0" fillId="5" borderId="1" xfId="0" applyNumberFormat="1" applyFill="1" applyBorder="1" applyAlignment="1">
      <alignment horizontal="center"/>
    </xf>
    <xf numFmtId="167" fontId="0" fillId="5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Fill="1" applyBorder="1"/>
    <xf numFmtId="166" fontId="0" fillId="0" borderId="0" xfId="0" applyNumberFormat="1" applyFill="1" applyBorder="1"/>
    <xf numFmtId="0" fontId="0" fillId="23" borderId="3" xfId="0" applyFill="1" applyBorder="1" applyAlignment="1"/>
    <xf numFmtId="0" fontId="0" fillId="23" borderId="4" xfId="0" applyFill="1" applyBorder="1" applyAlignment="1"/>
    <xf numFmtId="0" fontId="0" fillId="23" borderId="5" xfId="0" applyFill="1" applyBorder="1" applyAlignment="1"/>
    <xf numFmtId="0" fontId="0" fillId="13" borderId="1" xfId="0" applyFill="1" applyBorder="1" applyAlignment="1">
      <alignment horizontal="center" vertical="center"/>
    </xf>
    <xf numFmtId="167" fontId="0" fillId="13" borderId="1" xfId="0" applyNumberFormat="1" applyFill="1" applyBorder="1" applyAlignment="1">
      <alignment horizontal="center"/>
    </xf>
    <xf numFmtId="167" fontId="0" fillId="13" borderId="1" xfId="0" applyNumberFormat="1" applyFill="1" applyBorder="1" applyAlignment="1">
      <alignment horizontal="center" vertical="center"/>
    </xf>
    <xf numFmtId="167" fontId="0" fillId="13" borderId="3" xfId="0" applyNumberFormat="1" applyFill="1" applyBorder="1" applyAlignment="1">
      <alignment vertical="center"/>
    </xf>
    <xf numFmtId="0" fontId="0" fillId="13" borderId="3" xfId="0" applyFill="1" applyBorder="1" applyAlignment="1">
      <alignment vertical="center"/>
    </xf>
    <xf numFmtId="166" fontId="3" fillId="26" borderId="1" xfId="1" applyNumberFormat="1" applyFont="1" applyFill="1" applyBorder="1" applyAlignment="1"/>
    <xf numFmtId="16" fontId="3" fillId="26" borderId="1" xfId="0" applyNumberFormat="1" applyFont="1" applyFill="1" applyBorder="1" applyAlignment="1">
      <alignment horizontal="right"/>
    </xf>
    <xf numFmtId="16" fontId="0" fillId="16" borderId="1" xfId="0" applyNumberFormat="1" applyFill="1" applyBorder="1" applyAlignment="1">
      <alignment horizontal="center"/>
    </xf>
    <xf numFmtId="0" fontId="0" fillId="16" borderId="1" xfId="0" applyFill="1" applyBorder="1" applyAlignment="1">
      <alignment horizontal="left"/>
    </xf>
    <xf numFmtId="16" fontId="3" fillId="28" borderId="1" xfId="0" applyNumberFormat="1" applyFont="1" applyFill="1" applyBorder="1" applyAlignment="1">
      <alignment horizontal="center"/>
    </xf>
    <xf numFmtId="0" fontId="3" fillId="28" borderId="1" xfId="0" applyFont="1" applyFill="1" applyBorder="1" applyAlignment="1">
      <alignment horizontal="center"/>
    </xf>
    <xf numFmtId="167" fontId="3" fillId="28" borderId="1" xfId="0" applyNumberFormat="1" applyFont="1" applyFill="1" applyBorder="1"/>
    <xf numFmtId="0" fontId="3" fillId="28" borderId="1" xfId="0" applyFont="1" applyFill="1" applyBorder="1"/>
    <xf numFmtId="16" fontId="3" fillId="14" borderId="4" xfId="0" applyNumberFormat="1" applyFont="1" applyFill="1" applyBorder="1" applyAlignment="1">
      <alignment horizontal="center" vertical="center"/>
    </xf>
    <xf numFmtId="0" fontId="3" fillId="14" borderId="4" xfId="0" applyFont="1" applyFill="1" applyBorder="1" applyAlignment="1">
      <alignment horizontal="center" vertical="center"/>
    </xf>
    <xf numFmtId="16" fontId="3" fillId="14" borderId="6" xfId="0" applyNumberFormat="1" applyFont="1" applyFill="1" applyBorder="1" applyAlignment="1">
      <alignment horizontal="center" vertical="center"/>
    </xf>
    <xf numFmtId="0" fontId="3" fillId="14" borderId="6" xfId="0" applyFont="1" applyFill="1" applyBorder="1" applyAlignment="1">
      <alignment horizontal="center" vertical="center"/>
    </xf>
    <xf numFmtId="16" fontId="3" fillId="14" borderId="4" xfId="0" applyNumberFormat="1" applyFont="1" applyFill="1" applyBorder="1" applyAlignment="1">
      <alignment horizontal="center"/>
    </xf>
    <xf numFmtId="0" fontId="3" fillId="14" borderId="4" xfId="0" applyFont="1" applyFill="1" applyBorder="1" applyAlignment="1">
      <alignment horizontal="center"/>
    </xf>
    <xf numFmtId="16" fontId="3" fillId="7" borderId="6" xfId="0" applyNumberFormat="1" applyFont="1" applyFill="1" applyBorder="1" applyAlignment="1">
      <alignment horizontal="center" vertical="center"/>
    </xf>
    <xf numFmtId="0" fontId="3" fillId="7" borderId="6" xfId="0" applyFont="1" applyFill="1" applyBorder="1" applyAlignment="1">
      <alignment horizontal="center" vertical="center"/>
    </xf>
    <xf numFmtId="16" fontId="3" fillId="5" borderId="6" xfId="0" applyNumberFormat="1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167" fontId="3" fillId="13" borderId="3" xfId="0" applyNumberFormat="1" applyFont="1" applyFill="1" applyBorder="1" applyAlignment="1">
      <alignment horizontal="center" vertical="center"/>
    </xf>
    <xf numFmtId="167" fontId="3" fillId="13" borderId="4" xfId="0" applyNumberFormat="1" applyFont="1" applyFill="1" applyBorder="1" applyAlignment="1">
      <alignment horizontal="center" vertical="center"/>
    </xf>
    <xf numFmtId="167" fontId="3" fillId="13" borderId="5" xfId="0" applyNumberFormat="1" applyFont="1" applyFill="1" applyBorder="1" applyAlignment="1">
      <alignment horizontal="center" vertical="center"/>
    </xf>
    <xf numFmtId="0" fontId="3" fillId="13" borderId="3" xfId="0" applyFont="1" applyFill="1" applyBorder="1" applyAlignment="1">
      <alignment horizontal="center" vertical="center"/>
    </xf>
    <xf numFmtId="0" fontId="3" fillId="13" borderId="4" xfId="0" applyFont="1" applyFill="1" applyBorder="1" applyAlignment="1">
      <alignment horizontal="center" vertical="center"/>
    </xf>
    <xf numFmtId="0" fontId="3" fillId="13" borderId="5" xfId="0" applyFont="1" applyFill="1" applyBorder="1" applyAlignment="1">
      <alignment horizontal="center" vertical="center"/>
    </xf>
    <xf numFmtId="16" fontId="3" fillId="13" borderId="6" xfId="0" applyNumberFormat="1" applyFont="1" applyFill="1" applyBorder="1" applyAlignment="1">
      <alignment horizontal="center" vertical="center"/>
    </xf>
    <xf numFmtId="0" fontId="3" fillId="13" borderId="6" xfId="0" applyFont="1" applyFill="1" applyBorder="1" applyAlignment="1">
      <alignment horizontal="center" vertical="center"/>
    </xf>
    <xf numFmtId="0" fontId="3" fillId="21" borderId="6" xfId="0" applyFont="1" applyFill="1" applyBorder="1" applyAlignment="1">
      <alignment horizontal="left" vertical="center"/>
    </xf>
    <xf numFmtId="167" fontId="3" fillId="4" borderId="3" xfId="0" applyNumberFormat="1" applyFont="1" applyFill="1" applyBorder="1" applyAlignment="1">
      <alignment horizontal="center" vertical="center"/>
    </xf>
    <xf numFmtId="167" fontId="3" fillId="4" borderId="4" xfId="0" applyNumberFormat="1" applyFont="1" applyFill="1" applyBorder="1" applyAlignment="1">
      <alignment horizontal="center" vertical="center"/>
    </xf>
    <xf numFmtId="167" fontId="3" fillId="4" borderId="5" xfId="0" applyNumberFormat="1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167" fontId="3" fillId="14" borderId="3" xfId="0" applyNumberFormat="1" applyFont="1" applyFill="1" applyBorder="1" applyAlignment="1">
      <alignment horizontal="center" vertical="center"/>
    </xf>
    <xf numFmtId="167" fontId="3" fillId="14" borderId="4" xfId="0" applyNumberFormat="1" applyFont="1" applyFill="1" applyBorder="1" applyAlignment="1">
      <alignment horizontal="center" vertical="center"/>
    </xf>
    <xf numFmtId="167" fontId="3" fillId="14" borderId="5" xfId="0" applyNumberFormat="1" applyFont="1" applyFill="1" applyBorder="1" applyAlignment="1">
      <alignment horizontal="center" vertical="center"/>
    </xf>
    <xf numFmtId="167" fontId="3" fillId="7" borderId="3" xfId="0" applyNumberFormat="1" applyFont="1" applyFill="1" applyBorder="1" applyAlignment="1">
      <alignment horizontal="center" vertical="center"/>
    </xf>
    <xf numFmtId="167" fontId="3" fillId="7" borderId="4" xfId="0" applyNumberFormat="1" applyFont="1" applyFill="1" applyBorder="1" applyAlignment="1">
      <alignment horizontal="center" vertical="center"/>
    </xf>
    <xf numFmtId="167" fontId="3" fillId="7" borderId="5" xfId="0" applyNumberFormat="1" applyFont="1" applyFill="1" applyBorder="1" applyAlignment="1">
      <alignment horizontal="center" vertical="center"/>
    </xf>
    <xf numFmtId="0" fontId="3" fillId="14" borderId="3" xfId="0" applyFont="1" applyFill="1" applyBorder="1" applyAlignment="1">
      <alignment horizontal="center" vertical="center"/>
    </xf>
    <xf numFmtId="0" fontId="3" fillId="14" borderId="5" xfId="0" applyFont="1" applyFill="1" applyBorder="1" applyAlignment="1">
      <alignment horizontal="center" vertical="center"/>
    </xf>
    <xf numFmtId="0" fontId="3" fillId="7" borderId="3" xfId="0" applyFont="1" applyFill="1" applyBorder="1" applyAlignment="1">
      <alignment horizontal="center" vertical="center"/>
    </xf>
    <xf numFmtId="0" fontId="3" fillId="7" borderId="4" xfId="0" applyFont="1" applyFill="1" applyBorder="1" applyAlignment="1">
      <alignment horizontal="center" vertical="center"/>
    </xf>
    <xf numFmtId="0" fontId="3" fillId="7" borderId="5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167" fontId="3" fillId="21" borderId="3" xfId="0" applyNumberFormat="1" applyFont="1" applyFill="1" applyBorder="1" applyAlignment="1">
      <alignment horizontal="center" vertical="center"/>
    </xf>
    <xf numFmtId="167" fontId="3" fillId="21" borderId="5" xfId="0" applyNumberFormat="1" applyFont="1" applyFill="1" applyBorder="1" applyAlignment="1">
      <alignment horizontal="center" vertical="center"/>
    </xf>
    <xf numFmtId="0" fontId="3" fillId="21" borderId="3" xfId="0" applyFont="1" applyFill="1" applyBorder="1" applyAlignment="1">
      <alignment horizontal="center" vertical="center"/>
    </xf>
    <xf numFmtId="0" fontId="3" fillId="21" borderId="5" xfId="0" applyFont="1" applyFill="1" applyBorder="1" applyAlignment="1">
      <alignment horizontal="center" vertical="center"/>
    </xf>
    <xf numFmtId="167" fontId="3" fillId="5" borderId="3" xfId="0" applyNumberFormat="1" applyFont="1" applyFill="1" applyBorder="1" applyAlignment="1">
      <alignment horizontal="center" vertical="center"/>
    </xf>
    <xf numFmtId="167" fontId="3" fillId="5" borderId="4" xfId="0" applyNumberFormat="1" applyFont="1" applyFill="1" applyBorder="1" applyAlignment="1">
      <alignment horizontal="center" vertical="center"/>
    </xf>
    <xf numFmtId="167" fontId="3" fillId="5" borderId="5" xfId="0" applyNumberFormat="1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167" fontId="3" fillId="0" borderId="3" xfId="0" applyNumberFormat="1" applyFont="1" applyBorder="1" applyAlignment="1">
      <alignment horizontal="center" vertical="center"/>
    </xf>
    <xf numFmtId="167" fontId="3" fillId="0" borderId="4" xfId="0" applyNumberFormat="1" applyFont="1" applyBorder="1" applyAlignment="1">
      <alignment horizontal="center" vertical="center"/>
    </xf>
    <xf numFmtId="167" fontId="3" fillId="0" borderId="5" xfId="0" applyNumberFormat="1" applyFont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167" fontId="0" fillId="0" borderId="3" xfId="0" applyNumberFormat="1" applyBorder="1" applyAlignment="1">
      <alignment horizontal="center" vertical="center"/>
    </xf>
    <xf numFmtId="167" fontId="0" fillId="0" borderId="5" xfId="0" applyNumberFormat="1" applyBorder="1" applyAlignment="1">
      <alignment horizontal="center" vertical="center"/>
    </xf>
    <xf numFmtId="167" fontId="0" fillId="13" borderId="3" xfId="0" applyNumberFormat="1" applyFill="1" applyBorder="1" applyAlignment="1">
      <alignment horizontal="center" vertical="center"/>
    </xf>
    <xf numFmtId="167" fontId="0" fillId="13" borderId="5" xfId="0" applyNumberFormat="1" applyFill="1" applyBorder="1" applyAlignment="1">
      <alignment horizontal="center" vertical="center"/>
    </xf>
    <xf numFmtId="167" fontId="0" fillId="6" borderId="3" xfId="0" applyNumberFormat="1" applyFill="1" applyBorder="1" applyAlignment="1">
      <alignment horizontal="center" vertical="center"/>
    </xf>
    <xf numFmtId="167" fontId="0" fillId="6" borderId="4" xfId="0" applyNumberFormat="1" applyFill="1" applyBorder="1" applyAlignment="1">
      <alignment horizontal="center" vertical="center"/>
    </xf>
    <xf numFmtId="167" fontId="0" fillId="6" borderId="5" xfId="0" applyNumberFormat="1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13" borderId="3" xfId="0" applyFill="1" applyBorder="1" applyAlignment="1">
      <alignment horizontal="center" vertical="center"/>
    </xf>
    <xf numFmtId="0" fontId="0" fillId="13" borderId="4" xfId="0" applyFill="1" applyBorder="1" applyAlignment="1">
      <alignment horizontal="center" vertical="center"/>
    </xf>
    <xf numFmtId="0" fontId="0" fillId="13" borderId="5" xfId="0" applyFill="1" applyBorder="1" applyAlignment="1">
      <alignment horizontal="center" vertical="center"/>
    </xf>
    <xf numFmtId="16" fontId="0" fillId="13" borderId="6" xfId="0" applyNumberFormat="1" applyFill="1" applyBorder="1" applyAlignment="1">
      <alignment horizontal="center" vertical="center"/>
    </xf>
    <xf numFmtId="0" fontId="0" fillId="13" borderId="6" xfId="0" applyFill="1" applyBorder="1" applyAlignment="1">
      <alignment horizontal="center" vertical="center"/>
    </xf>
    <xf numFmtId="16" fontId="3" fillId="5" borderId="4" xfId="0" applyNumberFormat="1" applyFont="1" applyFill="1" applyBorder="1" applyAlignment="1">
      <alignment horizontal="center" vertical="center"/>
    </xf>
    <xf numFmtId="16" fontId="3" fillId="5" borderId="1" xfId="0" applyNumberFormat="1" applyFont="1" applyFill="1" applyBorder="1" applyAlignment="1">
      <alignment horizontal="center" vertical="center"/>
    </xf>
    <xf numFmtId="167" fontId="3" fillId="5" borderId="1" xfId="0" applyNumberFormat="1" applyFont="1" applyFill="1" applyBorder="1" applyAlignment="1">
      <alignment horizontal="center" vertical="center"/>
    </xf>
    <xf numFmtId="0" fontId="3" fillId="12" borderId="3" xfId="0" applyFont="1" applyFill="1" applyBorder="1" applyAlignment="1">
      <alignment horizontal="center" vertical="center"/>
    </xf>
    <xf numFmtId="0" fontId="3" fillId="12" borderId="5" xfId="0" applyFont="1" applyFill="1" applyBorder="1" applyAlignment="1">
      <alignment horizontal="center" vertical="center"/>
    </xf>
    <xf numFmtId="16" fontId="3" fillId="13" borderId="4" xfId="0" applyNumberFormat="1" applyFont="1" applyFill="1" applyBorder="1" applyAlignment="1">
      <alignment horizontal="center" vertical="center"/>
    </xf>
    <xf numFmtId="0" fontId="3" fillId="12" borderId="6" xfId="0" applyFont="1" applyFill="1" applyBorder="1" applyAlignment="1">
      <alignment horizontal="center" wrapText="1"/>
    </xf>
    <xf numFmtId="167" fontId="3" fillId="0" borderId="1" xfId="0" applyNumberFormat="1" applyFont="1" applyBorder="1" applyAlignment="1">
      <alignment horizontal="center"/>
    </xf>
    <xf numFmtId="0" fontId="3" fillId="19" borderId="6" xfId="0" applyFont="1" applyFill="1" applyBorder="1" applyAlignment="1">
      <alignment horizontal="center" vertical="center" wrapText="1"/>
    </xf>
    <xf numFmtId="167" fontId="3" fillId="19" borderId="3" xfId="0" applyNumberFormat="1" applyFont="1" applyFill="1" applyBorder="1" applyAlignment="1">
      <alignment horizontal="center" vertical="center"/>
    </xf>
    <xf numFmtId="167" fontId="3" fillId="19" borderId="5" xfId="0" applyNumberFormat="1" applyFont="1" applyFill="1" applyBorder="1" applyAlignment="1">
      <alignment horizontal="center" vertical="center"/>
    </xf>
    <xf numFmtId="0" fontId="3" fillId="19" borderId="3" xfId="0" applyFont="1" applyFill="1" applyBorder="1" applyAlignment="1">
      <alignment horizontal="center" vertical="center"/>
    </xf>
    <xf numFmtId="0" fontId="3" fillId="19" borderId="5" xfId="0" applyFont="1" applyFill="1" applyBorder="1" applyAlignment="1">
      <alignment horizontal="center" vertical="center"/>
    </xf>
    <xf numFmtId="167" fontId="3" fillId="19" borderId="4" xfId="0" applyNumberFormat="1" applyFont="1" applyFill="1" applyBorder="1" applyAlignment="1">
      <alignment horizontal="center" vertical="center"/>
    </xf>
    <xf numFmtId="0" fontId="3" fillId="19" borderId="4" xfId="0" applyFont="1" applyFill="1" applyBorder="1" applyAlignment="1">
      <alignment horizontal="center" vertical="center"/>
    </xf>
    <xf numFmtId="167" fontId="0" fillId="19" borderId="3" xfId="0" applyNumberFormat="1" applyFill="1" applyBorder="1" applyAlignment="1">
      <alignment horizontal="center" vertical="center"/>
    </xf>
    <xf numFmtId="167" fontId="0" fillId="19" borderId="4" xfId="0" applyNumberFormat="1" applyFill="1" applyBorder="1" applyAlignment="1">
      <alignment horizontal="center" vertical="center"/>
    </xf>
    <xf numFmtId="167" fontId="0" fillId="19" borderId="5" xfId="0" applyNumberFormat="1" applyFill="1" applyBorder="1" applyAlignment="1">
      <alignment horizontal="center" vertical="center"/>
    </xf>
    <xf numFmtId="0" fontId="0" fillId="19" borderId="3" xfId="0" applyFill="1" applyBorder="1" applyAlignment="1">
      <alignment horizontal="center" vertical="center"/>
    </xf>
    <xf numFmtId="0" fontId="0" fillId="19" borderId="4" xfId="0" applyFill="1" applyBorder="1" applyAlignment="1">
      <alignment horizontal="center" vertical="center"/>
    </xf>
    <xf numFmtId="0" fontId="0" fillId="19" borderId="5" xfId="0" applyFill="1" applyBorder="1" applyAlignment="1">
      <alignment horizontal="center" vertical="center"/>
    </xf>
    <xf numFmtId="167" fontId="0" fillId="17" borderId="3" xfId="0" applyNumberFormat="1" applyFill="1" applyBorder="1" applyAlignment="1">
      <alignment horizontal="center" vertical="center"/>
    </xf>
    <xf numFmtId="167" fontId="0" fillId="17" borderId="4" xfId="0" applyNumberFormat="1" applyFill="1" applyBorder="1" applyAlignment="1">
      <alignment horizontal="center" vertical="center"/>
    </xf>
    <xf numFmtId="167" fontId="0" fillId="17" borderId="5" xfId="0" applyNumberFormat="1" applyFill="1" applyBorder="1" applyAlignment="1">
      <alignment horizontal="center" vertical="center"/>
    </xf>
    <xf numFmtId="0" fontId="0" fillId="17" borderId="3" xfId="0" applyFill="1" applyBorder="1" applyAlignment="1">
      <alignment horizontal="center" vertical="center"/>
    </xf>
    <xf numFmtId="0" fontId="0" fillId="17" borderId="4" xfId="0" applyFill="1" applyBorder="1" applyAlignment="1">
      <alignment horizontal="center" vertical="center"/>
    </xf>
    <xf numFmtId="0" fontId="0" fillId="17" borderId="5" xfId="0" applyFill="1" applyBorder="1" applyAlignment="1">
      <alignment horizontal="center" vertical="center"/>
    </xf>
    <xf numFmtId="167" fontId="0" fillId="5" borderId="3" xfId="0" applyNumberFormat="1" applyFill="1" applyBorder="1" applyAlignment="1">
      <alignment horizontal="center" vertical="center"/>
    </xf>
    <xf numFmtId="167" fontId="0" fillId="5" borderId="4" xfId="0" applyNumberFormat="1" applyFill="1" applyBorder="1" applyAlignment="1">
      <alignment horizontal="center" vertical="center"/>
    </xf>
    <xf numFmtId="167" fontId="0" fillId="5" borderId="5" xfId="0" applyNumberFormat="1" applyFill="1" applyBorder="1" applyAlignment="1">
      <alignment horizontal="center" vertical="center"/>
    </xf>
    <xf numFmtId="0" fontId="0" fillId="8" borderId="5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167" fontId="0" fillId="14" borderId="3" xfId="0" applyNumberFormat="1" applyFill="1" applyBorder="1" applyAlignment="1">
      <alignment horizontal="center" vertical="center"/>
    </xf>
    <xf numFmtId="167" fontId="0" fillId="14" borderId="4" xfId="0" applyNumberFormat="1" applyFill="1" applyBorder="1" applyAlignment="1">
      <alignment horizontal="center" vertical="center"/>
    </xf>
    <xf numFmtId="167" fontId="0" fillId="14" borderId="5" xfId="0" applyNumberFormat="1" applyFill="1" applyBorder="1" applyAlignment="1">
      <alignment horizontal="center" vertical="center"/>
    </xf>
    <xf numFmtId="0" fontId="0" fillId="14" borderId="3" xfId="0" applyFill="1" applyBorder="1" applyAlignment="1">
      <alignment horizontal="center" vertical="center"/>
    </xf>
    <xf numFmtId="0" fontId="0" fillId="14" borderId="4" xfId="0" applyFill="1" applyBorder="1" applyAlignment="1">
      <alignment horizontal="center" vertical="center"/>
    </xf>
    <xf numFmtId="0" fontId="0" fillId="14" borderId="5" xfId="0" applyFill="1" applyBorder="1" applyAlignment="1">
      <alignment horizontal="center" vertical="center"/>
    </xf>
    <xf numFmtId="0" fontId="0" fillId="8" borderId="6" xfId="0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8" borderId="3" xfId="0" applyNumberFormat="1" applyFill="1" applyBorder="1" applyAlignment="1">
      <alignment horizontal="center" vertical="center"/>
    </xf>
    <xf numFmtId="167" fontId="0" fillId="8" borderId="4" xfId="0" applyNumberFormat="1" applyFill="1" applyBorder="1" applyAlignment="1">
      <alignment horizontal="center" vertical="center"/>
    </xf>
    <xf numFmtId="167" fontId="0" fillId="8" borderId="5" xfId="0" applyNumberFormat="1" applyFill="1" applyBorder="1" applyAlignment="1">
      <alignment horizontal="center" vertical="center"/>
    </xf>
    <xf numFmtId="0" fontId="0" fillId="8" borderId="3" xfId="0" applyFill="1" applyBorder="1" applyAlignment="1">
      <alignment horizontal="center" vertical="center"/>
    </xf>
    <xf numFmtId="0" fontId="0" fillId="8" borderId="4" xfId="0" applyFill="1" applyBorder="1" applyAlignment="1">
      <alignment horizontal="center" vertical="center"/>
    </xf>
    <xf numFmtId="167" fontId="0" fillId="8" borderId="6" xfId="0" applyNumberFormat="1" applyFill="1" applyBorder="1" applyAlignment="1">
      <alignment horizontal="center" vertical="center"/>
    </xf>
    <xf numFmtId="167" fontId="0" fillId="8" borderId="7" xfId="0" applyNumberFormat="1" applyFill="1" applyBorder="1" applyAlignment="1">
      <alignment horizontal="center" vertical="center"/>
    </xf>
    <xf numFmtId="0" fontId="3" fillId="17" borderId="6" xfId="0" applyFont="1" applyFill="1" applyBorder="1" applyAlignment="1">
      <alignment horizontal="center" vertical="center" wrapText="1"/>
    </xf>
    <xf numFmtId="16" fontId="0" fillId="14" borderId="6" xfId="0" applyNumberFormat="1" applyFill="1" applyBorder="1" applyAlignment="1">
      <alignment horizontal="center" vertical="center"/>
    </xf>
    <xf numFmtId="0" fontId="0" fillId="14" borderId="6" xfId="0" applyFill="1" applyBorder="1" applyAlignment="1">
      <alignment horizontal="center" vertical="center"/>
    </xf>
    <xf numFmtId="167" fontId="3" fillId="17" borderId="3" xfId="0" applyNumberFormat="1" applyFont="1" applyFill="1" applyBorder="1" applyAlignment="1">
      <alignment horizontal="center" vertical="center"/>
    </xf>
    <xf numFmtId="167" fontId="3" fillId="17" borderId="4" xfId="0" applyNumberFormat="1" applyFont="1" applyFill="1" applyBorder="1" applyAlignment="1">
      <alignment horizontal="center" vertical="center"/>
    </xf>
    <xf numFmtId="167" fontId="3" fillId="17" borderId="5" xfId="0" applyNumberFormat="1" applyFont="1" applyFill="1" applyBorder="1" applyAlignment="1">
      <alignment horizontal="center" vertical="center"/>
    </xf>
    <xf numFmtId="0" fontId="3" fillId="17" borderId="3" xfId="0" applyFont="1" applyFill="1" applyBorder="1" applyAlignment="1">
      <alignment horizontal="center" vertical="center"/>
    </xf>
    <xf numFmtId="0" fontId="3" fillId="17" borderId="4" xfId="0" applyFont="1" applyFill="1" applyBorder="1" applyAlignment="1">
      <alignment horizontal="center" vertical="center"/>
    </xf>
    <xf numFmtId="0" fontId="3" fillId="17" borderId="5" xfId="0" applyFont="1" applyFill="1" applyBorder="1" applyAlignment="1">
      <alignment horizontal="center" vertical="center"/>
    </xf>
    <xf numFmtId="167" fontId="3" fillId="11" borderId="3" xfId="0" applyNumberFormat="1" applyFont="1" applyFill="1" applyBorder="1" applyAlignment="1">
      <alignment vertical="center"/>
    </xf>
    <xf numFmtId="167" fontId="3" fillId="11" borderId="5" xfId="0" applyNumberFormat="1" applyFont="1" applyFill="1" applyBorder="1" applyAlignment="1">
      <alignment vertical="center"/>
    </xf>
    <xf numFmtId="0" fontId="3" fillId="11" borderId="3" xfId="0" applyFont="1" applyFill="1" applyBorder="1" applyAlignment="1">
      <alignment horizontal="center" vertical="center" wrapText="1"/>
    </xf>
    <xf numFmtId="0" fontId="3" fillId="11" borderId="5" xfId="0" applyFont="1" applyFill="1" applyBorder="1" applyAlignment="1">
      <alignment horizontal="center" vertical="center" wrapText="1"/>
    </xf>
    <xf numFmtId="16" fontId="3" fillId="0" borderId="6" xfId="0" applyNumberFormat="1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right" vertical="center"/>
    </xf>
    <xf numFmtId="0" fontId="0" fillId="6" borderId="6" xfId="0" applyFill="1" applyBorder="1" applyAlignment="1">
      <alignment horizontal="center"/>
    </xf>
    <xf numFmtId="167" fontId="0" fillId="10" borderId="3" xfId="0" applyNumberFormat="1" applyFill="1" applyBorder="1" applyAlignment="1">
      <alignment horizontal="center" vertical="center"/>
    </xf>
    <xf numFmtId="167" fontId="0" fillId="10" borderId="5" xfId="0" applyNumberFormat="1" applyFill="1" applyBorder="1" applyAlignment="1">
      <alignment horizontal="center" vertical="center"/>
    </xf>
    <xf numFmtId="0" fontId="0" fillId="18" borderId="6" xfId="0" applyFill="1" applyBorder="1" applyAlignment="1">
      <alignment horizontal="center"/>
    </xf>
    <xf numFmtId="167" fontId="0" fillId="15" borderId="3" xfId="0" applyNumberFormat="1" applyFill="1" applyBorder="1" applyAlignment="1">
      <alignment horizontal="center" vertical="center"/>
    </xf>
    <xf numFmtId="167" fontId="0" fillId="15" borderId="4" xfId="0" applyNumberFormat="1" applyFill="1" applyBorder="1" applyAlignment="1">
      <alignment horizontal="center" vertical="center"/>
    </xf>
    <xf numFmtId="167" fontId="0" fillId="15" borderId="5" xfId="0" applyNumberFormat="1" applyFill="1" applyBorder="1" applyAlignment="1">
      <alignment horizontal="center" vertical="center"/>
    </xf>
    <xf numFmtId="0" fontId="0" fillId="15" borderId="3" xfId="0" applyFill="1" applyBorder="1" applyAlignment="1">
      <alignment horizontal="center" vertical="center"/>
    </xf>
    <xf numFmtId="0" fontId="0" fillId="15" borderId="4" xfId="0" applyFill="1" applyBorder="1" applyAlignment="1">
      <alignment horizontal="center" vertical="center"/>
    </xf>
    <xf numFmtId="0" fontId="0" fillId="15" borderId="5" xfId="0" applyFill="1" applyBorder="1" applyAlignment="1">
      <alignment horizontal="center" vertical="center"/>
    </xf>
    <xf numFmtId="167" fontId="0" fillId="0" borderId="4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67" fontId="0" fillId="10" borderId="4" xfId="0" applyNumberFormat="1" applyFill="1" applyBorder="1" applyAlignment="1">
      <alignment horizontal="center" vertical="center"/>
    </xf>
    <xf numFmtId="0" fontId="0" fillId="10" borderId="3" xfId="0" applyFill="1" applyBorder="1" applyAlignment="1">
      <alignment horizontal="center" vertical="center"/>
    </xf>
    <xf numFmtId="0" fontId="0" fillId="10" borderId="4" xfId="0" applyFill="1" applyBorder="1" applyAlignment="1">
      <alignment horizontal="center" vertical="center"/>
    </xf>
    <xf numFmtId="0" fontId="0" fillId="10" borderId="5" xfId="0" applyFill="1" applyBorder="1" applyAlignment="1">
      <alignment horizontal="center" vertical="center"/>
    </xf>
    <xf numFmtId="0" fontId="0" fillId="23" borderId="6" xfId="0" applyFill="1" applyBorder="1" applyAlignment="1">
      <alignment horizontal="center" vertical="center"/>
    </xf>
    <xf numFmtId="0" fontId="0" fillId="15" borderId="6" xfId="0" applyFill="1" applyBorder="1" applyAlignment="1">
      <alignment horizontal="center" vertical="center"/>
    </xf>
    <xf numFmtId="167" fontId="0" fillId="23" borderId="3" xfId="0" applyNumberFormat="1" applyFill="1" applyBorder="1" applyAlignment="1">
      <alignment horizontal="center" vertical="center"/>
    </xf>
    <xf numFmtId="167" fontId="0" fillId="23" borderId="4" xfId="0" applyNumberFormat="1" applyFill="1" applyBorder="1" applyAlignment="1">
      <alignment horizontal="center" vertical="center"/>
    </xf>
    <xf numFmtId="167" fontId="0" fillId="23" borderId="5" xfId="0" applyNumberFormat="1" applyFill="1" applyBorder="1" applyAlignment="1">
      <alignment horizontal="center" vertical="center"/>
    </xf>
    <xf numFmtId="0" fontId="0" fillId="23" borderId="3" xfId="0" applyFill="1" applyBorder="1" applyAlignment="1">
      <alignment horizontal="center" vertical="center"/>
    </xf>
    <xf numFmtId="0" fontId="0" fillId="23" borderId="4" xfId="0" applyFill="1" applyBorder="1" applyAlignment="1">
      <alignment horizontal="center" vertical="center"/>
    </xf>
    <xf numFmtId="0" fontId="0" fillId="23" borderId="5" xfId="0" applyFill="1" applyBorder="1" applyAlignment="1">
      <alignment horizontal="center" vertical="center"/>
    </xf>
    <xf numFmtId="0" fontId="0" fillId="9" borderId="6" xfId="0" applyFill="1" applyBorder="1" applyAlignment="1">
      <alignment horizontal="center" vertical="center"/>
    </xf>
    <xf numFmtId="167" fontId="0" fillId="9" borderId="3" xfId="0" applyNumberFormat="1" applyFill="1" applyBorder="1" applyAlignment="1">
      <alignment horizontal="center" vertical="center"/>
    </xf>
    <xf numFmtId="0" fontId="0" fillId="9" borderId="4" xfId="0" applyFill="1" applyBorder="1" applyAlignment="1">
      <alignment horizontal="center" vertical="center"/>
    </xf>
    <xf numFmtId="0" fontId="0" fillId="9" borderId="5" xfId="0" applyFill="1" applyBorder="1" applyAlignment="1">
      <alignment horizontal="center" vertical="center"/>
    </xf>
    <xf numFmtId="0" fontId="0" fillId="9" borderId="3" xfId="0" applyFill="1" applyBorder="1" applyAlignment="1">
      <alignment horizontal="center" vertical="center"/>
    </xf>
    <xf numFmtId="0" fontId="0" fillId="10" borderId="6" xfId="0" applyFill="1" applyBorder="1" applyAlignment="1">
      <alignment horizontal="center" vertical="center"/>
    </xf>
    <xf numFmtId="167" fontId="0" fillId="18" borderId="3" xfId="0" applyNumberFormat="1" applyFill="1" applyBorder="1" applyAlignment="1">
      <alignment horizontal="center" vertical="center"/>
    </xf>
    <xf numFmtId="167" fontId="0" fillId="18" borderId="5" xfId="0" applyNumberFormat="1" applyFill="1" applyBorder="1" applyAlignment="1">
      <alignment horizontal="center" vertical="center"/>
    </xf>
    <xf numFmtId="0" fontId="0" fillId="18" borderId="3" xfId="0" applyFill="1" applyBorder="1" applyAlignment="1">
      <alignment horizontal="center" vertical="center"/>
    </xf>
    <xf numFmtId="0" fontId="0" fillId="18" borderId="5" xfId="0" applyFill="1" applyBorder="1" applyAlignment="1">
      <alignment horizontal="center" vertical="center"/>
    </xf>
    <xf numFmtId="167" fontId="0" fillId="16" borderId="3" xfId="0" applyNumberFormat="1" applyFill="1" applyBorder="1" applyAlignment="1">
      <alignment horizontal="center" vertical="center"/>
    </xf>
    <xf numFmtId="167" fontId="0" fillId="16" borderId="5" xfId="0" applyNumberFormat="1" applyFill="1" applyBorder="1" applyAlignment="1">
      <alignment horizontal="center" vertical="center"/>
    </xf>
    <xf numFmtId="0" fontId="0" fillId="16" borderId="3" xfId="0" applyFill="1" applyBorder="1" applyAlignment="1">
      <alignment horizontal="center" vertical="center"/>
    </xf>
    <xf numFmtId="0" fontId="0" fillId="16" borderId="5" xfId="0" applyFill="1" applyBorder="1" applyAlignment="1">
      <alignment horizontal="center" vertical="center"/>
    </xf>
    <xf numFmtId="167" fontId="3" fillId="23" borderId="3" xfId="0" applyNumberFormat="1" applyFont="1" applyFill="1" applyBorder="1" applyAlignment="1">
      <alignment horizontal="center" vertical="center"/>
    </xf>
    <xf numFmtId="167" fontId="3" fillId="23" borderId="4" xfId="0" applyNumberFormat="1" applyFont="1" applyFill="1" applyBorder="1" applyAlignment="1">
      <alignment horizontal="center" vertical="center"/>
    </xf>
    <xf numFmtId="167" fontId="3" fillId="23" borderId="5" xfId="0" applyNumberFormat="1" applyFont="1" applyFill="1" applyBorder="1" applyAlignment="1">
      <alignment horizontal="center" vertical="center"/>
    </xf>
    <xf numFmtId="0" fontId="3" fillId="23" borderId="3" xfId="0" applyFont="1" applyFill="1" applyBorder="1" applyAlignment="1">
      <alignment horizontal="center" vertical="center"/>
    </xf>
    <xf numFmtId="0" fontId="3" fillId="23" borderId="4" xfId="0" applyFont="1" applyFill="1" applyBorder="1" applyAlignment="1">
      <alignment horizontal="center" vertical="center"/>
    </xf>
    <xf numFmtId="0" fontId="3" fillId="23" borderId="5" xfId="0" applyFont="1" applyFill="1" applyBorder="1" applyAlignment="1">
      <alignment horizontal="center" vertical="center"/>
    </xf>
    <xf numFmtId="167" fontId="3" fillId="18" borderId="3" xfId="0" applyNumberFormat="1" applyFont="1" applyFill="1" applyBorder="1" applyAlignment="1">
      <alignment horizontal="center" vertical="center"/>
    </xf>
    <xf numFmtId="167" fontId="3" fillId="18" borderId="5" xfId="0" applyNumberFormat="1" applyFont="1" applyFill="1" applyBorder="1" applyAlignment="1">
      <alignment horizontal="center" vertical="center"/>
    </xf>
    <xf numFmtId="0" fontId="3" fillId="18" borderId="3" xfId="0" applyFont="1" applyFill="1" applyBorder="1" applyAlignment="1">
      <alignment horizontal="center" vertical="center"/>
    </xf>
    <xf numFmtId="0" fontId="3" fillId="18" borderId="5" xfId="0" applyFont="1" applyFill="1" applyBorder="1" applyAlignment="1">
      <alignment horizontal="center" vertical="center"/>
    </xf>
    <xf numFmtId="0" fontId="0" fillId="23" borderId="0" xfId="0" applyFill="1" applyAlignment="1">
      <alignment horizontal="center" vertical="center"/>
    </xf>
    <xf numFmtId="0" fontId="3" fillId="19" borderId="3" xfId="0" applyFont="1" applyFill="1" applyBorder="1" applyAlignment="1">
      <alignment horizontal="right" vertical="center"/>
    </xf>
    <xf numFmtId="0" fontId="3" fillId="19" borderId="5" xfId="0" applyFont="1" applyFill="1" applyBorder="1" applyAlignment="1">
      <alignment horizontal="right" vertical="center"/>
    </xf>
    <xf numFmtId="0" fontId="0" fillId="19" borderId="6" xfId="0" applyFill="1" applyBorder="1" applyAlignment="1">
      <alignment horizontal="center" vertical="center"/>
    </xf>
    <xf numFmtId="0" fontId="3" fillId="23" borderId="6" xfId="0" applyFont="1" applyFill="1" applyBorder="1" applyAlignment="1">
      <alignment horizontal="center" vertical="center"/>
    </xf>
    <xf numFmtId="167" fontId="0" fillId="23" borderId="6" xfId="0" applyNumberFormat="1" applyFill="1" applyBorder="1" applyAlignment="1">
      <alignment horizontal="center" vertical="center"/>
    </xf>
    <xf numFmtId="16" fontId="3" fillId="17" borderId="3" xfId="0" applyNumberFormat="1" applyFont="1" applyFill="1" applyBorder="1" applyAlignment="1">
      <alignment horizontal="right" vertical="center"/>
    </xf>
    <xf numFmtId="16" fontId="3" fillId="17" borderId="5" xfId="0" applyNumberFormat="1" applyFont="1" applyFill="1" applyBorder="1" applyAlignment="1">
      <alignment horizontal="right" vertical="center"/>
    </xf>
    <xf numFmtId="0" fontId="3" fillId="18" borderId="4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10" borderId="3" xfId="0" applyFill="1" applyBorder="1" applyAlignment="1">
      <alignment horizontal="center" vertical="center" wrapText="1"/>
    </xf>
    <xf numFmtId="0" fontId="0" fillId="10" borderId="4" xfId="0" applyFill="1" applyBorder="1" applyAlignment="1">
      <alignment horizontal="center" vertical="center" wrapText="1"/>
    </xf>
    <xf numFmtId="0" fontId="0" fillId="10" borderId="5" xfId="0" applyFill="1" applyBorder="1" applyAlignment="1">
      <alignment horizontal="center" vertical="center" wrapText="1"/>
    </xf>
    <xf numFmtId="167" fontId="3" fillId="10" borderId="3" xfId="0" applyNumberFormat="1" applyFont="1" applyFill="1" applyBorder="1" applyAlignment="1">
      <alignment horizontal="center" vertical="center"/>
    </xf>
    <xf numFmtId="167" fontId="3" fillId="10" borderId="4" xfId="0" applyNumberFormat="1" applyFont="1" applyFill="1" applyBorder="1" applyAlignment="1">
      <alignment horizontal="center" vertical="center"/>
    </xf>
    <xf numFmtId="167" fontId="3" fillId="10" borderId="5" xfId="0" applyNumberFormat="1" applyFont="1" applyFill="1" applyBorder="1" applyAlignment="1">
      <alignment horizontal="center" vertical="center"/>
    </xf>
    <xf numFmtId="0" fontId="3" fillId="10" borderId="3" xfId="0" applyFont="1" applyFill="1" applyBorder="1" applyAlignment="1">
      <alignment horizontal="center" vertical="center"/>
    </xf>
    <xf numFmtId="0" fontId="3" fillId="10" borderId="4" xfId="0" applyFont="1" applyFill="1" applyBorder="1" applyAlignment="1">
      <alignment horizontal="center" vertical="center"/>
    </xf>
    <xf numFmtId="0" fontId="3" fillId="10" borderId="5" xfId="0" applyFont="1" applyFill="1" applyBorder="1" applyAlignment="1">
      <alignment horizontal="center" vertical="center"/>
    </xf>
    <xf numFmtId="167" fontId="0" fillId="26" borderId="3" xfId="0" applyNumberFormat="1" applyFill="1" applyBorder="1" applyAlignment="1">
      <alignment horizontal="center" vertical="center"/>
    </xf>
    <xf numFmtId="167" fontId="0" fillId="26" borderId="4" xfId="0" applyNumberFormat="1" applyFill="1" applyBorder="1" applyAlignment="1">
      <alignment horizontal="center" vertical="center"/>
    </xf>
    <xf numFmtId="167" fontId="0" fillId="26" borderId="5" xfId="0" applyNumberFormat="1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0" fontId="0" fillId="5" borderId="5" xfId="0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right" vertical="center"/>
    </xf>
    <xf numFmtId="0" fontId="4" fillId="0" borderId="1" xfId="0" applyFont="1" applyFill="1" applyBorder="1" applyAlignment="1">
      <alignment horizontal="center" vertical="center"/>
    </xf>
    <xf numFmtId="0" fontId="3" fillId="23" borderId="3" xfId="0" applyFont="1" applyFill="1" applyBorder="1" applyAlignment="1">
      <alignment horizontal="right" vertical="center"/>
    </xf>
    <xf numFmtId="0" fontId="3" fillId="23" borderId="4" xfId="0" applyFont="1" applyFill="1" applyBorder="1" applyAlignment="1">
      <alignment horizontal="right" vertical="center"/>
    </xf>
    <xf numFmtId="0" fontId="3" fillId="23" borderId="5" xfId="0" applyFont="1" applyFill="1" applyBorder="1" applyAlignment="1">
      <alignment horizontal="right" vertical="center"/>
    </xf>
    <xf numFmtId="0" fontId="0" fillId="23" borderId="3" xfId="0" applyFill="1" applyBorder="1" applyAlignment="1">
      <alignment horizontal="right" vertical="center"/>
    </xf>
    <xf numFmtId="0" fontId="0" fillId="23" borderId="5" xfId="0" applyFill="1" applyBorder="1" applyAlignment="1">
      <alignment horizontal="right" vertical="center"/>
    </xf>
    <xf numFmtId="0" fontId="0" fillId="15" borderId="3" xfId="0" applyFill="1" applyBorder="1" applyAlignment="1">
      <alignment horizontal="center" vertical="center" wrapText="1"/>
    </xf>
    <xf numFmtId="0" fontId="0" fillId="15" borderId="4" xfId="0" applyFill="1" applyBorder="1" applyAlignment="1">
      <alignment horizontal="center" vertical="center" wrapText="1"/>
    </xf>
    <xf numFmtId="0" fontId="0" fillId="15" borderId="5" xfId="0" applyFill="1" applyBorder="1" applyAlignment="1">
      <alignment horizontal="center" vertical="center" wrapText="1"/>
    </xf>
    <xf numFmtId="0" fontId="0" fillId="26" borderId="3" xfId="0" applyFill="1" applyBorder="1" applyAlignment="1">
      <alignment horizontal="center"/>
    </xf>
    <xf numFmtId="0" fontId="0" fillId="26" borderId="5" xfId="0" applyFill="1" applyBorder="1" applyAlignment="1">
      <alignment horizontal="center"/>
    </xf>
    <xf numFmtId="167" fontId="0" fillId="0" borderId="3" xfId="0" applyNumberFormat="1" applyBorder="1" applyAlignment="1">
      <alignment horizontal="center"/>
    </xf>
    <xf numFmtId="167" fontId="0" fillId="0" borderId="5" xfId="0" applyNumberFormat="1" applyBorder="1" applyAlignment="1">
      <alignment horizontal="center"/>
    </xf>
    <xf numFmtId="0" fontId="3" fillId="15" borderId="4" xfId="0" applyFont="1" applyFill="1" applyBorder="1" applyAlignment="1">
      <alignment horizontal="center" vertical="center"/>
    </xf>
    <xf numFmtId="0" fontId="3" fillId="12" borderId="3" xfId="0" applyFont="1" applyFill="1" applyBorder="1" applyAlignment="1">
      <alignment horizontal="right" vertical="center"/>
    </xf>
    <xf numFmtId="0" fontId="3" fillId="12" borderId="5" xfId="0" applyFont="1" applyFill="1" applyBorder="1" applyAlignment="1">
      <alignment horizontal="right" vertical="center"/>
    </xf>
    <xf numFmtId="0" fontId="0" fillId="26" borderId="3" xfId="0" applyFill="1" applyBorder="1" applyAlignment="1">
      <alignment horizontal="center" vertical="center"/>
    </xf>
    <xf numFmtId="0" fontId="0" fillId="26" borderId="4" xfId="0" applyFill="1" applyBorder="1" applyAlignment="1">
      <alignment horizontal="center" vertical="center"/>
    </xf>
    <xf numFmtId="0" fontId="0" fillId="26" borderId="5" xfId="0" applyFill="1" applyBorder="1" applyAlignment="1">
      <alignment horizontal="center" vertical="center"/>
    </xf>
    <xf numFmtId="0" fontId="3" fillId="9" borderId="3" xfId="0" applyFont="1" applyFill="1" applyBorder="1" applyAlignment="1">
      <alignment horizontal="left" vertical="center"/>
    </xf>
    <xf numFmtId="0" fontId="3" fillId="9" borderId="5" xfId="0" applyFont="1" applyFill="1" applyBorder="1" applyAlignment="1">
      <alignment horizontal="left" vertical="center"/>
    </xf>
    <xf numFmtId="0" fontId="3" fillId="16" borderId="3" xfId="0" applyFont="1" applyFill="1" applyBorder="1" applyAlignment="1">
      <alignment horizontal="right" vertical="center"/>
    </xf>
    <xf numFmtId="0" fontId="3" fillId="16" borderId="4" xfId="0" applyFont="1" applyFill="1" applyBorder="1" applyAlignment="1">
      <alignment horizontal="right" vertical="center"/>
    </xf>
    <xf numFmtId="0" fontId="3" fillId="16" borderId="5" xfId="0" applyFont="1" applyFill="1" applyBorder="1" applyAlignment="1">
      <alignment horizontal="right" vertical="center"/>
    </xf>
    <xf numFmtId="0" fontId="3" fillId="20" borderId="3" xfId="0" applyFont="1" applyFill="1" applyBorder="1" applyAlignment="1">
      <alignment horizontal="right" vertical="center"/>
    </xf>
    <xf numFmtId="0" fontId="3" fillId="20" borderId="5" xfId="0" applyFont="1" applyFill="1" applyBorder="1" applyAlignment="1">
      <alignment horizontal="right" vertical="center"/>
    </xf>
    <xf numFmtId="0" fontId="3" fillId="26" borderId="3" xfId="0" applyFont="1" applyFill="1" applyBorder="1" applyAlignment="1">
      <alignment horizontal="right" vertical="center"/>
    </xf>
    <xf numFmtId="0" fontId="3" fillId="26" borderId="4" xfId="0" applyFont="1" applyFill="1" applyBorder="1" applyAlignment="1">
      <alignment horizontal="right" vertical="center"/>
    </xf>
    <xf numFmtId="0" fontId="3" fillId="26" borderId="5" xfId="0" applyFont="1" applyFill="1" applyBorder="1" applyAlignment="1">
      <alignment horizontal="right" vertical="center"/>
    </xf>
    <xf numFmtId="0" fontId="3" fillId="19" borderId="4" xfId="0" applyFont="1" applyFill="1" applyBorder="1" applyAlignment="1">
      <alignment horizontal="right" vertical="center"/>
    </xf>
    <xf numFmtId="168" fontId="0" fillId="26" borderId="3" xfId="0" applyNumberFormat="1" applyFill="1" applyBorder="1" applyAlignment="1">
      <alignment horizontal="center" vertical="center"/>
    </xf>
    <xf numFmtId="168" fontId="0" fillId="26" borderId="4" xfId="0" applyNumberFormat="1" applyFill="1" applyBorder="1" applyAlignment="1">
      <alignment horizontal="center" vertical="center"/>
    </xf>
    <xf numFmtId="168" fontId="0" fillId="26" borderId="5" xfId="0" applyNumberFormat="1" applyFill="1" applyBorder="1" applyAlignment="1">
      <alignment horizontal="center" vertical="center"/>
    </xf>
    <xf numFmtId="168" fontId="3" fillId="16" borderId="3" xfId="0" applyNumberFormat="1" applyFont="1" applyFill="1" applyBorder="1" applyAlignment="1">
      <alignment horizontal="center" vertical="center"/>
    </xf>
    <xf numFmtId="168" fontId="3" fillId="16" borderId="4" xfId="0" applyNumberFormat="1" applyFont="1" applyFill="1" applyBorder="1" applyAlignment="1">
      <alignment horizontal="center" vertical="center"/>
    </xf>
    <xf numFmtId="168" fontId="3" fillId="16" borderId="5" xfId="0" applyNumberFormat="1" applyFont="1" applyFill="1" applyBorder="1" applyAlignment="1">
      <alignment horizontal="center" vertical="center"/>
    </xf>
    <xf numFmtId="0" fontId="3" fillId="16" borderId="3" xfId="0" applyFont="1" applyFill="1" applyBorder="1" applyAlignment="1">
      <alignment horizontal="center" vertical="center"/>
    </xf>
    <xf numFmtId="0" fontId="3" fillId="16" borderId="4" xfId="0" applyFont="1" applyFill="1" applyBorder="1" applyAlignment="1">
      <alignment horizontal="center" vertical="center"/>
    </xf>
    <xf numFmtId="0" fontId="3" fillId="16" borderId="5" xfId="0" applyFont="1" applyFill="1" applyBorder="1" applyAlignment="1">
      <alignment horizontal="center" vertical="center"/>
    </xf>
    <xf numFmtId="167" fontId="3" fillId="20" borderId="3" xfId="0" applyNumberFormat="1" applyFont="1" applyFill="1" applyBorder="1" applyAlignment="1">
      <alignment horizontal="center" vertical="center"/>
    </xf>
    <xf numFmtId="167" fontId="3" fillId="20" borderId="4" xfId="0" applyNumberFormat="1" applyFont="1" applyFill="1" applyBorder="1" applyAlignment="1">
      <alignment horizontal="center" vertical="center"/>
    </xf>
    <xf numFmtId="167" fontId="3" fillId="20" borderId="5" xfId="0" applyNumberFormat="1" applyFont="1" applyFill="1" applyBorder="1" applyAlignment="1">
      <alignment horizontal="center" vertical="center"/>
    </xf>
    <xf numFmtId="167" fontId="0" fillId="20" borderId="3" xfId="0" applyNumberFormat="1" applyFill="1" applyBorder="1" applyAlignment="1">
      <alignment horizontal="center" vertical="center"/>
    </xf>
    <xf numFmtId="167" fontId="0" fillId="20" borderId="5" xfId="0" applyNumberFormat="1" applyFill="1" applyBorder="1" applyAlignment="1">
      <alignment horizontal="center" vertical="center"/>
    </xf>
    <xf numFmtId="0" fontId="3" fillId="20" borderId="3" xfId="0" applyFont="1" applyFill="1" applyBorder="1" applyAlignment="1">
      <alignment horizontal="center" vertical="center"/>
    </xf>
    <xf numFmtId="0" fontId="3" fillId="20" borderId="4" xfId="0" applyFont="1" applyFill="1" applyBorder="1" applyAlignment="1">
      <alignment horizontal="center" vertical="center"/>
    </xf>
    <xf numFmtId="0" fontId="3" fillId="20" borderId="5" xfId="0" applyFont="1" applyFill="1" applyBorder="1" applyAlignment="1">
      <alignment horizontal="center" vertical="center"/>
    </xf>
    <xf numFmtId="168" fontId="0" fillId="16" borderId="3" xfId="0" applyNumberFormat="1" applyFill="1" applyBorder="1" applyAlignment="1">
      <alignment horizontal="center" vertical="center"/>
    </xf>
    <xf numFmtId="168" fontId="0" fillId="16" borderId="4" xfId="0" applyNumberFormat="1" applyFill="1" applyBorder="1" applyAlignment="1">
      <alignment horizontal="center" vertical="center"/>
    </xf>
    <xf numFmtId="168" fontId="0" fillId="16" borderId="5" xfId="0" applyNumberFormat="1" applyFill="1" applyBorder="1" applyAlignment="1">
      <alignment horizontal="center" vertical="center"/>
    </xf>
    <xf numFmtId="167" fontId="0" fillId="20" borderId="4" xfId="0" applyNumberFormat="1" applyFill="1" applyBorder="1" applyAlignment="1">
      <alignment horizontal="center" vertical="center"/>
    </xf>
    <xf numFmtId="0" fontId="0" fillId="20" borderId="3" xfId="0" applyFill="1" applyBorder="1" applyAlignment="1">
      <alignment horizontal="center" vertical="center"/>
    </xf>
    <xf numFmtId="0" fontId="0" fillId="20" borderId="4" xfId="0" applyFill="1" applyBorder="1" applyAlignment="1">
      <alignment horizontal="center" vertical="center"/>
    </xf>
    <xf numFmtId="0" fontId="0" fillId="20" borderId="5" xfId="0" applyFill="1" applyBorder="1" applyAlignment="1">
      <alignment horizontal="center" vertical="center"/>
    </xf>
    <xf numFmtId="167" fontId="0" fillId="27" borderId="3" xfId="0" applyNumberFormat="1" applyFill="1" applyBorder="1" applyAlignment="1">
      <alignment horizontal="center" vertical="center"/>
    </xf>
    <xf numFmtId="167" fontId="0" fillId="27" borderId="4" xfId="0" applyNumberFormat="1" applyFill="1" applyBorder="1" applyAlignment="1">
      <alignment horizontal="center" vertical="center"/>
    </xf>
    <xf numFmtId="167" fontId="0" fillId="27" borderId="5" xfId="0" applyNumberFormat="1" applyFill="1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167" fontId="0" fillId="0" borderId="3" xfId="0" applyNumberFormat="1" applyBorder="1" applyAlignment="1">
      <alignment horizontal="left" vertical="center"/>
    </xf>
    <xf numFmtId="167" fontId="0" fillId="0" borderId="5" xfId="0" applyNumberFormat="1" applyBorder="1" applyAlignment="1">
      <alignment horizontal="left" vertical="center"/>
    </xf>
    <xf numFmtId="167" fontId="3" fillId="27" borderId="3" xfId="0" applyNumberFormat="1" applyFont="1" applyFill="1" applyBorder="1" applyAlignment="1">
      <alignment horizontal="center" vertical="center"/>
    </xf>
    <xf numFmtId="167" fontId="3" fillId="27" borderId="5" xfId="0" applyNumberFormat="1" applyFont="1" applyFill="1" applyBorder="1" applyAlignment="1">
      <alignment horizontal="center" vertical="center"/>
    </xf>
    <xf numFmtId="0" fontId="0" fillId="16" borderId="3" xfId="0" applyFill="1" applyBorder="1" applyAlignment="1">
      <alignment horizontal="center"/>
    </xf>
    <xf numFmtId="0" fontId="0" fillId="16" borderId="5" xfId="0" applyFill="1" applyBorder="1" applyAlignment="1">
      <alignment horizontal="center"/>
    </xf>
    <xf numFmtId="0" fontId="0" fillId="16" borderId="4" xfId="0" applyFill="1" applyBorder="1" applyAlignment="1">
      <alignment horizontal="center" vertical="center"/>
    </xf>
    <xf numFmtId="168" fontId="0" fillId="10" borderId="3" xfId="0" applyNumberFormat="1" applyFill="1" applyBorder="1" applyAlignment="1">
      <alignment horizontal="center" vertical="center"/>
    </xf>
    <xf numFmtId="168" fontId="0" fillId="10" borderId="5" xfId="0" applyNumberFormat="1" applyFill="1" applyBorder="1" applyAlignment="1">
      <alignment horizontal="center" vertical="center"/>
    </xf>
    <xf numFmtId="168" fontId="0" fillId="0" borderId="3" xfId="0" applyNumberFormat="1" applyBorder="1" applyAlignment="1">
      <alignment horizontal="center" vertical="center"/>
    </xf>
    <xf numFmtId="0" fontId="0" fillId="0" borderId="4" xfId="0" applyBorder="1"/>
    <xf numFmtId="0" fontId="0" fillId="0" borderId="5" xfId="0" applyBorder="1"/>
    <xf numFmtId="0" fontId="3" fillId="27" borderId="3" xfId="0" applyFont="1" applyFill="1" applyBorder="1" applyAlignment="1">
      <alignment horizontal="center" vertical="center"/>
    </xf>
    <xf numFmtId="0" fontId="3" fillId="15" borderId="3" xfId="0" applyFont="1" applyFill="1" applyBorder="1" applyAlignment="1">
      <alignment horizontal="right" vertical="center"/>
    </xf>
    <xf numFmtId="0" fontId="3" fillId="15" borderId="5" xfId="0" applyFont="1" applyFill="1" applyBorder="1" applyAlignment="1">
      <alignment horizontal="right" vertical="center"/>
    </xf>
    <xf numFmtId="167" fontId="0" fillId="16" borderId="4" xfId="0" applyNumberFormat="1" applyFill="1" applyBorder="1" applyAlignment="1">
      <alignment horizontal="center" vertical="center"/>
    </xf>
    <xf numFmtId="0" fontId="3" fillId="15" borderId="3" xfId="0" applyFont="1" applyFill="1" applyBorder="1" applyAlignment="1">
      <alignment horizontal="left" vertical="center"/>
    </xf>
    <xf numFmtId="0" fontId="3" fillId="15" borderId="4" xfId="0" applyFont="1" applyFill="1" applyBorder="1" applyAlignment="1">
      <alignment horizontal="left" vertical="center"/>
    </xf>
    <xf numFmtId="0" fontId="3" fillId="15" borderId="5" xfId="0" applyFont="1" applyFill="1" applyBorder="1" applyAlignment="1">
      <alignment horizontal="left" vertical="center"/>
    </xf>
    <xf numFmtId="0" fontId="4" fillId="0" borderId="0" xfId="0" applyFont="1" applyAlignment="1">
      <alignment horizontal="center"/>
    </xf>
    <xf numFmtId="167" fontId="0" fillId="9" borderId="5" xfId="0" applyNumberFormat="1" applyFill="1" applyBorder="1" applyAlignment="1">
      <alignment horizontal="center" vertical="center"/>
    </xf>
    <xf numFmtId="167" fontId="0" fillId="27" borderId="1" xfId="0" applyNumberFormat="1" applyFill="1" applyBorder="1" applyAlignment="1">
      <alignment horizontal="center" vertical="center"/>
    </xf>
    <xf numFmtId="0" fontId="0" fillId="27" borderId="3" xfId="0" applyFill="1" applyBorder="1" applyAlignment="1">
      <alignment horizontal="center" vertical="center"/>
    </xf>
    <xf numFmtId="0" fontId="0" fillId="27" borderId="4" xfId="0" applyFill="1" applyBorder="1" applyAlignment="1">
      <alignment horizontal="center" vertical="center"/>
    </xf>
    <xf numFmtId="0" fontId="0" fillId="27" borderId="5" xfId="0" applyFill="1" applyBorder="1" applyAlignment="1">
      <alignment horizontal="center" vertical="center"/>
    </xf>
    <xf numFmtId="0" fontId="0" fillId="27" borderId="1" xfId="0" applyFill="1" applyBorder="1" applyAlignment="1">
      <alignment horizontal="center" vertical="center"/>
    </xf>
    <xf numFmtId="167" fontId="0" fillId="9" borderId="4" xfId="0" applyNumberFormat="1" applyFill="1" applyBorder="1" applyAlignment="1">
      <alignment horizontal="center" vertical="center"/>
    </xf>
    <xf numFmtId="0" fontId="3" fillId="18" borderId="3" xfId="0" applyFont="1" applyFill="1" applyBorder="1" applyAlignment="1">
      <alignment horizontal="left" vertical="center"/>
    </xf>
    <xf numFmtId="0" fontId="3" fillId="18" borderId="5" xfId="0" applyFont="1" applyFill="1" applyBorder="1" applyAlignment="1">
      <alignment horizontal="left" vertical="center"/>
    </xf>
    <xf numFmtId="167" fontId="0" fillId="6" borderId="3" xfId="0" applyNumberFormat="1" applyFill="1" applyBorder="1" applyAlignment="1">
      <alignment horizontal="center" vertical="center" wrapText="1"/>
    </xf>
    <xf numFmtId="167" fontId="0" fillId="6" borderId="5" xfId="0" applyNumberFormat="1" applyFill="1" applyBorder="1" applyAlignment="1">
      <alignment horizontal="center" vertical="center" wrapText="1"/>
    </xf>
    <xf numFmtId="0" fontId="3" fillId="27" borderId="4" xfId="0" applyFont="1" applyFill="1" applyBorder="1" applyAlignment="1">
      <alignment horizontal="center" vertical="center"/>
    </xf>
    <xf numFmtId="167" fontId="3" fillId="27" borderId="4" xfId="0" applyNumberFormat="1" applyFont="1" applyFill="1" applyBorder="1" applyAlignment="1">
      <alignment horizontal="center" vertical="center"/>
    </xf>
    <xf numFmtId="0" fontId="3" fillId="26" borderId="3" xfId="0" applyFont="1" applyFill="1" applyBorder="1" applyAlignment="1">
      <alignment horizontal="center" vertical="center"/>
    </xf>
    <xf numFmtId="0" fontId="3" fillId="26" borderId="4" xfId="0" applyFont="1" applyFill="1" applyBorder="1" applyAlignment="1">
      <alignment horizontal="center" vertical="center"/>
    </xf>
    <xf numFmtId="0" fontId="3" fillId="26" borderId="5" xfId="0" applyFont="1" applyFill="1" applyBorder="1" applyAlignment="1">
      <alignment horizontal="center" vertical="center"/>
    </xf>
    <xf numFmtId="167" fontId="3" fillId="26" borderId="3" xfId="0" applyNumberFormat="1" applyFont="1" applyFill="1" applyBorder="1" applyAlignment="1">
      <alignment horizontal="center" vertical="center"/>
    </xf>
    <xf numFmtId="167" fontId="3" fillId="26" borderId="4" xfId="0" applyNumberFormat="1" applyFont="1" applyFill="1" applyBorder="1" applyAlignment="1">
      <alignment horizontal="center" vertical="center"/>
    </xf>
    <xf numFmtId="167" fontId="3" fillId="26" borderId="5" xfId="0" applyNumberFormat="1" applyFont="1" applyFill="1" applyBorder="1" applyAlignment="1">
      <alignment horizontal="center" vertical="center"/>
    </xf>
    <xf numFmtId="16" fontId="3" fillId="27" borderId="3" xfId="0" applyNumberFormat="1" applyFont="1" applyFill="1" applyBorder="1" applyAlignment="1">
      <alignment horizontal="right" vertical="center"/>
    </xf>
    <xf numFmtId="16" fontId="3" fillId="27" borderId="4" xfId="0" applyNumberFormat="1" applyFont="1" applyFill="1" applyBorder="1" applyAlignment="1">
      <alignment horizontal="right" vertical="center"/>
    </xf>
    <xf numFmtId="16" fontId="3" fillId="27" borderId="5" xfId="0" applyNumberFormat="1" applyFont="1" applyFill="1" applyBorder="1" applyAlignment="1">
      <alignment horizontal="right" vertical="center"/>
    </xf>
    <xf numFmtId="167" fontId="0" fillId="26" borderId="1" xfId="0" applyNumberFormat="1" applyFill="1" applyBorder="1" applyAlignment="1">
      <alignment horizontal="center" vertical="center"/>
    </xf>
    <xf numFmtId="0" fontId="0" fillId="26" borderId="1" xfId="0" applyFill="1" applyBorder="1" applyAlignment="1">
      <alignment horizontal="center" vertical="center"/>
    </xf>
    <xf numFmtId="167" fontId="0" fillId="0" borderId="3" xfId="0" applyNumberFormat="1" applyFill="1" applyBorder="1" applyAlignment="1">
      <alignment horizontal="center" vertical="center"/>
    </xf>
    <xf numFmtId="167" fontId="0" fillId="0" borderId="5" xfId="0" applyNumberForma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left" vertical="center"/>
    </xf>
    <xf numFmtId="0" fontId="3" fillId="5" borderId="4" xfId="0" applyFont="1" applyFill="1" applyBorder="1" applyAlignment="1">
      <alignment horizontal="left" vertical="center"/>
    </xf>
    <xf numFmtId="0" fontId="3" fillId="5" borderId="5" xfId="0" applyFont="1" applyFill="1" applyBorder="1" applyAlignment="1">
      <alignment horizontal="left" vertical="center"/>
    </xf>
    <xf numFmtId="167" fontId="0" fillId="13" borderId="4" xfId="0" applyNumberFormat="1" applyFill="1" applyBorder="1" applyAlignment="1">
      <alignment horizontal="center" vertical="center"/>
    </xf>
    <xf numFmtId="167" fontId="3" fillId="16" borderId="1" xfId="0" applyNumberFormat="1" applyFont="1" applyFill="1" applyBorder="1" applyAlignment="1">
      <alignment horizontal="center" vertical="center"/>
    </xf>
    <xf numFmtId="167" fontId="0" fillId="0" borderId="4" xfId="0" applyNumberFormat="1" applyFill="1" applyBorder="1" applyAlignment="1">
      <alignment horizontal="center" vertical="center"/>
    </xf>
    <xf numFmtId="167" fontId="3" fillId="16" borderId="3" xfId="0" applyNumberFormat="1" applyFont="1" applyFill="1" applyBorder="1" applyAlignment="1">
      <alignment horizontal="center" vertical="center"/>
    </xf>
    <xf numFmtId="167" fontId="3" fillId="16" borderId="4" xfId="0" applyNumberFormat="1" applyFont="1" applyFill="1" applyBorder="1" applyAlignment="1">
      <alignment horizontal="center" vertical="center"/>
    </xf>
    <xf numFmtId="167" fontId="3" fillId="16" borderId="5" xfId="0" applyNumberFormat="1" applyFont="1" applyFill="1" applyBorder="1" applyAlignment="1">
      <alignment horizontal="center" vertical="center"/>
    </xf>
    <xf numFmtId="0" fontId="0" fillId="12" borderId="3" xfId="0" applyFill="1" applyBorder="1" applyAlignment="1">
      <alignment horizontal="center" vertical="center"/>
    </xf>
    <xf numFmtId="0" fontId="0" fillId="12" borderId="4" xfId="0" applyFill="1" applyBorder="1" applyAlignment="1">
      <alignment horizontal="center" vertical="center"/>
    </xf>
    <xf numFmtId="0" fontId="0" fillId="12" borderId="5" xfId="0" applyFill="1" applyBorder="1" applyAlignment="1">
      <alignment horizontal="center" vertical="center"/>
    </xf>
    <xf numFmtId="168" fontId="0" fillId="12" borderId="3" xfId="0" applyNumberFormat="1" applyFill="1" applyBorder="1" applyAlignment="1">
      <alignment horizontal="center" vertical="center"/>
    </xf>
    <xf numFmtId="168" fontId="0" fillId="12" borderId="4" xfId="0" applyNumberFormat="1" applyFill="1" applyBorder="1" applyAlignment="1">
      <alignment horizontal="center" vertical="center"/>
    </xf>
    <xf numFmtId="168" fontId="0" fillId="12" borderId="5" xfId="0" applyNumberFormat="1" applyFill="1" applyBorder="1" applyAlignment="1">
      <alignment horizontal="center" vertical="center"/>
    </xf>
    <xf numFmtId="168" fontId="0" fillId="0" borderId="4" xfId="0" applyNumberFormat="1" applyBorder="1" applyAlignment="1">
      <alignment horizontal="center" vertical="center"/>
    </xf>
    <xf numFmtId="168" fontId="0" fillId="0" borderId="5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" fontId="3" fillId="13" borderId="3" xfId="0" applyNumberFormat="1" applyFont="1" applyFill="1" applyBorder="1" applyAlignment="1">
      <alignment horizontal="right" vertical="center"/>
    </xf>
    <xf numFmtId="16" fontId="3" fillId="13" borderId="4" xfId="0" applyNumberFormat="1" applyFont="1" applyFill="1" applyBorder="1" applyAlignment="1">
      <alignment horizontal="right" vertical="center"/>
    </xf>
    <xf numFmtId="16" fontId="3" fillId="13" borderId="5" xfId="0" applyNumberFormat="1" applyFont="1" applyFill="1" applyBorder="1" applyAlignment="1">
      <alignment horizontal="right" vertical="center"/>
    </xf>
    <xf numFmtId="168" fontId="0" fillId="5" borderId="3" xfId="0" applyNumberFormat="1" applyFill="1" applyBorder="1" applyAlignment="1">
      <alignment horizontal="center" vertical="center"/>
    </xf>
    <xf numFmtId="168" fontId="0" fillId="5" borderId="4" xfId="0" applyNumberFormat="1" applyFill="1" applyBorder="1" applyAlignment="1">
      <alignment horizontal="center" vertical="center"/>
    </xf>
    <xf numFmtId="168" fontId="0" fillId="5" borderId="5" xfId="0" applyNumberFormat="1" applyFill="1" applyBorder="1" applyAlignment="1">
      <alignment horizontal="center" vertical="center"/>
    </xf>
    <xf numFmtId="167" fontId="0" fillId="0" borderId="1" xfId="0" applyNumberFormat="1" applyBorder="1" applyAlignment="1">
      <alignment horizontal="center" vertical="center"/>
    </xf>
    <xf numFmtId="167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168" fontId="0" fillId="0" borderId="1" xfId="0" applyNumberFormat="1" applyBorder="1" applyAlignment="1">
      <alignment horizontal="center" vertical="center"/>
    </xf>
    <xf numFmtId="168" fontId="0" fillId="6" borderId="3" xfId="0" applyNumberFormat="1" applyFill="1" applyBorder="1" applyAlignment="1">
      <alignment horizontal="center" vertical="center"/>
    </xf>
    <xf numFmtId="168" fontId="0" fillId="6" borderId="4" xfId="0" applyNumberFormat="1" applyFill="1" applyBorder="1" applyAlignment="1">
      <alignment horizontal="center" vertical="center"/>
    </xf>
    <xf numFmtId="168" fontId="0" fillId="6" borderId="5" xfId="0" applyNumberFormat="1" applyFill="1" applyBorder="1" applyAlignment="1">
      <alignment horizontal="center" vertical="center"/>
    </xf>
    <xf numFmtId="16" fontId="3" fillId="23" borderId="3" xfId="0" applyNumberFormat="1" applyFont="1" applyFill="1" applyBorder="1" applyAlignment="1">
      <alignment horizontal="right" vertical="center"/>
    </xf>
    <xf numFmtId="16" fontId="3" fillId="23" borderId="4" xfId="0" applyNumberFormat="1" applyFont="1" applyFill="1" applyBorder="1" applyAlignment="1">
      <alignment horizontal="right" vertical="center"/>
    </xf>
    <xf numFmtId="16" fontId="3" fillId="23" borderId="5" xfId="0" applyNumberFormat="1" applyFont="1" applyFill="1" applyBorder="1" applyAlignment="1">
      <alignment horizontal="right" vertical="center"/>
    </xf>
    <xf numFmtId="0" fontId="0" fillId="6" borderId="3" xfId="0" applyFill="1" applyBorder="1" applyAlignment="1">
      <alignment horizontal="center" vertical="center" wrapText="1"/>
    </xf>
    <xf numFmtId="0" fontId="0" fillId="6" borderId="4" xfId="0" applyFill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 wrapText="1"/>
    </xf>
    <xf numFmtId="0" fontId="3" fillId="23" borderId="3" xfId="0" applyFont="1" applyFill="1" applyBorder="1" applyAlignment="1">
      <alignment horizontal="right"/>
    </xf>
    <xf numFmtId="0" fontId="3" fillId="23" borderId="5" xfId="0" applyFont="1" applyFill="1" applyBorder="1" applyAlignment="1">
      <alignment horizontal="right"/>
    </xf>
    <xf numFmtId="0" fontId="10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168" fontId="0" fillId="23" borderId="3" xfId="0" applyNumberFormat="1" applyFill="1" applyBorder="1" applyAlignment="1">
      <alignment horizontal="center" vertical="center"/>
    </xf>
    <xf numFmtId="168" fontId="0" fillId="23" borderId="5" xfId="0" applyNumberFormat="1" applyFill="1" applyBorder="1" applyAlignment="1">
      <alignment horizontal="center" vertical="center"/>
    </xf>
    <xf numFmtId="0" fontId="3" fillId="13" borderId="3" xfId="0" applyFont="1" applyFill="1" applyBorder="1" applyAlignment="1">
      <alignment horizontal="right" vertical="center"/>
    </xf>
    <xf numFmtId="0" fontId="3" fillId="13" borderId="5" xfId="0" applyFont="1" applyFill="1" applyBorder="1" applyAlignment="1">
      <alignment horizontal="right" vertical="center"/>
    </xf>
    <xf numFmtId="16" fontId="3" fillId="23" borderId="3" xfId="0" applyNumberFormat="1" applyFont="1" applyFill="1" applyBorder="1" applyAlignment="1">
      <alignment horizontal="right"/>
    </xf>
    <xf numFmtId="16" fontId="3" fillId="23" borderId="5" xfId="0" applyNumberFormat="1" applyFont="1" applyFill="1" applyBorder="1" applyAlignment="1">
      <alignment horizontal="right"/>
    </xf>
    <xf numFmtId="0" fontId="0" fillId="23" borderId="4" xfId="0" applyFill="1" applyBorder="1" applyAlignment="1">
      <alignment horizontal="right" vertical="center"/>
    </xf>
    <xf numFmtId="168" fontId="0" fillId="23" borderId="3" xfId="2" applyNumberFormat="1" applyFont="1" applyFill="1" applyBorder="1" applyAlignment="1">
      <alignment horizontal="center" vertical="center"/>
    </xf>
    <xf numFmtId="168" fontId="0" fillId="23" borderId="4" xfId="2" applyNumberFormat="1" applyFont="1" applyFill="1" applyBorder="1" applyAlignment="1">
      <alignment horizontal="center" vertical="center"/>
    </xf>
    <xf numFmtId="168" fontId="0" fillId="23" borderId="5" xfId="2" applyNumberFormat="1" applyFont="1" applyFill="1" applyBorder="1" applyAlignment="1">
      <alignment horizontal="center" vertical="center"/>
    </xf>
    <xf numFmtId="168" fontId="0" fillId="0" borderId="3" xfId="0" applyNumberFormat="1" applyBorder="1" applyAlignment="1">
      <alignment horizontal="center" vertical="center" wrapText="1"/>
    </xf>
    <xf numFmtId="168" fontId="0" fillId="0" borderId="4" xfId="0" applyNumberFormat="1" applyBorder="1" applyAlignment="1">
      <alignment horizontal="center" vertical="center" wrapText="1"/>
    </xf>
    <xf numFmtId="168" fontId="0" fillId="0" borderId="5" xfId="0" applyNumberFormat="1" applyBorder="1" applyAlignment="1">
      <alignment horizontal="center" vertical="center" wrapText="1"/>
    </xf>
  </cellXfs>
  <cellStyles count="3">
    <cellStyle name="Currency" xfId="2" builtinId="4"/>
    <cellStyle name="Currency [0]" xfId="1" builtinId="7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110"/>
  <sheetViews>
    <sheetView topLeftCell="G3" workbookViewId="0">
      <selection activeCell="M18" sqref="M18"/>
    </sheetView>
  </sheetViews>
  <sheetFormatPr defaultRowHeight="15"/>
  <cols>
    <col min="2" max="2" width="53.7109375" customWidth="1"/>
    <col min="3" max="3" width="21.85546875" customWidth="1"/>
    <col min="6" max="6" width="16.85546875" customWidth="1"/>
    <col min="7" max="7" width="16.5703125" customWidth="1"/>
    <col min="8" max="8" width="20.28515625" customWidth="1"/>
    <col min="9" max="9" width="17.85546875" customWidth="1"/>
    <col min="10" max="10" width="17.42578125" customWidth="1"/>
    <col min="11" max="11" width="7.42578125" customWidth="1"/>
    <col min="12" max="12" width="8.42578125" customWidth="1"/>
    <col min="13" max="13" width="19.85546875" customWidth="1"/>
    <col min="14" max="14" width="16.7109375" customWidth="1"/>
    <col min="15" max="15" width="25.7109375" customWidth="1"/>
    <col min="16" max="16" width="16.42578125" customWidth="1"/>
    <col min="17" max="17" width="12.5703125" bestFit="1" customWidth="1"/>
    <col min="18" max="18" width="26.85546875" customWidth="1"/>
    <col min="19" max="19" width="21.85546875" bestFit="1" customWidth="1"/>
  </cols>
  <sheetData>
    <row r="1" spans="1:17">
      <c r="A1" s="1" t="s">
        <v>0</v>
      </c>
      <c r="C1" s="2"/>
      <c r="D1" s="2"/>
      <c r="E1" s="2"/>
      <c r="F1" s="3"/>
      <c r="G1" s="3"/>
      <c r="H1" s="3"/>
      <c r="K1" s="4" t="s">
        <v>14</v>
      </c>
      <c r="M1" s="5"/>
      <c r="N1" s="3"/>
    </row>
    <row r="2" spans="1:17" ht="60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9" t="s">
        <v>7</v>
      </c>
      <c r="H2" s="8" t="s">
        <v>8</v>
      </c>
      <c r="I2" s="7" t="s">
        <v>9</v>
      </c>
      <c r="K2" s="10" t="s">
        <v>10</v>
      </c>
      <c r="L2" s="11" t="s">
        <v>11</v>
      </c>
      <c r="M2" s="6" t="s">
        <v>12</v>
      </c>
      <c r="N2" s="9" t="s">
        <v>13</v>
      </c>
      <c r="O2" s="7" t="s">
        <v>9</v>
      </c>
    </row>
    <row r="3" spans="1:17" s="14" customFormat="1">
      <c r="A3" s="17">
        <v>44198</v>
      </c>
      <c r="B3" s="17" t="s">
        <v>23</v>
      </c>
      <c r="C3" s="37" t="s">
        <v>25</v>
      </c>
      <c r="D3" s="38">
        <v>1</v>
      </c>
      <c r="E3" s="38" t="s">
        <v>26</v>
      </c>
      <c r="F3" s="35"/>
      <c r="G3" s="35"/>
      <c r="H3" s="35"/>
      <c r="I3" s="17"/>
      <c r="J3" s="18"/>
      <c r="K3" s="50">
        <v>1</v>
      </c>
      <c r="L3" s="55">
        <v>44158</v>
      </c>
      <c r="M3" s="52" t="s">
        <v>15</v>
      </c>
      <c r="N3" s="56">
        <v>4000000</v>
      </c>
      <c r="O3" s="245" t="s">
        <v>554</v>
      </c>
    </row>
    <row r="4" spans="1:17" s="14" customFormat="1">
      <c r="A4" s="17"/>
      <c r="B4" s="17" t="s">
        <v>24</v>
      </c>
      <c r="C4" s="37" t="s">
        <v>25</v>
      </c>
      <c r="D4" s="38">
        <v>1</v>
      </c>
      <c r="E4" s="38" t="s">
        <v>26</v>
      </c>
      <c r="F4" s="35"/>
      <c r="G4" s="35"/>
      <c r="H4" s="35"/>
      <c r="I4" s="17"/>
      <c r="J4" s="19"/>
      <c r="K4" s="50">
        <v>2</v>
      </c>
      <c r="L4" s="55">
        <v>44161</v>
      </c>
      <c r="M4" s="52" t="s">
        <v>15</v>
      </c>
      <c r="N4" s="56">
        <v>1800000</v>
      </c>
      <c r="O4" s="245" t="s">
        <v>554</v>
      </c>
    </row>
    <row r="5" spans="1:17" s="14" customFormat="1">
      <c r="A5" s="83">
        <v>44200</v>
      </c>
      <c r="B5" s="83" t="s">
        <v>27</v>
      </c>
      <c r="C5" s="78" t="s">
        <v>28</v>
      </c>
      <c r="D5" s="78">
        <v>1</v>
      </c>
      <c r="E5" s="78" t="s">
        <v>26</v>
      </c>
      <c r="F5" s="75">
        <v>2150000</v>
      </c>
      <c r="G5" s="75">
        <f>F5*D5</f>
        <v>2150000</v>
      </c>
      <c r="H5" s="75">
        <f>SUM(G5)</f>
        <v>2150000</v>
      </c>
      <c r="I5" s="231" t="s">
        <v>36</v>
      </c>
      <c r="J5" s="232" t="s">
        <v>459</v>
      </c>
      <c r="K5" s="176">
        <v>3</v>
      </c>
      <c r="L5" s="177">
        <v>44163</v>
      </c>
      <c r="M5" s="174" t="s">
        <v>16</v>
      </c>
      <c r="N5" s="178">
        <v>11700000</v>
      </c>
      <c r="O5" s="253" t="s">
        <v>555</v>
      </c>
      <c r="P5" s="22"/>
    </row>
    <row r="6" spans="1:17" s="14" customFormat="1">
      <c r="A6" s="181">
        <v>44200</v>
      </c>
      <c r="B6" s="182" t="s">
        <v>29</v>
      </c>
      <c r="C6" s="183" t="s">
        <v>17</v>
      </c>
      <c r="D6" s="183">
        <v>5</v>
      </c>
      <c r="E6" s="183" t="s">
        <v>26</v>
      </c>
      <c r="F6" s="184">
        <v>123000</v>
      </c>
      <c r="G6" s="185">
        <f t="shared" ref="G6:G57" si="0">F6*D6</f>
        <v>615000</v>
      </c>
      <c r="H6" s="184">
        <f>SUM(G6)</f>
        <v>615000</v>
      </c>
      <c r="I6" s="195" t="s">
        <v>35</v>
      </c>
      <c r="J6" s="196" t="s">
        <v>672</v>
      </c>
      <c r="K6" s="50">
        <v>4</v>
      </c>
      <c r="L6" s="51">
        <v>44166</v>
      </c>
      <c r="M6" s="52" t="s">
        <v>17</v>
      </c>
      <c r="N6" s="53">
        <v>1040000</v>
      </c>
      <c r="O6" s="245" t="s">
        <v>556</v>
      </c>
    </row>
    <row r="7" spans="1:17" s="14" customFormat="1">
      <c r="A7" s="43">
        <v>44200</v>
      </c>
      <c r="B7" s="44" t="s">
        <v>30</v>
      </c>
      <c r="C7" s="45" t="s">
        <v>33</v>
      </c>
      <c r="D7" s="45">
        <v>5</v>
      </c>
      <c r="E7" s="45" t="s">
        <v>26</v>
      </c>
      <c r="F7" s="46">
        <v>135000</v>
      </c>
      <c r="G7" s="47">
        <f t="shared" si="0"/>
        <v>675000</v>
      </c>
      <c r="H7" s="681">
        <f>SUM(G7:G9)</f>
        <v>2675000</v>
      </c>
      <c r="I7" s="684" t="s">
        <v>34</v>
      </c>
      <c r="K7" s="50">
        <v>5</v>
      </c>
      <c r="L7" s="51">
        <v>44166</v>
      </c>
      <c r="M7" s="52" t="s">
        <v>17</v>
      </c>
      <c r="N7" s="53">
        <v>1235000</v>
      </c>
      <c r="O7" s="245" t="s">
        <v>556</v>
      </c>
      <c r="Q7" s="36"/>
    </row>
    <row r="8" spans="1:17" s="14" customFormat="1">
      <c r="A8" s="44"/>
      <c r="B8" s="44" t="s">
        <v>31</v>
      </c>
      <c r="C8" s="45" t="s">
        <v>33</v>
      </c>
      <c r="D8" s="45">
        <v>5</v>
      </c>
      <c r="E8" s="45" t="s">
        <v>26</v>
      </c>
      <c r="F8" s="46">
        <v>100000</v>
      </c>
      <c r="G8" s="47">
        <f t="shared" si="0"/>
        <v>500000</v>
      </c>
      <c r="H8" s="682"/>
      <c r="I8" s="685"/>
      <c r="K8" s="50">
        <v>6</v>
      </c>
      <c r="L8" s="51">
        <v>44166</v>
      </c>
      <c r="M8" s="52" t="s">
        <v>17</v>
      </c>
      <c r="N8" s="53">
        <v>1570000</v>
      </c>
      <c r="O8" s="245" t="s">
        <v>556</v>
      </c>
      <c r="P8" s="34"/>
      <c r="Q8" s="36"/>
    </row>
    <row r="9" spans="1:17" s="14" customFormat="1">
      <c r="A9" s="44"/>
      <c r="B9" s="44" t="s">
        <v>32</v>
      </c>
      <c r="C9" s="45" t="s">
        <v>33</v>
      </c>
      <c r="D9" s="45">
        <v>5</v>
      </c>
      <c r="E9" s="45" t="s">
        <v>26</v>
      </c>
      <c r="F9" s="46">
        <v>300000</v>
      </c>
      <c r="G9" s="47">
        <f t="shared" si="0"/>
        <v>1500000</v>
      </c>
      <c r="H9" s="683"/>
      <c r="I9" s="686"/>
      <c r="K9" s="26">
        <v>7</v>
      </c>
      <c r="L9" s="27">
        <v>44167</v>
      </c>
      <c r="M9" s="28" t="s">
        <v>18</v>
      </c>
      <c r="N9" s="29">
        <v>1800000</v>
      </c>
      <c r="O9" s="254" t="s">
        <v>557</v>
      </c>
      <c r="P9" s="33"/>
    </row>
    <row r="10" spans="1:17" s="14" customFormat="1">
      <c r="A10" s="23">
        <v>44204</v>
      </c>
      <c r="B10" s="21" t="s">
        <v>37</v>
      </c>
      <c r="C10" s="41" t="s">
        <v>38</v>
      </c>
      <c r="D10" s="41">
        <v>1</v>
      </c>
      <c r="E10" s="41" t="s">
        <v>26</v>
      </c>
      <c r="F10" s="24"/>
      <c r="G10" s="35">
        <f t="shared" si="0"/>
        <v>0</v>
      </c>
      <c r="H10" s="24"/>
      <c r="I10" s="25" t="s">
        <v>39</v>
      </c>
      <c r="K10" s="50">
        <v>8</v>
      </c>
      <c r="L10" s="51">
        <v>44172</v>
      </c>
      <c r="M10" s="52" t="s">
        <v>17</v>
      </c>
      <c r="N10" s="53">
        <v>750000</v>
      </c>
      <c r="O10" s="245" t="s">
        <v>556</v>
      </c>
      <c r="P10" s="34"/>
    </row>
    <row r="11" spans="1:17" s="14" customFormat="1">
      <c r="A11" s="23">
        <v>44204</v>
      </c>
      <c r="B11" s="21" t="s">
        <v>40</v>
      </c>
      <c r="C11" s="41" t="s">
        <v>25</v>
      </c>
      <c r="D11" s="41">
        <v>1</v>
      </c>
      <c r="E11" s="41" t="s">
        <v>26</v>
      </c>
      <c r="F11" s="24"/>
      <c r="G11" s="35">
        <f t="shared" si="0"/>
        <v>0</v>
      </c>
      <c r="H11" s="24"/>
      <c r="I11" s="21"/>
      <c r="K11" s="50">
        <v>9</v>
      </c>
      <c r="L11" s="51">
        <v>44172</v>
      </c>
      <c r="M11" s="52" t="s">
        <v>17</v>
      </c>
      <c r="N11" s="53">
        <v>2250000</v>
      </c>
      <c r="O11" s="245" t="s">
        <v>556</v>
      </c>
      <c r="P11" s="34"/>
    </row>
    <row r="12" spans="1:17" s="14" customFormat="1">
      <c r="A12" s="21"/>
      <c r="B12" s="21" t="s">
        <v>41</v>
      </c>
      <c r="C12" s="41" t="s">
        <v>25</v>
      </c>
      <c r="D12" s="41">
        <v>1</v>
      </c>
      <c r="E12" s="41" t="s">
        <v>26</v>
      </c>
      <c r="F12" s="24"/>
      <c r="G12" s="35">
        <f t="shared" si="0"/>
        <v>0</v>
      </c>
      <c r="H12" s="24"/>
      <c r="I12" s="21"/>
      <c r="K12" s="26">
        <v>10</v>
      </c>
      <c r="L12" s="27">
        <v>44172</v>
      </c>
      <c r="M12" s="28" t="s">
        <v>18</v>
      </c>
      <c r="N12" s="29">
        <v>3050000</v>
      </c>
      <c r="O12" s="254" t="s">
        <v>557</v>
      </c>
      <c r="P12" s="33"/>
    </row>
    <row r="13" spans="1:17" s="14" customFormat="1">
      <c r="A13" s="181">
        <v>44205</v>
      </c>
      <c r="B13" s="182" t="s">
        <v>42</v>
      </c>
      <c r="C13" s="183" t="s">
        <v>49</v>
      </c>
      <c r="D13" s="183">
        <v>2</v>
      </c>
      <c r="E13" s="183" t="s">
        <v>26</v>
      </c>
      <c r="F13" s="184">
        <v>1800000</v>
      </c>
      <c r="G13" s="185">
        <f t="shared" si="0"/>
        <v>3600000</v>
      </c>
      <c r="H13" s="687">
        <f>SUM(G13:G19)</f>
        <v>22900000</v>
      </c>
      <c r="I13" s="693" t="s">
        <v>36</v>
      </c>
      <c r="J13" s="666">
        <v>44292</v>
      </c>
      <c r="K13" s="50">
        <v>11</v>
      </c>
      <c r="L13" s="51">
        <v>44173</v>
      </c>
      <c r="M13" s="52" t="s">
        <v>15</v>
      </c>
      <c r="N13" s="53">
        <v>12515000</v>
      </c>
      <c r="O13" s="245" t="s">
        <v>554</v>
      </c>
      <c r="P13" s="34"/>
    </row>
    <row r="14" spans="1:17" s="14" customFormat="1">
      <c r="A14" s="182"/>
      <c r="B14" s="182" t="s">
        <v>43</v>
      </c>
      <c r="C14" s="183" t="s">
        <v>49</v>
      </c>
      <c r="D14" s="183">
        <v>15</v>
      </c>
      <c r="E14" s="183" t="s">
        <v>26</v>
      </c>
      <c r="F14" s="184">
        <v>200000</v>
      </c>
      <c r="G14" s="185">
        <f t="shared" si="0"/>
        <v>3000000</v>
      </c>
      <c r="H14" s="688"/>
      <c r="I14" s="663"/>
      <c r="J14" s="667"/>
      <c r="K14" s="50">
        <v>13</v>
      </c>
      <c r="L14" s="51">
        <v>44176</v>
      </c>
      <c r="M14" s="52" t="s">
        <v>15</v>
      </c>
      <c r="N14" s="53">
        <v>15000000</v>
      </c>
      <c r="O14" s="245" t="s">
        <v>554</v>
      </c>
    </row>
    <row r="15" spans="1:17" s="14" customFormat="1">
      <c r="A15" s="182"/>
      <c r="B15" s="182" t="s">
        <v>44</v>
      </c>
      <c r="C15" s="183" t="s">
        <v>49</v>
      </c>
      <c r="D15" s="183">
        <v>10</v>
      </c>
      <c r="E15" s="183" t="s">
        <v>26</v>
      </c>
      <c r="F15" s="184">
        <v>400000</v>
      </c>
      <c r="G15" s="185">
        <f t="shared" si="0"/>
        <v>4000000</v>
      </c>
      <c r="H15" s="688"/>
      <c r="I15" s="663"/>
      <c r="J15" s="667"/>
      <c r="K15" s="120">
        <v>14</v>
      </c>
      <c r="L15" s="121">
        <v>44177</v>
      </c>
      <c r="M15" s="122" t="s">
        <v>20</v>
      </c>
      <c r="N15" s="117">
        <v>4760000</v>
      </c>
      <c r="O15" s="255" t="s">
        <v>558</v>
      </c>
      <c r="P15" s="36"/>
    </row>
    <row r="16" spans="1:17" s="14" customFormat="1">
      <c r="A16" s="182"/>
      <c r="B16" s="182" t="s">
        <v>45</v>
      </c>
      <c r="C16" s="183" t="s">
        <v>49</v>
      </c>
      <c r="D16" s="183">
        <v>6</v>
      </c>
      <c r="E16" s="183" t="s">
        <v>26</v>
      </c>
      <c r="F16" s="184">
        <v>400000</v>
      </c>
      <c r="G16" s="185">
        <f t="shared" si="0"/>
        <v>2400000</v>
      </c>
      <c r="H16" s="688"/>
      <c r="I16" s="663"/>
      <c r="J16" s="667"/>
      <c r="K16" s="120">
        <v>15</v>
      </c>
      <c r="L16" s="121">
        <v>44181</v>
      </c>
      <c r="M16" s="122" t="s">
        <v>20</v>
      </c>
      <c r="N16" s="117">
        <v>2375000</v>
      </c>
      <c r="O16" s="255" t="s">
        <v>558</v>
      </c>
      <c r="P16" s="36"/>
    </row>
    <row r="17" spans="1:16" s="14" customFormat="1">
      <c r="A17" s="182"/>
      <c r="B17" s="182" t="s">
        <v>46</v>
      </c>
      <c r="C17" s="183" t="s">
        <v>49</v>
      </c>
      <c r="D17" s="183">
        <v>5</v>
      </c>
      <c r="E17" s="183" t="s">
        <v>26</v>
      </c>
      <c r="F17" s="184">
        <v>400000</v>
      </c>
      <c r="G17" s="185">
        <f t="shared" si="0"/>
        <v>2000000</v>
      </c>
      <c r="H17" s="688"/>
      <c r="I17" s="663"/>
      <c r="J17" s="667"/>
      <c r="K17" s="120">
        <v>16</v>
      </c>
      <c r="L17" s="121">
        <v>44181</v>
      </c>
      <c r="M17" s="122" t="s">
        <v>20</v>
      </c>
      <c r="N17" s="117">
        <v>6300000</v>
      </c>
      <c r="O17" s="255" t="s">
        <v>558</v>
      </c>
    </row>
    <row r="18" spans="1:16" s="14" customFormat="1">
      <c r="A18" s="182"/>
      <c r="B18" s="182" t="s">
        <v>47</v>
      </c>
      <c r="C18" s="183" t="s">
        <v>49</v>
      </c>
      <c r="D18" s="183">
        <v>4</v>
      </c>
      <c r="E18" s="183" t="s">
        <v>26</v>
      </c>
      <c r="F18" s="184">
        <v>400000</v>
      </c>
      <c r="G18" s="185">
        <f t="shared" si="0"/>
        <v>1600000</v>
      </c>
      <c r="H18" s="688"/>
      <c r="I18" s="663"/>
      <c r="J18" s="667"/>
      <c r="K18" s="98">
        <v>17</v>
      </c>
      <c r="L18" s="92">
        <v>44182</v>
      </c>
      <c r="M18" s="97" t="s">
        <v>21</v>
      </c>
      <c r="N18" s="95">
        <v>4400000</v>
      </c>
      <c r="O18" s="256" t="s">
        <v>558</v>
      </c>
    </row>
    <row r="19" spans="1:16" s="14" customFormat="1">
      <c r="A19" s="182"/>
      <c r="B19" s="182" t="s">
        <v>48</v>
      </c>
      <c r="C19" s="183" t="s">
        <v>49</v>
      </c>
      <c r="D19" s="183">
        <v>12</v>
      </c>
      <c r="E19" s="183" t="s">
        <v>26</v>
      </c>
      <c r="F19" s="184">
        <v>525000</v>
      </c>
      <c r="G19" s="185">
        <f t="shared" si="0"/>
        <v>6300000</v>
      </c>
      <c r="H19" s="689"/>
      <c r="I19" s="694"/>
      <c r="J19" s="667"/>
      <c r="K19" s="112">
        <v>18</v>
      </c>
      <c r="L19" s="113">
        <v>44186</v>
      </c>
      <c r="M19" s="110" t="s">
        <v>17</v>
      </c>
      <c r="N19" s="111">
        <v>8920000</v>
      </c>
      <c r="O19" s="264" t="s">
        <v>559</v>
      </c>
    </row>
    <row r="20" spans="1:16" s="14" customFormat="1">
      <c r="A20" s="181">
        <v>44205</v>
      </c>
      <c r="B20" s="182" t="s">
        <v>50</v>
      </c>
      <c r="C20" s="183" t="s">
        <v>17</v>
      </c>
      <c r="D20" s="183">
        <v>2</v>
      </c>
      <c r="E20" s="183" t="s">
        <v>26</v>
      </c>
      <c r="F20" s="184">
        <v>425000</v>
      </c>
      <c r="G20" s="185">
        <f t="shared" si="0"/>
        <v>850000</v>
      </c>
      <c r="H20" s="687">
        <f>SUM(G20:G22)</f>
        <v>4400000</v>
      </c>
      <c r="I20" s="693" t="s">
        <v>36</v>
      </c>
      <c r="J20" s="662">
        <v>44292</v>
      </c>
      <c r="K20" s="98">
        <v>19</v>
      </c>
      <c r="L20" s="92">
        <v>44191</v>
      </c>
      <c r="M20" s="97" t="s">
        <v>18</v>
      </c>
      <c r="N20" s="95">
        <v>9630000</v>
      </c>
      <c r="O20" s="256" t="s">
        <v>558</v>
      </c>
      <c r="P20" s="36"/>
    </row>
    <row r="21" spans="1:16" s="14" customFormat="1">
      <c r="A21" s="182"/>
      <c r="B21" s="182" t="s">
        <v>51</v>
      </c>
      <c r="C21" s="183" t="s">
        <v>17</v>
      </c>
      <c r="D21" s="183">
        <v>5</v>
      </c>
      <c r="E21" s="183" t="s">
        <v>26</v>
      </c>
      <c r="F21" s="184">
        <v>425000</v>
      </c>
      <c r="G21" s="185">
        <f t="shared" si="0"/>
        <v>2125000</v>
      </c>
      <c r="H21" s="688"/>
      <c r="I21" s="663"/>
      <c r="J21" s="663"/>
      <c r="K21" s="115">
        <v>20</v>
      </c>
      <c r="L21" s="121">
        <v>44195</v>
      </c>
      <c r="M21" s="122" t="s">
        <v>20</v>
      </c>
      <c r="N21" s="117">
        <v>4000000</v>
      </c>
      <c r="O21" s="255" t="s">
        <v>558</v>
      </c>
    </row>
    <row r="22" spans="1:16" s="14" customFormat="1">
      <c r="A22" s="182"/>
      <c r="B22" s="182" t="s">
        <v>52</v>
      </c>
      <c r="C22" s="183" t="s">
        <v>17</v>
      </c>
      <c r="D22" s="183">
        <v>5</v>
      </c>
      <c r="E22" s="183" t="s">
        <v>26</v>
      </c>
      <c r="F22" s="184">
        <v>285000</v>
      </c>
      <c r="G22" s="185">
        <f t="shared" si="0"/>
        <v>1425000</v>
      </c>
      <c r="H22" s="689"/>
      <c r="I22" s="694"/>
      <c r="J22" s="663"/>
      <c r="K22" s="199">
        <v>21</v>
      </c>
      <c r="L22" s="181">
        <v>44200</v>
      </c>
      <c r="M22" s="195" t="s">
        <v>17</v>
      </c>
      <c r="N22" s="184">
        <v>615000</v>
      </c>
      <c r="O22" s="181" t="s">
        <v>411</v>
      </c>
    </row>
    <row r="23" spans="1:16" s="14" customFormat="1">
      <c r="A23" s="92">
        <v>44205</v>
      </c>
      <c r="B23" s="93" t="s">
        <v>53</v>
      </c>
      <c r="C23" s="94" t="s">
        <v>18</v>
      </c>
      <c r="D23" s="94">
        <v>3</v>
      </c>
      <c r="E23" s="94" t="s">
        <v>26</v>
      </c>
      <c r="F23" s="95">
        <v>175000</v>
      </c>
      <c r="G23" s="96">
        <f t="shared" si="0"/>
        <v>525000</v>
      </c>
      <c r="H23" s="690">
        <f>SUM(G23:G28)</f>
        <v>4025000</v>
      </c>
      <c r="I23" s="695" t="s">
        <v>64</v>
      </c>
      <c r="J23" s="668">
        <v>44249</v>
      </c>
      <c r="K23" s="90">
        <v>22</v>
      </c>
      <c r="L23" s="84">
        <v>44214</v>
      </c>
      <c r="M23" s="91" t="s">
        <v>63</v>
      </c>
      <c r="N23" s="68">
        <v>1110000</v>
      </c>
      <c r="O23" s="85" t="s">
        <v>209</v>
      </c>
    </row>
    <row r="24" spans="1:16" s="14" customFormat="1">
      <c r="A24" s="93"/>
      <c r="B24" s="93" t="s">
        <v>54</v>
      </c>
      <c r="C24" s="94" t="s">
        <v>18</v>
      </c>
      <c r="D24" s="94">
        <v>3</v>
      </c>
      <c r="E24" s="94" t="s">
        <v>26</v>
      </c>
      <c r="F24" s="95">
        <v>175000</v>
      </c>
      <c r="G24" s="96">
        <f t="shared" si="0"/>
        <v>525000</v>
      </c>
      <c r="H24" s="691"/>
      <c r="I24" s="696"/>
      <c r="J24" s="669"/>
      <c r="K24" s="85">
        <v>23</v>
      </c>
      <c r="L24" s="84">
        <v>44216</v>
      </c>
      <c r="M24" s="91" t="s">
        <v>126</v>
      </c>
      <c r="N24" s="68">
        <v>3660000</v>
      </c>
      <c r="O24" s="257" t="s">
        <v>558</v>
      </c>
    </row>
    <row r="25" spans="1:16" s="14" customFormat="1">
      <c r="A25" s="93"/>
      <c r="B25" s="93" t="s">
        <v>55</v>
      </c>
      <c r="C25" s="94" t="s">
        <v>18</v>
      </c>
      <c r="D25" s="94">
        <v>5</v>
      </c>
      <c r="E25" s="94" t="s">
        <v>26</v>
      </c>
      <c r="F25" s="95">
        <v>135000</v>
      </c>
      <c r="G25" s="96">
        <f t="shared" si="0"/>
        <v>675000</v>
      </c>
      <c r="H25" s="691"/>
      <c r="I25" s="696"/>
      <c r="J25" s="669"/>
      <c r="K25" s="98">
        <v>24</v>
      </c>
      <c r="L25" s="92">
        <v>44231</v>
      </c>
      <c r="M25" s="97" t="s">
        <v>18</v>
      </c>
      <c r="N25" s="95">
        <v>10800000</v>
      </c>
      <c r="O25" s="256" t="s">
        <v>558</v>
      </c>
    </row>
    <row r="26" spans="1:16" s="14" customFormat="1">
      <c r="A26" s="93"/>
      <c r="B26" s="93" t="s">
        <v>56</v>
      </c>
      <c r="C26" s="94" t="s">
        <v>18</v>
      </c>
      <c r="D26" s="94">
        <v>5</v>
      </c>
      <c r="E26" s="94" t="s">
        <v>26</v>
      </c>
      <c r="F26" s="95">
        <v>150000</v>
      </c>
      <c r="G26" s="96">
        <f t="shared" si="0"/>
        <v>750000</v>
      </c>
      <c r="H26" s="691"/>
      <c r="I26" s="696"/>
      <c r="J26" s="669"/>
      <c r="K26" s="90">
        <v>25</v>
      </c>
      <c r="L26" s="265">
        <v>44249</v>
      </c>
      <c r="M26" s="266" t="s">
        <v>161</v>
      </c>
      <c r="N26" s="267">
        <v>7350000</v>
      </c>
      <c r="O26" s="268" t="s">
        <v>552</v>
      </c>
    </row>
    <row r="27" spans="1:16" s="14" customFormat="1">
      <c r="A27" s="93"/>
      <c r="B27" s="93" t="s">
        <v>57</v>
      </c>
      <c r="C27" s="94" t="s">
        <v>18</v>
      </c>
      <c r="D27" s="94">
        <v>5</v>
      </c>
      <c r="E27" s="94" t="s">
        <v>26</v>
      </c>
      <c r="F27" s="95">
        <v>135000</v>
      </c>
      <c r="G27" s="96">
        <f t="shared" si="0"/>
        <v>675000</v>
      </c>
      <c r="H27" s="691"/>
      <c r="I27" s="696"/>
      <c r="J27" s="669"/>
      <c r="K27" s="85">
        <v>26</v>
      </c>
      <c r="L27" s="280">
        <v>44250</v>
      </c>
      <c r="M27" s="281" t="s">
        <v>28</v>
      </c>
      <c r="N27" s="282">
        <v>2150000</v>
      </c>
      <c r="O27" s="283" t="s">
        <v>552</v>
      </c>
    </row>
    <row r="28" spans="1:16" s="14" customFormat="1">
      <c r="A28" s="93"/>
      <c r="B28" s="93" t="s">
        <v>58</v>
      </c>
      <c r="C28" s="94" t="s">
        <v>18</v>
      </c>
      <c r="D28" s="94">
        <v>5</v>
      </c>
      <c r="E28" s="94" t="s">
        <v>26</v>
      </c>
      <c r="F28" s="95">
        <v>175000</v>
      </c>
      <c r="G28" s="96">
        <f t="shared" si="0"/>
        <v>875000</v>
      </c>
      <c r="H28" s="692"/>
      <c r="I28" s="697"/>
      <c r="J28" s="669"/>
      <c r="K28" s="98">
        <v>27</v>
      </c>
      <c r="L28" s="248">
        <v>44263</v>
      </c>
      <c r="M28" s="249" t="s">
        <v>285</v>
      </c>
      <c r="N28" s="250">
        <v>4374000</v>
      </c>
      <c r="O28" s="247" t="s">
        <v>496</v>
      </c>
    </row>
    <row r="29" spans="1:16" s="14" customFormat="1">
      <c r="A29" s="23">
        <v>44205</v>
      </c>
      <c r="B29" s="21" t="s">
        <v>59</v>
      </c>
      <c r="C29" s="41" t="s">
        <v>60</v>
      </c>
      <c r="D29" s="41">
        <v>1</v>
      </c>
      <c r="E29" s="41" t="s">
        <v>61</v>
      </c>
      <c r="F29" s="24"/>
      <c r="G29" s="35">
        <f t="shared" si="0"/>
        <v>0</v>
      </c>
      <c r="H29" s="24"/>
      <c r="I29" s="21"/>
      <c r="K29" s="90">
        <v>28</v>
      </c>
      <c r="L29" s="51">
        <v>44322</v>
      </c>
      <c r="M29" s="52" t="s">
        <v>18</v>
      </c>
      <c r="N29" s="53">
        <v>3750000</v>
      </c>
      <c r="O29" s="73" t="s">
        <v>553</v>
      </c>
    </row>
    <row r="30" spans="1:16" s="14" customFormat="1">
      <c r="A30" s="51">
        <v>44207</v>
      </c>
      <c r="B30" s="73" t="s">
        <v>62</v>
      </c>
      <c r="C30" s="74" t="s">
        <v>63</v>
      </c>
      <c r="D30" s="74">
        <v>4</v>
      </c>
      <c r="E30" s="74" t="s">
        <v>26</v>
      </c>
      <c r="F30" s="53">
        <v>1250000</v>
      </c>
      <c r="G30" s="75">
        <f t="shared" si="0"/>
        <v>5000000</v>
      </c>
      <c r="H30" s="53">
        <f>G30</f>
        <v>5000000</v>
      </c>
      <c r="I30" s="76" t="s">
        <v>67</v>
      </c>
      <c r="J30" s="77">
        <v>44242</v>
      </c>
      <c r="K30" s="288">
        <v>29</v>
      </c>
      <c r="L30" s="294">
        <v>44343</v>
      </c>
      <c r="M30" s="289" t="s">
        <v>18</v>
      </c>
      <c r="N30" s="263">
        <v>3750000</v>
      </c>
      <c r="O30" s="288" t="s">
        <v>615</v>
      </c>
    </row>
    <row r="31" spans="1:16" s="14" customFormat="1">
      <c r="A31" s="114">
        <v>44209</v>
      </c>
      <c r="B31" s="115" t="s">
        <v>65</v>
      </c>
      <c r="C31" s="116" t="s">
        <v>66</v>
      </c>
      <c r="D31" s="116">
        <v>3</v>
      </c>
      <c r="E31" s="116" t="s">
        <v>26</v>
      </c>
      <c r="F31" s="117">
        <v>2000000</v>
      </c>
      <c r="G31" s="118">
        <f t="shared" si="0"/>
        <v>6000000</v>
      </c>
      <c r="H31" s="117">
        <f>G31</f>
        <v>6000000</v>
      </c>
      <c r="I31" s="119" t="s">
        <v>36</v>
      </c>
      <c r="J31" s="114">
        <v>44256</v>
      </c>
      <c r="K31" s="143"/>
      <c r="L31" s="23"/>
      <c r="M31" s="25"/>
      <c r="N31" s="101"/>
      <c r="O31" s="21"/>
    </row>
    <row r="32" spans="1:16" s="14" customFormat="1">
      <c r="A32" s="23">
        <v>44211</v>
      </c>
      <c r="B32" s="21" t="s">
        <v>68</v>
      </c>
      <c r="C32" s="41" t="s">
        <v>25</v>
      </c>
      <c r="D32" s="41">
        <v>2</v>
      </c>
      <c r="E32" s="41" t="s">
        <v>26</v>
      </c>
      <c r="F32" s="24"/>
      <c r="G32" s="35">
        <f t="shared" si="0"/>
        <v>0</v>
      </c>
      <c r="H32" s="24"/>
      <c r="I32" s="21"/>
      <c r="L32" s="144"/>
      <c r="M32" s="145"/>
      <c r="N32" s="146"/>
      <c r="O32" s="147"/>
    </row>
    <row r="33" spans="1:14" s="14" customFormat="1">
      <c r="A33" s="21"/>
      <c r="B33" s="21" t="s">
        <v>70</v>
      </c>
      <c r="C33" s="41" t="s">
        <v>25</v>
      </c>
      <c r="D33" s="41">
        <v>1</v>
      </c>
      <c r="E33" s="41" t="s">
        <v>26</v>
      </c>
      <c r="F33" s="24"/>
      <c r="G33" s="35">
        <f t="shared" si="0"/>
        <v>0</v>
      </c>
      <c r="H33" s="24"/>
      <c r="I33" s="21"/>
      <c r="N33" s="22">
        <f>SUM(N3:N32)</f>
        <v>134654000</v>
      </c>
    </row>
    <row r="34" spans="1:14" s="14" customFormat="1">
      <c r="A34" s="21"/>
      <c r="B34" s="21" t="s">
        <v>69</v>
      </c>
      <c r="C34" s="41" t="s">
        <v>25</v>
      </c>
      <c r="D34" s="41">
        <v>1</v>
      </c>
      <c r="E34" s="41" t="s">
        <v>26</v>
      </c>
      <c r="F34" s="24"/>
      <c r="G34" s="35">
        <f t="shared" si="0"/>
        <v>0</v>
      </c>
      <c r="H34" s="24"/>
      <c r="I34" s="21"/>
    </row>
    <row r="35" spans="1:14" s="14" customFormat="1">
      <c r="A35" s="21"/>
      <c r="B35" s="21" t="s">
        <v>71</v>
      </c>
      <c r="C35" s="41" t="s">
        <v>25</v>
      </c>
      <c r="D35" s="41">
        <v>1</v>
      </c>
      <c r="E35" s="41" t="s">
        <v>26</v>
      </c>
      <c r="F35" s="24"/>
      <c r="G35" s="35">
        <f t="shared" si="0"/>
        <v>0</v>
      </c>
      <c r="H35" s="24"/>
      <c r="I35" s="21"/>
      <c r="L35" s="36"/>
    </row>
    <row r="36" spans="1:14" s="14" customFormat="1">
      <c r="A36" s="21"/>
      <c r="B36" s="21" t="s">
        <v>72</v>
      </c>
      <c r="C36" s="41" t="s">
        <v>25</v>
      </c>
      <c r="D36" s="41">
        <v>2</v>
      </c>
      <c r="E36" s="41" t="s">
        <v>26</v>
      </c>
      <c r="F36" s="24"/>
      <c r="G36" s="35">
        <f t="shared" si="0"/>
        <v>0</v>
      </c>
      <c r="H36" s="24"/>
      <c r="I36" s="21"/>
    </row>
    <row r="37" spans="1:14" s="14" customFormat="1">
      <c r="A37" s="21"/>
      <c r="B37" s="21" t="s">
        <v>73</v>
      </c>
      <c r="C37" s="41" t="s">
        <v>25</v>
      </c>
      <c r="D37" s="41">
        <v>2</v>
      </c>
      <c r="E37" s="41" t="s">
        <v>26</v>
      </c>
      <c r="F37" s="24"/>
      <c r="G37" s="35">
        <f t="shared" si="0"/>
        <v>0</v>
      </c>
      <c r="H37" s="24"/>
      <c r="I37" s="21"/>
    </row>
    <row r="38" spans="1:14" s="14" customFormat="1">
      <c r="A38" s="21"/>
      <c r="B38" s="21" t="s">
        <v>74</v>
      </c>
      <c r="C38" s="41" t="s">
        <v>25</v>
      </c>
      <c r="D38" s="41">
        <v>2</v>
      </c>
      <c r="E38" s="41" t="s">
        <v>26</v>
      </c>
      <c r="F38" s="24"/>
      <c r="G38" s="35">
        <f t="shared" si="0"/>
        <v>0</v>
      </c>
      <c r="H38" s="24"/>
      <c r="I38" s="21"/>
    </row>
    <row r="39" spans="1:14" s="14" customFormat="1">
      <c r="A39" s="21"/>
      <c r="B39" s="21" t="s">
        <v>75</v>
      </c>
      <c r="C39" s="41" t="s">
        <v>25</v>
      </c>
      <c r="D39" s="41">
        <v>1</v>
      </c>
      <c r="E39" s="41" t="s">
        <v>26</v>
      </c>
      <c r="F39" s="24"/>
      <c r="G39" s="35">
        <f t="shared" si="0"/>
        <v>0</v>
      </c>
      <c r="H39" s="24"/>
      <c r="I39" s="21"/>
    </row>
    <row r="40" spans="1:14" s="14" customFormat="1">
      <c r="A40" s="21"/>
      <c r="B40" s="21" t="s">
        <v>76</v>
      </c>
      <c r="C40" s="41" t="s">
        <v>25</v>
      </c>
      <c r="D40" s="41">
        <v>1</v>
      </c>
      <c r="E40" s="41" t="s">
        <v>26</v>
      </c>
      <c r="F40" s="24"/>
      <c r="G40" s="35">
        <f t="shared" si="0"/>
        <v>0</v>
      </c>
      <c r="H40" s="24"/>
      <c r="I40" s="21"/>
    </row>
    <row r="41" spans="1:14" s="14" customFormat="1">
      <c r="A41" s="163">
        <v>44212</v>
      </c>
      <c r="B41" s="159" t="s">
        <v>77</v>
      </c>
      <c r="C41" s="160" t="s">
        <v>33</v>
      </c>
      <c r="D41" s="160">
        <v>50</v>
      </c>
      <c r="E41" s="160" t="s">
        <v>26</v>
      </c>
      <c r="F41" s="161">
        <v>21000</v>
      </c>
      <c r="G41" s="162">
        <f t="shared" si="0"/>
        <v>1050000</v>
      </c>
      <c r="H41" s="672">
        <f>SUM(G41:G46)</f>
        <v>4410000</v>
      </c>
      <c r="I41" s="161">
        <f>SUM(H41:H52)</f>
        <v>10323000</v>
      </c>
      <c r="J41" s="167"/>
    </row>
    <row r="42" spans="1:14" s="14" customFormat="1">
      <c r="A42" s="159"/>
      <c r="B42" s="159" t="s">
        <v>78</v>
      </c>
      <c r="C42" s="160" t="s">
        <v>33</v>
      </c>
      <c r="D42" s="160">
        <v>40</v>
      </c>
      <c r="E42" s="160" t="s">
        <v>26</v>
      </c>
      <c r="F42" s="161">
        <v>21000</v>
      </c>
      <c r="G42" s="162">
        <f t="shared" si="0"/>
        <v>840000</v>
      </c>
      <c r="H42" s="673"/>
      <c r="I42" s="675" t="s">
        <v>36</v>
      </c>
      <c r="J42" s="167"/>
    </row>
    <row r="43" spans="1:14" s="14" customFormat="1">
      <c r="A43" s="159"/>
      <c r="B43" s="159" t="s">
        <v>79</v>
      </c>
      <c r="C43" s="160" t="s">
        <v>33</v>
      </c>
      <c r="D43" s="160">
        <v>50</v>
      </c>
      <c r="E43" s="160" t="s">
        <v>26</v>
      </c>
      <c r="F43" s="161">
        <v>21000</v>
      </c>
      <c r="G43" s="162">
        <f t="shared" si="0"/>
        <v>1050000</v>
      </c>
      <c r="H43" s="673"/>
      <c r="I43" s="676"/>
      <c r="J43" s="168">
        <v>44275</v>
      </c>
    </row>
    <row r="44" spans="1:14" s="14" customFormat="1">
      <c r="A44" s="159"/>
      <c r="B44" s="159" t="s">
        <v>80</v>
      </c>
      <c r="C44" s="160" t="s">
        <v>33</v>
      </c>
      <c r="D44" s="160">
        <v>30</v>
      </c>
      <c r="E44" s="160" t="s">
        <v>26</v>
      </c>
      <c r="F44" s="161">
        <v>23000</v>
      </c>
      <c r="G44" s="162">
        <f t="shared" si="0"/>
        <v>690000</v>
      </c>
      <c r="H44" s="673"/>
      <c r="I44" s="676"/>
      <c r="J44" s="167"/>
    </row>
    <row r="45" spans="1:14" s="14" customFormat="1">
      <c r="A45" s="159"/>
      <c r="B45" s="159" t="s">
        <v>81</v>
      </c>
      <c r="C45" s="160" t="s">
        <v>33</v>
      </c>
      <c r="D45" s="160">
        <v>30</v>
      </c>
      <c r="E45" s="160" t="s">
        <v>26</v>
      </c>
      <c r="F45" s="161">
        <v>26000</v>
      </c>
      <c r="G45" s="162">
        <f t="shared" si="0"/>
        <v>780000</v>
      </c>
      <c r="H45" s="673"/>
      <c r="I45" s="676"/>
      <c r="J45" s="167"/>
    </row>
    <row r="46" spans="1:14" s="14" customFormat="1">
      <c r="A46" s="159"/>
      <c r="B46" s="159" t="s">
        <v>82</v>
      </c>
      <c r="C46" s="160" t="s">
        <v>33</v>
      </c>
      <c r="D46" s="160">
        <v>50</v>
      </c>
      <c r="E46" s="160" t="s">
        <v>26</v>
      </c>
      <c r="F46" s="161" t="s">
        <v>83</v>
      </c>
      <c r="G46" s="162"/>
      <c r="H46" s="674"/>
      <c r="I46" s="676"/>
      <c r="J46" s="167"/>
    </row>
    <row r="47" spans="1:14" s="14" customFormat="1">
      <c r="A47" s="159"/>
      <c r="B47" s="159" t="s">
        <v>84</v>
      </c>
      <c r="C47" s="160" t="s">
        <v>33</v>
      </c>
      <c r="D47" s="160">
        <v>10</v>
      </c>
      <c r="E47" s="160" t="s">
        <v>26</v>
      </c>
      <c r="F47" s="161">
        <v>50000</v>
      </c>
      <c r="G47" s="162">
        <f t="shared" si="0"/>
        <v>500000</v>
      </c>
      <c r="H47" s="672">
        <f>SUM(G47:G50)</f>
        <v>2450000</v>
      </c>
      <c r="I47" s="676"/>
      <c r="J47" s="167" t="s">
        <v>88</v>
      </c>
    </row>
    <row r="48" spans="1:14" s="14" customFormat="1">
      <c r="A48" s="159"/>
      <c r="B48" s="159" t="s">
        <v>85</v>
      </c>
      <c r="C48" s="160" t="s">
        <v>33</v>
      </c>
      <c r="D48" s="160">
        <v>10</v>
      </c>
      <c r="E48" s="160" t="s">
        <v>26</v>
      </c>
      <c r="F48" s="161">
        <v>85000</v>
      </c>
      <c r="G48" s="162">
        <f t="shared" si="0"/>
        <v>850000</v>
      </c>
      <c r="H48" s="673"/>
      <c r="I48" s="676"/>
      <c r="J48" s="167" t="s">
        <v>88</v>
      </c>
    </row>
    <row r="49" spans="1:10" s="14" customFormat="1">
      <c r="A49" s="159"/>
      <c r="B49" s="159" t="s">
        <v>86</v>
      </c>
      <c r="C49" s="160" t="s">
        <v>33</v>
      </c>
      <c r="D49" s="160">
        <v>10</v>
      </c>
      <c r="E49" s="160" t="s">
        <v>26</v>
      </c>
      <c r="F49" s="161">
        <v>25000</v>
      </c>
      <c r="G49" s="162">
        <f t="shared" si="0"/>
        <v>250000</v>
      </c>
      <c r="H49" s="673"/>
      <c r="I49" s="676"/>
      <c r="J49" s="167" t="s">
        <v>88</v>
      </c>
    </row>
    <row r="50" spans="1:10" s="14" customFormat="1">
      <c r="A50" s="159"/>
      <c r="B50" s="159" t="s">
        <v>87</v>
      </c>
      <c r="C50" s="160" t="s">
        <v>33</v>
      </c>
      <c r="D50" s="160">
        <v>10</v>
      </c>
      <c r="E50" s="160" t="s">
        <v>26</v>
      </c>
      <c r="F50" s="161">
        <v>85000</v>
      </c>
      <c r="G50" s="162">
        <f t="shared" si="0"/>
        <v>850000</v>
      </c>
      <c r="H50" s="674"/>
      <c r="I50" s="676"/>
      <c r="J50" s="167" t="s">
        <v>88</v>
      </c>
    </row>
    <row r="51" spans="1:10" s="14" customFormat="1">
      <c r="A51" s="159"/>
      <c r="B51" s="159" t="s">
        <v>89</v>
      </c>
      <c r="C51" s="160" t="s">
        <v>33</v>
      </c>
      <c r="D51" s="160">
        <v>15</v>
      </c>
      <c r="E51" s="160" t="s">
        <v>26</v>
      </c>
      <c r="F51" s="161">
        <v>105000</v>
      </c>
      <c r="G51" s="162">
        <f t="shared" si="0"/>
        <v>1575000</v>
      </c>
      <c r="H51" s="672">
        <f>SUM(G51:G52)</f>
        <v>3463000</v>
      </c>
      <c r="I51" s="676"/>
      <c r="J51" s="167"/>
    </row>
    <row r="52" spans="1:10" s="14" customFormat="1">
      <c r="A52" s="159"/>
      <c r="B52" s="159" t="s">
        <v>90</v>
      </c>
      <c r="C52" s="160" t="s">
        <v>33</v>
      </c>
      <c r="D52" s="160">
        <v>16</v>
      </c>
      <c r="E52" s="160" t="s">
        <v>26</v>
      </c>
      <c r="F52" s="161">
        <v>118000</v>
      </c>
      <c r="G52" s="162">
        <f t="shared" si="0"/>
        <v>1888000</v>
      </c>
      <c r="H52" s="674"/>
      <c r="I52" s="677"/>
      <c r="J52" s="167"/>
    </row>
    <row r="53" spans="1:10" s="14" customFormat="1">
      <c r="A53" s="181">
        <v>44212</v>
      </c>
      <c r="B53" s="182" t="s">
        <v>91</v>
      </c>
      <c r="C53" s="183" t="s">
        <v>49</v>
      </c>
      <c r="D53" s="183">
        <v>1</v>
      </c>
      <c r="E53" s="183" t="s">
        <v>26</v>
      </c>
      <c r="F53" s="184">
        <v>3200000</v>
      </c>
      <c r="G53" s="185">
        <f t="shared" si="0"/>
        <v>3200000</v>
      </c>
      <c r="H53" s="188">
        <f>SUM(G53)</f>
        <v>3200000</v>
      </c>
      <c r="I53" s="195" t="s">
        <v>36</v>
      </c>
      <c r="J53" s="196">
        <v>44292</v>
      </c>
    </row>
    <row r="54" spans="1:10" s="14" customFormat="1">
      <c r="A54" s="23">
        <v>44212</v>
      </c>
      <c r="B54" s="21" t="s">
        <v>92</v>
      </c>
      <c r="C54" s="25" t="s">
        <v>93</v>
      </c>
      <c r="D54" s="41">
        <v>1</v>
      </c>
      <c r="E54" s="25" t="s">
        <v>26</v>
      </c>
      <c r="F54" s="24"/>
      <c r="G54" s="35">
        <f t="shared" si="0"/>
        <v>0</v>
      </c>
      <c r="H54" s="24"/>
      <c r="I54" s="21"/>
    </row>
    <row r="55" spans="1:10" s="14" customFormat="1">
      <c r="A55" s="276">
        <v>44214</v>
      </c>
      <c r="B55" s="275" t="s">
        <v>94</v>
      </c>
      <c r="C55" s="277" t="s">
        <v>560</v>
      </c>
      <c r="D55" s="286">
        <v>1</v>
      </c>
      <c r="E55" s="277" t="s">
        <v>26</v>
      </c>
      <c r="F55" s="278">
        <v>1650000</v>
      </c>
      <c r="G55" s="278">
        <f t="shared" si="0"/>
        <v>1650000</v>
      </c>
      <c r="H55" s="701">
        <f>SUM(G55:G56)</f>
        <v>7350000</v>
      </c>
      <c r="I55" s="703" t="s">
        <v>36</v>
      </c>
      <c r="J55" s="680" t="s">
        <v>552</v>
      </c>
    </row>
    <row r="56" spans="1:10" s="14" customFormat="1">
      <c r="A56" s="275"/>
      <c r="B56" s="275" t="s">
        <v>95</v>
      </c>
      <c r="C56" s="277" t="s">
        <v>560</v>
      </c>
      <c r="D56" s="286">
        <v>6</v>
      </c>
      <c r="E56" s="277" t="s">
        <v>26</v>
      </c>
      <c r="F56" s="278">
        <v>950000</v>
      </c>
      <c r="G56" s="278">
        <f t="shared" si="0"/>
        <v>5700000</v>
      </c>
      <c r="H56" s="702"/>
      <c r="I56" s="704"/>
      <c r="J56" s="680"/>
    </row>
    <row r="57" spans="1:10" s="14" customFormat="1">
      <c r="A57" s="148">
        <v>44214</v>
      </c>
      <c r="B57" s="275" t="s">
        <v>95</v>
      </c>
      <c r="C57" s="149" t="s">
        <v>97</v>
      </c>
      <c r="D57" s="150">
        <v>1</v>
      </c>
      <c r="E57" s="149" t="s">
        <v>26</v>
      </c>
      <c r="F57" s="151">
        <v>4450000</v>
      </c>
      <c r="G57" s="151">
        <f t="shared" si="0"/>
        <v>4450000</v>
      </c>
      <c r="H57" s="151">
        <f>SUM(G57)</f>
        <v>4450000</v>
      </c>
      <c r="I57" s="149" t="s">
        <v>122</v>
      </c>
      <c r="J57" s="152" t="s">
        <v>321</v>
      </c>
    </row>
    <row r="58" spans="1:10" s="14" customFormat="1">
      <c r="A58" s="181">
        <v>44214</v>
      </c>
      <c r="B58" s="182" t="s">
        <v>98</v>
      </c>
      <c r="C58" s="186" t="s">
        <v>17</v>
      </c>
      <c r="D58" s="187">
        <v>2</v>
      </c>
      <c r="E58" s="186" t="s">
        <v>26</v>
      </c>
      <c r="F58" s="188">
        <v>100000</v>
      </c>
      <c r="G58" s="188">
        <f>F58*D58</f>
        <v>200000</v>
      </c>
      <c r="H58" s="687">
        <f>SUM(G58:G60)</f>
        <v>415000</v>
      </c>
      <c r="I58" s="693" t="s">
        <v>36</v>
      </c>
      <c r="J58" s="664">
        <v>44292</v>
      </c>
    </row>
    <row r="59" spans="1:10" s="14" customFormat="1">
      <c r="A59" s="182"/>
      <c r="B59" s="182" t="s">
        <v>99</v>
      </c>
      <c r="C59" s="186" t="s">
        <v>17</v>
      </c>
      <c r="D59" s="187">
        <v>2</v>
      </c>
      <c r="E59" s="186" t="s">
        <v>26</v>
      </c>
      <c r="F59" s="188">
        <v>80000</v>
      </c>
      <c r="G59" s="188">
        <f t="shared" ref="G59:G79" si="1">F59*D59</f>
        <v>160000</v>
      </c>
      <c r="H59" s="688"/>
      <c r="I59" s="663"/>
      <c r="J59" s="665"/>
    </row>
    <row r="60" spans="1:10" s="14" customFormat="1">
      <c r="A60" s="182"/>
      <c r="B60" s="182" t="s">
        <v>100</v>
      </c>
      <c r="C60" s="186" t="s">
        <v>17</v>
      </c>
      <c r="D60" s="187">
        <v>2</v>
      </c>
      <c r="E60" s="186" t="s">
        <v>26</v>
      </c>
      <c r="F60" s="188">
        <v>27500</v>
      </c>
      <c r="G60" s="188">
        <f t="shared" si="1"/>
        <v>55000</v>
      </c>
      <c r="H60" s="689"/>
      <c r="I60" s="694"/>
      <c r="J60" s="665"/>
    </row>
    <row r="61" spans="1:10" s="14" customFormat="1">
      <c r="A61" s="84">
        <v>44214</v>
      </c>
      <c r="B61" s="85" t="s">
        <v>101</v>
      </c>
      <c r="C61" s="86" t="s">
        <v>63</v>
      </c>
      <c r="D61" s="87">
        <v>6</v>
      </c>
      <c r="E61" s="86" t="s">
        <v>26</v>
      </c>
      <c r="F61" s="88">
        <v>185000</v>
      </c>
      <c r="G61" s="88">
        <f t="shared" si="1"/>
        <v>1110000</v>
      </c>
      <c r="H61" s="88">
        <f>SUM(G61)</f>
        <v>1110000</v>
      </c>
      <c r="I61" s="86" t="s">
        <v>35</v>
      </c>
      <c r="J61" s="89" t="s">
        <v>209</v>
      </c>
    </row>
    <row r="62" spans="1:10" s="14" customFormat="1">
      <c r="A62" s="163">
        <v>44214</v>
      </c>
      <c r="B62" s="159" t="s">
        <v>102</v>
      </c>
      <c r="C62" s="164" t="s">
        <v>33</v>
      </c>
      <c r="D62" s="165">
        <v>5</v>
      </c>
      <c r="E62" s="164" t="s">
        <v>26</v>
      </c>
      <c r="F62" s="166">
        <v>62000</v>
      </c>
      <c r="G62" s="166">
        <f t="shared" si="1"/>
        <v>310000</v>
      </c>
      <c r="H62" s="672">
        <f>SUM(G62:G72)</f>
        <v>5360000</v>
      </c>
      <c r="I62" s="166">
        <f>SUM(H62:H81)</f>
        <v>16500000</v>
      </c>
      <c r="J62" s="678">
        <v>44275</v>
      </c>
    </row>
    <row r="63" spans="1:10" s="14" customFormat="1">
      <c r="A63" s="159"/>
      <c r="B63" s="159" t="s">
        <v>103</v>
      </c>
      <c r="C63" s="164" t="s">
        <v>33</v>
      </c>
      <c r="D63" s="165">
        <v>5</v>
      </c>
      <c r="E63" s="164" t="s">
        <v>26</v>
      </c>
      <c r="F63" s="166">
        <v>125000</v>
      </c>
      <c r="G63" s="166">
        <f t="shared" si="1"/>
        <v>625000</v>
      </c>
      <c r="H63" s="673"/>
      <c r="I63" s="675" t="s">
        <v>36</v>
      </c>
      <c r="J63" s="679"/>
    </row>
    <row r="64" spans="1:10" s="14" customFormat="1">
      <c r="A64" s="159"/>
      <c r="B64" s="159" t="s">
        <v>104</v>
      </c>
      <c r="C64" s="164" t="s">
        <v>33</v>
      </c>
      <c r="D64" s="165">
        <v>3</v>
      </c>
      <c r="E64" s="164" t="s">
        <v>26</v>
      </c>
      <c r="F64" s="166">
        <v>150000</v>
      </c>
      <c r="G64" s="166">
        <f t="shared" si="1"/>
        <v>450000</v>
      </c>
      <c r="H64" s="673"/>
      <c r="I64" s="676"/>
      <c r="J64" s="679"/>
    </row>
    <row r="65" spans="1:10" s="14" customFormat="1">
      <c r="A65" s="159"/>
      <c r="B65" s="159" t="s">
        <v>105</v>
      </c>
      <c r="C65" s="164" t="s">
        <v>33</v>
      </c>
      <c r="D65" s="165">
        <v>5</v>
      </c>
      <c r="E65" s="164" t="s">
        <v>26</v>
      </c>
      <c r="F65" s="166">
        <v>90000</v>
      </c>
      <c r="G65" s="166">
        <f t="shared" si="1"/>
        <v>450000</v>
      </c>
      <c r="H65" s="673"/>
      <c r="I65" s="676"/>
      <c r="J65" s="679"/>
    </row>
    <row r="66" spans="1:10" s="14" customFormat="1">
      <c r="A66" s="159"/>
      <c r="B66" s="159" t="s">
        <v>106</v>
      </c>
      <c r="C66" s="164" t="s">
        <v>33</v>
      </c>
      <c r="D66" s="165">
        <v>5</v>
      </c>
      <c r="E66" s="164" t="s">
        <v>26</v>
      </c>
      <c r="F66" s="166">
        <v>60000</v>
      </c>
      <c r="G66" s="166">
        <f t="shared" si="1"/>
        <v>300000</v>
      </c>
      <c r="H66" s="673"/>
      <c r="I66" s="676"/>
      <c r="J66" s="679"/>
    </row>
    <row r="67" spans="1:10" s="14" customFormat="1">
      <c r="A67" s="159"/>
      <c r="B67" s="159" t="s">
        <v>107</v>
      </c>
      <c r="C67" s="164" t="s">
        <v>33</v>
      </c>
      <c r="D67" s="165">
        <v>5</v>
      </c>
      <c r="E67" s="164" t="s">
        <v>26</v>
      </c>
      <c r="F67" s="166">
        <v>85000</v>
      </c>
      <c r="G67" s="166">
        <f t="shared" si="1"/>
        <v>425000</v>
      </c>
      <c r="H67" s="673"/>
      <c r="I67" s="676"/>
      <c r="J67" s="679"/>
    </row>
    <row r="68" spans="1:10" s="14" customFormat="1">
      <c r="A68" s="159"/>
      <c r="B68" s="159" t="s">
        <v>108</v>
      </c>
      <c r="C68" s="164" t="s">
        <v>33</v>
      </c>
      <c r="D68" s="165">
        <v>5</v>
      </c>
      <c r="E68" s="164" t="s">
        <v>26</v>
      </c>
      <c r="F68" s="166">
        <v>110000</v>
      </c>
      <c r="G68" s="166">
        <f t="shared" si="1"/>
        <v>550000</v>
      </c>
      <c r="H68" s="673"/>
      <c r="I68" s="676"/>
      <c r="J68" s="679"/>
    </row>
    <row r="69" spans="1:10" s="14" customFormat="1">
      <c r="A69" s="159"/>
      <c r="B69" s="159" t="s">
        <v>109</v>
      </c>
      <c r="C69" s="164" t="s">
        <v>33</v>
      </c>
      <c r="D69" s="165">
        <v>5</v>
      </c>
      <c r="E69" s="164" t="s">
        <v>26</v>
      </c>
      <c r="F69" s="166">
        <v>125000</v>
      </c>
      <c r="G69" s="166">
        <f t="shared" si="1"/>
        <v>625000</v>
      </c>
      <c r="H69" s="673"/>
      <c r="I69" s="676"/>
      <c r="J69" s="679"/>
    </row>
    <row r="70" spans="1:10" s="14" customFormat="1">
      <c r="A70" s="159"/>
      <c r="B70" s="159" t="s">
        <v>110</v>
      </c>
      <c r="C70" s="164" t="s">
        <v>33</v>
      </c>
      <c r="D70" s="165">
        <v>5</v>
      </c>
      <c r="E70" s="164" t="s">
        <v>26</v>
      </c>
      <c r="F70" s="166">
        <v>110000</v>
      </c>
      <c r="G70" s="166">
        <f t="shared" si="1"/>
        <v>550000</v>
      </c>
      <c r="H70" s="673"/>
      <c r="I70" s="676"/>
      <c r="J70" s="679"/>
    </row>
    <row r="71" spans="1:10" s="14" customFormat="1">
      <c r="A71" s="159"/>
      <c r="B71" s="159" t="s">
        <v>111</v>
      </c>
      <c r="C71" s="164" t="s">
        <v>33</v>
      </c>
      <c r="D71" s="165">
        <v>5</v>
      </c>
      <c r="E71" s="164" t="s">
        <v>26</v>
      </c>
      <c r="F71" s="166">
        <v>125000</v>
      </c>
      <c r="G71" s="166">
        <f t="shared" si="1"/>
        <v>625000</v>
      </c>
      <c r="H71" s="673"/>
      <c r="I71" s="676"/>
      <c r="J71" s="679"/>
    </row>
    <row r="72" spans="1:10" s="14" customFormat="1">
      <c r="A72" s="159"/>
      <c r="B72" s="159" t="s">
        <v>112</v>
      </c>
      <c r="C72" s="164" t="s">
        <v>33</v>
      </c>
      <c r="D72" s="165">
        <v>5</v>
      </c>
      <c r="E72" s="164" t="s">
        <v>26</v>
      </c>
      <c r="F72" s="166">
        <v>90000</v>
      </c>
      <c r="G72" s="166">
        <f t="shared" si="1"/>
        <v>450000</v>
      </c>
      <c r="H72" s="674"/>
      <c r="I72" s="676"/>
      <c r="J72" s="679"/>
    </row>
    <row r="73" spans="1:10" s="14" customFormat="1">
      <c r="A73" s="159"/>
      <c r="B73" s="159" t="s">
        <v>113</v>
      </c>
      <c r="C73" s="164" t="s">
        <v>33</v>
      </c>
      <c r="D73" s="165">
        <v>10</v>
      </c>
      <c r="E73" s="164" t="s">
        <v>26</v>
      </c>
      <c r="F73" s="166">
        <v>65000</v>
      </c>
      <c r="G73" s="166">
        <f t="shared" si="1"/>
        <v>650000</v>
      </c>
      <c r="H73" s="672">
        <f>SUM(G73:G79)</f>
        <v>6100000</v>
      </c>
      <c r="I73" s="676"/>
      <c r="J73" s="679"/>
    </row>
    <row r="74" spans="1:10" s="14" customFormat="1">
      <c r="A74" s="159"/>
      <c r="B74" s="159" t="s">
        <v>114</v>
      </c>
      <c r="C74" s="164" t="s">
        <v>33</v>
      </c>
      <c r="D74" s="165">
        <v>10</v>
      </c>
      <c r="E74" s="164" t="s">
        <v>26</v>
      </c>
      <c r="F74" s="162">
        <v>100000</v>
      </c>
      <c r="G74" s="166">
        <f t="shared" si="1"/>
        <v>1000000</v>
      </c>
      <c r="H74" s="673"/>
      <c r="I74" s="676"/>
      <c r="J74" s="679"/>
    </row>
    <row r="75" spans="1:10" s="14" customFormat="1">
      <c r="A75" s="159"/>
      <c r="B75" s="159" t="s">
        <v>115</v>
      </c>
      <c r="C75" s="164" t="s">
        <v>33</v>
      </c>
      <c r="D75" s="165">
        <v>10</v>
      </c>
      <c r="E75" s="164" t="s">
        <v>26</v>
      </c>
      <c r="F75" s="162">
        <v>110000</v>
      </c>
      <c r="G75" s="166">
        <f t="shared" si="1"/>
        <v>1100000</v>
      </c>
      <c r="H75" s="673"/>
      <c r="I75" s="676"/>
      <c r="J75" s="679"/>
    </row>
    <row r="76" spans="1:10" s="14" customFormat="1">
      <c r="A76" s="159"/>
      <c r="B76" s="159" t="s">
        <v>118</v>
      </c>
      <c r="C76" s="164" t="s">
        <v>33</v>
      </c>
      <c r="D76" s="165">
        <v>10</v>
      </c>
      <c r="E76" s="164" t="s">
        <v>26</v>
      </c>
      <c r="F76" s="166">
        <v>55000</v>
      </c>
      <c r="G76" s="166">
        <f t="shared" si="1"/>
        <v>550000</v>
      </c>
      <c r="H76" s="673"/>
      <c r="I76" s="676"/>
      <c r="J76" s="679"/>
    </row>
    <row r="77" spans="1:10" s="14" customFormat="1">
      <c r="A77" s="159"/>
      <c r="B77" s="159" t="s">
        <v>119</v>
      </c>
      <c r="C77" s="164" t="s">
        <v>33</v>
      </c>
      <c r="D77" s="165">
        <v>10</v>
      </c>
      <c r="E77" s="164" t="s">
        <v>26</v>
      </c>
      <c r="F77" s="166">
        <v>55000</v>
      </c>
      <c r="G77" s="166">
        <f t="shared" si="1"/>
        <v>550000</v>
      </c>
      <c r="H77" s="673"/>
      <c r="I77" s="676"/>
      <c r="J77" s="679"/>
    </row>
    <row r="78" spans="1:10" s="14" customFormat="1">
      <c r="A78" s="159"/>
      <c r="B78" s="159" t="s">
        <v>120</v>
      </c>
      <c r="C78" s="164" t="s">
        <v>33</v>
      </c>
      <c r="D78" s="165">
        <v>20</v>
      </c>
      <c r="E78" s="164" t="s">
        <v>26</v>
      </c>
      <c r="F78" s="166">
        <v>85000</v>
      </c>
      <c r="G78" s="166">
        <f t="shared" si="1"/>
        <v>1700000</v>
      </c>
      <c r="H78" s="673"/>
      <c r="I78" s="676"/>
      <c r="J78" s="679"/>
    </row>
    <row r="79" spans="1:10" s="14" customFormat="1">
      <c r="A79" s="159"/>
      <c r="B79" s="159" t="s">
        <v>121</v>
      </c>
      <c r="C79" s="164" t="s">
        <v>33</v>
      </c>
      <c r="D79" s="165">
        <v>10</v>
      </c>
      <c r="E79" s="164" t="s">
        <v>26</v>
      </c>
      <c r="F79" s="166">
        <v>55000</v>
      </c>
      <c r="G79" s="166">
        <f t="shared" si="1"/>
        <v>550000</v>
      </c>
      <c r="H79" s="674"/>
      <c r="I79" s="676"/>
      <c r="J79" s="679"/>
    </row>
    <row r="80" spans="1:10" s="14" customFormat="1">
      <c r="A80" s="159"/>
      <c r="B80" s="159" t="s">
        <v>116</v>
      </c>
      <c r="C80" s="164" t="s">
        <v>33</v>
      </c>
      <c r="D80" s="165">
        <v>20</v>
      </c>
      <c r="E80" s="164" t="s">
        <v>26</v>
      </c>
      <c r="F80" s="166">
        <v>142000</v>
      </c>
      <c r="G80" s="166">
        <f t="shared" ref="G80:G98" si="2">F80*D80</f>
        <v>2840000</v>
      </c>
      <c r="H80" s="672">
        <f>SUM(G80:G81)</f>
        <v>5040000</v>
      </c>
      <c r="I80" s="676"/>
      <c r="J80" s="679"/>
    </row>
    <row r="81" spans="1:16" s="14" customFormat="1">
      <c r="A81" s="159"/>
      <c r="B81" s="159" t="s">
        <v>117</v>
      </c>
      <c r="C81" s="164" t="s">
        <v>33</v>
      </c>
      <c r="D81" s="165">
        <v>20</v>
      </c>
      <c r="E81" s="164" t="s">
        <v>26</v>
      </c>
      <c r="F81" s="166">
        <v>110000</v>
      </c>
      <c r="G81" s="166">
        <f t="shared" si="2"/>
        <v>2200000</v>
      </c>
      <c r="H81" s="674"/>
      <c r="I81" s="677"/>
      <c r="J81" s="679"/>
    </row>
    <row r="82" spans="1:16" s="14" customFormat="1">
      <c r="A82" s="51">
        <v>44216</v>
      </c>
      <c r="B82" s="73" t="s">
        <v>123</v>
      </c>
      <c r="C82" s="76" t="s">
        <v>126</v>
      </c>
      <c r="D82" s="78">
        <v>10</v>
      </c>
      <c r="E82" s="76" t="s">
        <v>26</v>
      </c>
      <c r="F82" s="79">
        <v>170000</v>
      </c>
      <c r="G82" s="79">
        <f t="shared" si="2"/>
        <v>1700000</v>
      </c>
      <c r="H82" s="705">
        <f>SUM(G82:G84)</f>
        <v>3630000</v>
      </c>
      <c r="I82" s="708" t="s">
        <v>35</v>
      </c>
      <c r="J82" s="670">
        <v>44242</v>
      </c>
    </row>
    <row r="83" spans="1:16" s="14" customFormat="1">
      <c r="A83" s="73"/>
      <c r="B83" s="73" t="s">
        <v>124</v>
      </c>
      <c r="C83" s="76" t="s">
        <v>126</v>
      </c>
      <c r="D83" s="78">
        <v>5</v>
      </c>
      <c r="E83" s="76" t="s">
        <v>26</v>
      </c>
      <c r="F83" s="79">
        <v>170000</v>
      </c>
      <c r="G83" s="79">
        <f t="shared" si="2"/>
        <v>850000</v>
      </c>
      <c r="H83" s="706"/>
      <c r="I83" s="709"/>
      <c r="J83" s="671"/>
    </row>
    <row r="84" spans="1:16" s="14" customFormat="1">
      <c r="A84" s="73"/>
      <c r="B84" s="73" t="s">
        <v>125</v>
      </c>
      <c r="C84" s="76" t="s">
        <v>126</v>
      </c>
      <c r="D84" s="78">
        <v>6</v>
      </c>
      <c r="E84" s="76" t="s">
        <v>26</v>
      </c>
      <c r="F84" s="79">
        <v>180000</v>
      </c>
      <c r="G84" s="79">
        <f t="shared" si="2"/>
        <v>1080000</v>
      </c>
      <c r="H84" s="707"/>
      <c r="I84" s="710"/>
      <c r="J84" s="671"/>
    </row>
    <row r="85" spans="1:16" s="14" customFormat="1">
      <c r="A85" s="23">
        <v>44216</v>
      </c>
      <c r="B85" s="21" t="s">
        <v>127</v>
      </c>
      <c r="C85" s="698" t="s">
        <v>136</v>
      </c>
      <c r="D85" s="58">
        <v>36</v>
      </c>
      <c r="E85" s="48" t="s">
        <v>133</v>
      </c>
      <c r="F85" s="49">
        <v>18500</v>
      </c>
      <c r="G85" s="49">
        <f t="shared" si="2"/>
        <v>666000</v>
      </c>
      <c r="H85" s="711">
        <f>SUM(G85:G90)</f>
        <v>1290000</v>
      </c>
      <c r="I85" s="698" t="s">
        <v>135</v>
      </c>
    </row>
    <row r="86" spans="1:16" s="14" customFormat="1">
      <c r="A86" s="21"/>
      <c r="B86" s="21" t="s">
        <v>128</v>
      </c>
      <c r="C86" s="699"/>
      <c r="D86" s="58">
        <v>10</v>
      </c>
      <c r="E86" s="48" t="s">
        <v>26</v>
      </c>
      <c r="F86" s="49">
        <v>13000</v>
      </c>
      <c r="G86" s="49">
        <f t="shared" si="2"/>
        <v>130000</v>
      </c>
      <c r="H86" s="712"/>
      <c r="I86" s="699"/>
    </row>
    <row r="87" spans="1:16" s="14" customFormat="1">
      <c r="A87" s="40"/>
      <c r="B87" s="21" t="s">
        <v>129</v>
      </c>
      <c r="C87" s="699"/>
      <c r="D87" s="59">
        <v>10</v>
      </c>
      <c r="E87" s="7" t="s">
        <v>26</v>
      </c>
      <c r="F87" s="60">
        <v>13000</v>
      </c>
      <c r="G87" s="60">
        <f t="shared" si="2"/>
        <v>130000</v>
      </c>
      <c r="H87" s="712"/>
      <c r="I87" s="699"/>
    </row>
    <row r="88" spans="1:16" s="14" customFormat="1">
      <c r="A88" s="40"/>
      <c r="B88" s="21" t="s">
        <v>130</v>
      </c>
      <c r="C88" s="699"/>
      <c r="D88" s="59">
        <v>12</v>
      </c>
      <c r="E88" s="7" t="s">
        <v>26</v>
      </c>
      <c r="F88" s="60">
        <v>13000</v>
      </c>
      <c r="G88" s="60">
        <f t="shared" si="2"/>
        <v>156000</v>
      </c>
      <c r="H88" s="712"/>
      <c r="I88" s="699"/>
    </row>
    <row r="89" spans="1:16">
      <c r="A89" s="40"/>
      <c r="B89" s="21" t="s">
        <v>131</v>
      </c>
      <c r="C89" s="699"/>
      <c r="D89" s="59">
        <v>10</v>
      </c>
      <c r="E89" s="7" t="s">
        <v>134</v>
      </c>
      <c r="F89" s="60">
        <v>13000</v>
      </c>
      <c r="G89" s="60">
        <f t="shared" si="2"/>
        <v>130000</v>
      </c>
      <c r="H89" s="712"/>
      <c r="I89" s="699"/>
      <c r="K89" s="14"/>
      <c r="L89" s="14"/>
      <c r="M89" s="14"/>
      <c r="N89" s="14"/>
      <c r="O89" s="14"/>
      <c r="P89" s="14"/>
    </row>
    <row r="90" spans="1:16">
      <c r="A90" s="40"/>
      <c r="B90" s="21" t="s">
        <v>132</v>
      </c>
      <c r="C90" s="700"/>
      <c r="D90" s="59">
        <v>6</v>
      </c>
      <c r="E90" s="7" t="s">
        <v>134</v>
      </c>
      <c r="F90" s="60">
        <v>13000</v>
      </c>
      <c r="G90" s="60">
        <f t="shared" si="2"/>
        <v>78000</v>
      </c>
      <c r="H90" s="713"/>
      <c r="I90" s="700"/>
      <c r="K90" s="14"/>
      <c r="L90" s="14"/>
      <c r="M90" s="14"/>
      <c r="N90" s="14"/>
      <c r="O90" s="14"/>
      <c r="P90" s="14"/>
    </row>
    <row r="91" spans="1:16">
      <c r="A91" s="127">
        <v>44217</v>
      </c>
      <c r="B91" s="128" t="s">
        <v>137</v>
      </c>
      <c r="C91" s="129" t="s">
        <v>28</v>
      </c>
      <c r="D91" s="130">
        <v>1</v>
      </c>
      <c r="E91" s="130" t="s">
        <v>26</v>
      </c>
      <c r="F91" s="131">
        <v>2100000</v>
      </c>
      <c r="G91" s="131">
        <f t="shared" si="2"/>
        <v>2100000</v>
      </c>
      <c r="H91" s="131">
        <v>2100000</v>
      </c>
      <c r="I91" s="129" t="s">
        <v>135</v>
      </c>
      <c r="J91" s="132" t="s">
        <v>616</v>
      </c>
      <c r="K91" s="14"/>
      <c r="L91" s="14"/>
      <c r="M91" s="14"/>
      <c r="N91" s="14"/>
      <c r="O91" s="14"/>
      <c r="P91" s="14"/>
    </row>
    <row r="92" spans="1:16">
      <c r="A92" s="169">
        <v>44219</v>
      </c>
      <c r="B92" s="170" t="s">
        <v>138</v>
      </c>
      <c r="C92" s="171" t="s">
        <v>33</v>
      </c>
      <c r="D92" s="171">
        <v>10</v>
      </c>
      <c r="E92" s="171" t="s">
        <v>26</v>
      </c>
      <c r="F92" s="172">
        <v>25000</v>
      </c>
      <c r="G92" s="172">
        <f t="shared" si="2"/>
        <v>250000</v>
      </c>
      <c r="H92" s="717">
        <f>SUM(G92:G93)</f>
        <v>2250000</v>
      </c>
      <c r="I92" s="172">
        <f>SUM(H92:H97)</f>
        <v>9803000</v>
      </c>
      <c r="J92" s="728">
        <v>44275</v>
      </c>
      <c r="K92" s="14"/>
      <c r="L92" s="14"/>
      <c r="M92" s="14"/>
      <c r="N92" s="14"/>
      <c r="O92" s="14"/>
    </row>
    <row r="93" spans="1:16">
      <c r="A93" s="170"/>
      <c r="B93" s="170" t="s">
        <v>139</v>
      </c>
      <c r="C93" s="171" t="s">
        <v>33</v>
      </c>
      <c r="D93" s="171">
        <v>10</v>
      </c>
      <c r="E93" s="171" t="s">
        <v>26</v>
      </c>
      <c r="F93" s="172">
        <v>200000</v>
      </c>
      <c r="G93" s="172">
        <f t="shared" si="2"/>
        <v>2000000</v>
      </c>
      <c r="H93" s="718"/>
      <c r="I93" s="725" t="s">
        <v>36</v>
      </c>
      <c r="J93" s="729"/>
      <c r="K93" s="14"/>
      <c r="L93" s="14"/>
      <c r="M93" s="14"/>
      <c r="N93" s="14"/>
      <c r="O93" s="14"/>
    </row>
    <row r="94" spans="1:16">
      <c r="A94" s="170"/>
      <c r="B94" s="170" t="s">
        <v>140</v>
      </c>
      <c r="C94" s="171" t="s">
        <v>33</v>
      </c>
      <c r="D94" s="171">
        <v>15</v>
      </c>
      <c r="E94" s="171" t="s">
        <v>26</v>
      </c>
      <c r="F94" s="172">
        <v>105000</v>
      </c>
      <c r="G94" s="172">
        <f t="shared" si="2"/>
        <v>1575000</v>
      </c>
      <c r="H94" s="717">
        <f>SUM(G94:G95)</f>
        <v>3775000</v>
      </c>
      <c r="I94" s="726"/>
      <c r="J94" s="729"/>
      <c r="K94" s="14"/>
      <c r="L94" s="14"/>
      <c r="M94" s="14"/>
      <c r="N94" s="14"/>
      <c r="O94" s="14"/>
    </row>
    <row r="95" spans="1:16">
      <c r="A95" s="170"/>
      <c r="B95" s="170" t="s">
        <v>141</v>
      </c>
      <c r="C95" s="171" t="s">
        <v>33</v>
      </c>
      <c r="D95" s="171">
        <v>20</v>
      </c>
      <c r="E95" s="171" t="s">
        <v>26</v>
      </c>
      <c r="F95" s="172">
        <v>110000</v>
      </c>
      <c r="G95" s="172">
        <f t="shared" si="2"/>
        <v>2200000</v>
      </c>
      <c r="H95" s="718"/>
      <c r="I95" s="726"/>
      <c r="J95" s="729"/>
      <c r="K95" s="14"/>
      <c r="L95" s="14"/>
      <c r="M95" s="14"/>
      <c r="N95" s="14"/>
      <c r="O95" s="14"/>
    </row>
    <row r="96" spans="1:16">
      <c r="A96" s="170"/>
      <c r="B96" s="170" t="s">
        <v>142</v>
      </c>
      <c r="C96" s="171" t="s">
        <v>33</v>
      </c>
      <c r="D96" s="171">
        <v>20</v>
      </c>
      <c r="E96" s="171" t="s">
        <v>26</v>
      </c>
      <c r="F96" s="172">
        <v>124000</v>
      </c>
      <c r="G96" s="172">
        <f t="shared" si="2"/>
        <v>2480000</v>
      </c>
      <c r="H96" s="717">
        <f>SUM(G96:G97)</f>
        <v>3778000</v>
      </c>
      <c r="I96" s="726"/>
      <c r="J96" s="729"/>
      <c r="K96" s="14"/>
      <c r="L96" s="14"/>
      <c r="M96" s="14"/>
      <c r="N96" s="14"/>
      <c r="O96" s="14"/>
    </row>
    <row r="97" spans="1:15">
      <c r="A97" s="170"/>
      <c r="B97" s="170" t="s">
        <v>143</v>
      </c>
      <c r="C97" s="171" t="s">
        <v>33</v>
      </c>
      <c r="D97" s="171">
        <v>11</v>
      </c>
      <c r="E97" s="171" t="s">
        <v>26</v>
      </c>
      <c r="F97" s="172">
        <v>118000</v>
      </c>
      <c r="G97" s="172">
        <f t="shared" si="2"/>
        <v>1298000</v>
      </c>
      <c r="H97" s="718"/>
      <c r="I97" s="727"/>
      <c r="J97" s="729"/>
      <c r="K97" s="14"/>
      <c r="L97" s="14"/>
      <c r="M97" s="14"/>
      <c r="N97" s="14"/>
      <c r="O97" s="14"/>
    </row>
    <row r="98" spans="1:15">
      <c r="A98" s="207">
        <v>44219</v>
      </c>
      <c r="B98" s="208" t="s">
        <v>144</v>
      </c>
      <c r="C98" s="394" t="s">
        <v>21</v>
      </c>
      <c r="D98" s="394">
        <v>2</v>
      </c>
      <c r="E98" s="394" t="s">
        <v>61</v>
      </c>
      <c r="F98" s="212">
        <v>1100000</v>
      </c>
      <c r="G98" s="212">
        <f t="shared" si="2"/>
        <v>2200000</v>
      </c>
      <c r="H98" s="212"/>
      <c r="I98" s="209" t="s">
        <v>36</v>
      </c>
      <c r="J98" s="208" t="s">
        <v>737</v>
      </c>
      <c r="K98" s="14"/>
      <c r="L98" s="14"/>
      <c r="M98" s="14"/>
      <c r="N98" s="14"/>
      <c r="O98" s="14"/>
    </row>
    <row r="99" spans="1:15">
      <c r="A99" s="66">
        <v>44219</v>
      </c>
      <c r="B99" s="40" t="s">
        <v>145</v>
      </c>
      <c r="C99" s="67" t="s">
        <v>146</v>
      </c>
      <c r="D99" s="67">
        <v>1</v>
      </c>
      <c r="E99" s="67" t="s">
        <v>61</v>
      </c>
      <c r="F99" s="65"/>
      <c r="G99" s="65"/>
      <c r="H99" s="65"/>
      <c r="I99" s="40"/>
      <c r="L99" s="14"/>
      <c r="M99" s="14"/>
      <c r="N99" s="14"/>
      <c r="O99" s="14"/>
    </row>
    <row r="100" spans="1:15">
      <c r="A100" s="102">
        <v>44222</v>
      </c>
      <c r="B100" s="103" t="s">
        <v>147</v>
      </c>
      <c r="C100" s="104" t="s">
        <v>148</v>
      </c>
      <c r="D100" s="104">
        <v>30</v>
      </c>
      <c r="E100" s="104" t="s">
        <v>26</v>
      </c>
      <c r="F100" s="105">
        <v>150000</v>
      </c>
      <c r="G100" s="105">
        <f>F100*D100</f>
        <v>4500000</v>
      </c>
      <c r="H100" s="105">
        <f>G100</f>
        <v>4500000</v>
      </c>
      <c r="I100" s="104" t="s">
        <v>36</v>
      </c>
      <c r="J100" s="106">
        <v>44250</v>
      </c>
    </row>
    <row r="101" spans="1:15">
      <c r="A101" s="154">
        <v>44223</v>
      </c>
      <c r="B101" s="155" t="s">
        <v>150</v>
      </c>
      <c r="C101" s="156" t="s">
        <v>19</v>
      </c>
      <c r="D101" s="156">
        <v>1</v>
      </c>
      <c r="E101" s="156" t="s">
        <v>26</v>
      </c>
      <c r="F101" s="157">
        <v>2450000</v>
      </c>
      <c r="G101" s="157">
        <f t="shared" ref="G101:G110" si="3">F101*D101</f>
        <v>2450000</v>
      </c>
      <c r="H101" s="157">
        <f>SUM(G101)</f>
        <v>2450000</v>
      </c>
      <c r="I101" s="156" t="s">
        <v>36</v>
      </c>
      <c r="J101" s="158">
        <v>44271</v>
      </c>
    </row>
    <row r="102" spans="1:15">
      <c r="A102" s="66">
        <v>44224</v>
      </c>
      <c r="B102" s="40" t="s">
        <v>152</v>
      </c>
      <c r="C102" s="67" t="s">
        <v>33</v>
      </c>
      <c r="D102" s="67">
        <v>3</v>
      </c>
      <c r="E102" s="67" t="s">
        <v>26</v>
      </c>
      <c r="F102" s="715" t="s">
        <v>154</v>
      </c>
      <c r="G102" s="715" t="s">
        <v>154</v>
      </c>
      <c r="H102" s="65"/>
      <c r="I102" s="40"/>
    </row>
    <row r="103" spans="1:15">
      <c r="A103" s="40"/>
      <c r="B103" s="40" t="s">
        <v>153</v>
      </c>
      <c r="C103" s="67" t="s">
        <v>33</v>
      </c>
      <c r="D103" s="67">
        <v>1</v>
      </c>
      <c r="E103" s="67" t="s">
        <v>26</v>
      </c>
      <c r="F103" s="716"/>
      <c r="G103" s="716"/>
      <c r="H103" s="65"/>
      <c r="I103" s="40"/>
    </row>
    <row r="104" spans="1:15">
      <c r="A104" s="69">
        <v>44225</v>
      </c>
      <c r="B104" s="70" t="s">
        <v>155</v>
      </c>
      <c r="C104" s="71" t="s">
        <v>158</v>
      </c>
      <c r="D104" s="71">
        <v>3</v>
      </c>
      <c r="E104" s="71" t="s">
        <v>26</v>
      </c>
      <c r="F104" s="72">
        <v>350000</v>
      </c>
      <c r="G104" s="72">
        <f t="shared" si="3"/>
        <v>1050000</v>
      </c>
      <c r="H104" s="719">
        <f>SUM(G104:G106)</f>
        <v>3150000</v>
      </c>
      <c r="I104" s="722" t="s">
        <v>159</v>
      </c>
      <c r="J104" s="714" t="s">
        <v>177</v>
      </c>
    </row>
    <row r="105" spans="1:15">
      <c r="A105" s="70"/>
      <c r="B105" s="70" t="s">
        <v>156</v>
      </c>
      <c r="C105" s="71" t="s">
        <v>158</v>
      </c>
      <c r="D105" s="71">
        <v>3</v>
      </c>
      <c r="E105" s="71" t="s">
        <v>26</v>
      </c>
      <c r="F105" s="72">
        <v>350000</v>
      </c>
      <c r="G105" s="72">
        <f t="shared" si="3"/>
        <v>1050000</v>
      </c>
      <c r="H105" s="720"/>
      <c r="I105" s="723"/>
      <c r="J105" s="714"/>
    </row>
    <row r="106" spans="1:15">
      <c r="A106" s="70"/>
      <c r="B106" s="70" t="s">
        <v>157</v>
      </c>
      <c r="C106" s="71" t="s">
        <v>158</v>
      </c>
      <c r="D106" s="71">
        <v>3</v>
      </c>
      <c r="E106" s="71" t="s">
        <v>26</v>
      </c>
      <c r="F106" s="72">
        <v>350000</v>
      </c>
      <c r="G106" s="72">
        <f t="shared" si="3"/>
        <v>1050000</v>
      </c>
      <c r="H106" s="721"/>
      <c r="I106" s="724"/>
      <c r="J106" s="714"/>
    </row>
    <row r="107" spans="1:15">
      <c r="A107" s="80">
        <v>44225</v>
      </c>
      <c r="B107" s="81" t="s">
        <v>160</v>
      </c>
      <c r="C107" s="82" t="s">
        <v>161</v>
      </c>
      <c r="D107" s="82">
        <v>50</v>
      </c>
      <c r="E107" s="82" t="s">
        <v>26</v>
      </c>
      <c r="F107" s="235">
        <v>110000</v>
      </c>
      <c r="G107" s="235">
        <f t="shared" si="3"/>
        <v>5500000</v>
      </c>
      <c r="H107" s="235">
        <f>SUM(G107)</f>
        <v>5500000</v>
      </c>
      <c r="I107" s="234" t="s">
        <v>67</v>
      </c>
      <c r="J107" s="236" t="s">
        <v>551</v>
      </c>
    </row>
    <row r="108" spans="1:15">
      <c r="A108" s="189">
        <v>44226</v>
      </c>
      <c r="B108" s="190" t="s">
        <v>162</v>
      </c>
      <c r="C108" s="191" t="s">
        <v>17</v>
      </c>
      <c r="D108" s="191">
        <v>10</v>
      </c>
      <c r="E108" s="191" t="s">
        <v>26</v>
      </c>
      <c r="F108" s="192">
        <v>78000</v>
      </c>
      <c r="G108" s="192">
        <f t="shared" si="3"/>
        <v>780000</v>
      </c>
      <c r="H108" s="192">
        <f>SUM(G108)</f>
        <v>780000</v>
      </c>
      <c r="I108" s="193" t="s">
        <v>151</v>
      </c>
      <c r="J108" s="194">
        <v>44292</v>
      </c>
    </row>
    <row r="109" spans="1:15">
      <c r="A109" s="40"/>
      <c r="B109" s="40"/>
      <c r="C109" s="67"/>
      <c r="D109" s="67"/>
      <c r="E109" s="67"/>
      <c r="F109" s="65"/>
      <c r="G109" s="65">
        <f t="shared" si="3"/>
        <v>0</v>
      </c>
      <c r="H109" s="65"/>
      <c r="I109" s="40"/>
    </row>
    <row r="110" spans="1:15">
      <c r="A110" s="40"/>
      <c r="B110" s="40"/>
      <c r="C110" s="67"/>
      <c r="D110" s="67"/>
      <c r="E110" s="67"/>
      <c r="F110" s="65"/>
      <c r="G110" s="65">
        <f t="shared" si="3"/>
        <v>0</v>
      </c>
      <c r="H110" s="65"/>
      <c r="I110" s="40"/>
    </row>
  </sheetData>
  <mergeCells count="42">
    <mergeCell ref="J104:J106"/>
    <mergeCell ref="F102:F103"/>
    <mergeCell ref="G102:G103"/>
    <mergeCell ref="H92:H93"/>
    <mergeCell ref="H94:H95"/>
    <mergeCell ref="H96:H97"/>
    <mergeCell ref="H104:H106"/>
    <mergeCell ref="I104:I106"/>
    <mergeCell ref="I93:I97"/>
    <mergeCell ref="J92:J97"/>
    <mergeCell ref="C85:C90"/>
    <mergeCell ref="H73:H79"/>
    <mergeCell ref="I63:I81"/>
    <mergeCell ref="I58:I60"/>
    <mergeCell ref="H55:H56"/>
    <mergeCell ref="I55:I56"/>
    <mergeCell ref="H58:H60"/>
    <mergeCell ref="H62:H72"/>
    <mergeCell ref="H80:H81"/>
    <mergeCell ref="H82:H84"/>
    <mergeCell ref="I82:I84"/>
    <mergeCell ref="H85:H90"/>
    <mergeCell ref="I85:I90"/>
    <mergeCell ref="H7:H9"/>
    <mergeCell ref="I7:I9"/>
    <mergeCell ref="H13:H19"/>
    <mergeCell ref="H20:H22"/>
    <mergeCell ref="H23:H28"/>
    <mergeCell ref="I13:I19"/>
    <mergeCell ref="I20:I22"/>
    <mergeCell ref="I23:I28"/>
    <mergeCell ref="H41:H46"/>
    <mergeCell ref="H47:H50"/>
    <mergeCell ref="H51:H52"/>
    <mergeCell ref="I42:I52"/>
    <mergeCell ref="J62:J81"/>
    <mergeCell ref="J55:J56"/>
    <mergeCell ref="J20:J22"/>
    <mergeCell ref="J58:J60"/>
    <mergeCell ref="J13:J19"/>
    <mergeCell ref="J23:J28"/>
    <mergeCell ref="J82:J84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W130"/>
  <sheetViews>
    <sheetView topLeftCell="A30" zoomScale="84" zoomScaleNormal="84" workbookViewId="0">
      <selection activeCell="B44" sqref="B44"/>
    </sheetView>
  </sheetViews>
  <sheetFormatPr defaultRowHeight="15"/>
  <cols>
    <col min="2" max="2" width="58.7109375" customWidth="1"/>
    <col min="3" max="3" width="12.140625" customWidth="1"/>
    <col min="6" max="6" width="15.28515625" customWidth="1"/>
    <col min="7" max="7" width="16" customWidth="1"/>
    <col min="8" max="8" width="16.42578125" customWidth="1"/>
    <col min="9" max="9" width="20.85546875" style="5" customWidth="1"/>
    <col min="10" max="10" width="11.140625" customWidth="1"/>
    <col min="11" max="11" width="4.7109375" customWidth="1"/>
    <col min="12" max="12" width="13.28515625" style="5" customWidth="1"/>
    <col min="13" max="13" width="6.28515625" customWidth="1"/>
    <col min="14" max="14" width="16.7109375" customWidth="1"/>
    <col min="15" max="15" width="19" customWidth="1"/>
    <col min="16" max="16" width="17.140625" customWidth="1"/>
    <col min="17" max="17" width="23.7109375" customWidth="1"/>
    <col min="18" max="18" width="18.7109375" customWidth="1"/>
    <col min="19" max="20" width="16.85546875" customWidth="1"/>
    <col min="22" max="22" width="14.85546875" customWidth="1"/>
  </cols>
  <sheetData>
    <row r="1" spans="1:21">
      <c r="A1" s="1" t="s">
        <v>0</v>
      </c>
      <c r="C1" s="2"/>
      <c r="D1" s="2"/>
      <c r="E1" s="2"/>
      <c r="F1" s="3"/>
      <c r="G1" s="3"/>
      <c r="H1" s="3"/>
    </row>
    <row r="2" spans="1:21" ht="45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9" t="s">
        <v>7</v>
      </c>
      <c r="H2" s="8" t="s">
        <v>8</v>
      </c>
      <c r="I2" s="7" t="s">
        <v>9</v>
      </c>
      <c r="M2" s="4" t="s">
        <v>22</v>
      </c>
      <c r="N2" s="5"/>
      <c r="O2" s="5"/>
      <c r="P2" s="3"/>
    </row>
    <row r="3" spans="1:21" s="14" customFormat="1" ht="30">
      <c r="A3" s="102">
        <v>44228</v>
      </c>
      <c r="B3" s="103" t="s">
        <v>163</v>
      </c>
      <c r="C3" s="104" t="s">
        <v>164</v>
      </c>
      <c r="D3" s="104">
        <v>6</v>
      </c>
      <c r="E3" s="104" t="s">
        <v>26</v>
      </c>
      <c r="F3" s="107">
        <v>145000</v>
      </c>
      <c r="G3" s="107">
        <f>F3*D3</f>
        <v>870000</v>
      </c>
      <c r="H3" s="107">
        <f>SUM(G3)</f>
        <v>870000</v>
      </c>
      <c r="I3" s="108" t="s">
        <v>36</v>
      </c>
      <c r="J3" s="109">
        <v>44250</v>
      </c>
      <c r="M3" s="10" t="s">
        <v>10</v>
      </c>
      <c r="N3" s="11" t="s">
        <v>11</v>
      </c>
      <c r="O3" s="6" t="s">
        <v>12</v>
      </c>
      <c r="P3" s="9" t="s">
        <v>13</v>
      </c>
      <c r="Q3" s="7" t="s">
        <v>9</v>
      </c>
      <c r="T3"/>
      <c r="U3"/>
    </row>
    <row r="4" spans="1:21" s="14" customFormat="1">
      <c r="A4" s="80">
        <v>44228</v>
      </c>
      <c r="B4" s="81" t="s">
        <v>165</v>
      </c>
      <c r="C4" s="82" t="s">
        <v>63</v>
      </c>
      <c r="D4" s="82">
        <v>10</v>
      </c>
      <c r="E4" s="82" t="s">
        <v>26</v>
      </c>
      <c r="F4" s="75">
        <v>170000</v>
      </c>
      <c r="G4" s="75">
        <f>F4*D4</f>
        <v>1700000</v>
      </c>
      <c r="H4" s="732">
        <f>SUM(G4:G5)</f>
        <v>3400000</v>
      </c>
      <c r="I4" s="731" t="s">
        <v>67</v>
      </c>
      <c r="J4" s="730">
        <v>44242</v>
      </c>
      <c r="M4" s="50">
        <v>1</v>
      </c>
      <c r="N4" s="61">
        <v>44196</v>
      </c>
      <c r="O4" s="52" t="s">
        <v>49</v>
      </c>
      <c r="P4" s="56">
        <v>6175000</v>
      </c>
      <c r="Q4" s="245" t="s">
        <v>595</v>
      </c>
      <c r="R4" s="14" t="s">
        <v>667</v>
      </c>
      <c r="T4" s="179">
        <f>P11+P15+P16</f>
        <v>36626000</v>
      </c>
      <c r="U4" s="167">
        <v>3463</v>
      </c>
    </row>
    <row r="5" spans="1:21" s="14" customFormat="1">
      <c r="A5" s="83"/>
      <c r="B5" s="81" t="s">
        <v>166</v>
      </c>
      <c r="C5" s="82" t="s">
        <v>63</v>
      </c>
      <c r="D5" s="78">
        <v>10</v>
      </c>
      <c r="E5" s="78" t="s">
        <v>26</v>
      </c>
      <c r="F5" s="75">
        <v>170000</v>
      </c>
      <c r="G5" s="75">
        <f>F5*D5</f>
        <v>1700000</v>
      </c>
      <c r="H5" s="732"/>
      <c r="I5" s="731"/>
      <c r="J5" s="709"/>
      <c r="M5" s="26">
        <v>2</v>
      </c>
      <c r="N5" s="346">
        <v>44200</v>
      </c>
      <c r="O5" s="28" t="s">
        <v>28</v>
      </c>
      <c r="P5" s="347">
        <v>2150000</v>
      </c>
      <c r="Q5" s="348" t="s">
        <v>670</v>
      </c>
      <c r="U5" s="167">
        <v>4410</v>
      </c>
    </row>
    <row r="6" spans="1:21" s="14" customFormat="1">
      <c r="A6" s="23">
        <v>44228</v>
      </c>
      <c r="B6" s="21" t="s">
        <v>167</v>
      </c>
      <c r="C6" s="25" t="s">
        <v>33</v>
      </c>
      <c r="D6" s="41">
        <v>10</v>
      </c>
      <c r="E6" s="41" t="s">
        <v>26</v>
      </c>
      <c r="F6" s="737" t="s">
        <v>154</v>
      </c>
      <c r="G6" s="737"/>
      <c r="H6" s="57"/>
      <c r="M6" s="199">
        <v>3</v>
      </c>
      <c r="N6" s="198">
        <v>44205</v>
      </c>
      <c r="O6" s="195" t="s">
        <v>49</v>
      </c>
      <c r="P6" s="200">
        <v>22900000</v>
      </c>
      <c r="Q6" s="302" t="s">
        <v>596</v>
      </c>
      <c r="S6" s="22">
        <f>P6+P9+P13+P21+P12</f>
        <v>41770000</v>
      </c>
      <c r="U6" s="167">
        <v>2450</v>
      </c>
    </row>
    <row r="7" spans="1:21" s="14" customFormat="1">
      <c r="A7" s="159"/>
      <c r="B7" s="159" t="s">
        <v>168</v>
      </c>
      <c r="C7" s="174" t="s">
        <v>33</v>
      </c>
      <c r="D7" s="160">
        <v>10</v>
      </c>
      <c r="E7" s="160" t="s">
        <v>26</v>
      </c>
      <c r="F7" s="161">
        <v>70000</v>
      </c>
      <c r="G7" s="162">
        <f t="shared" ref="G7:G46" si="0">F7*D7</f>
        <v>700000</v>
      </c>
      <c r="H7" s="672">
        <f>SUM(G7:G8)</f>
        <v>2700000</v>
      </c>
      <c r="I7" s="675" t="s">
        <v>151</v>
      </c>
      <c r="J7" s="735">
        <v>44275</v>
      </c>
      <c r="M7" s="305">
        <v>4</v>
      </c>
      <c r="N7" s="306">
        <v>44205</v>
      </c>
      <c r="O7" s="307" t="s">
        <v>17</v>
      </c>
      <c r="P7" s="308">
        <v>4400000</v>
      </c>
      <c r="Q7" s="309" t="s">
        <v>597</v>
      </c>
      <c r="R7" s="14" t="s">
        <v>667</v>
      </c>
      <c r="T7" s="36">
        <f>P7+P14</f>
        <v>4815000</v>
      </c>
      <c r="U7" s="167">
        <v>5040</v>
      </c>
    </row>
    <row r="8" spans="1:21" s="14" customFormat="1">
      <c r="A8" s="159"/>
      <c r="B8" s="159" t="s">
        <v>169</v>
      </c>
      <c r="C8" s="174" t="s">
        <v>33</v>
      </c>
      <c r="D8" s="160">
        <v>10</v>
      </c>
      <c r="E8" s="160" t="s">
        <v>26</v>
      </c>
      <c r="F8" s="161">
        <v>200000</v>
      </c>
      <c r="G8" s="162">
        <f t="shared" si="0"/>
        <v>2000000</v>
      </c>
      <c r="H8" s="674"/>
      <c r="I8" s="676"/>
      <c r="J8" s="676"/>
      <c r="M8" s="98">
        <v>5</v>
      </c>
      <c r="N8" s="99">
        <v>44205</v>
      </c>
      <c r="O8" s="97" t="s">
        <v>18</v>
      </c>
      <c r="P8" s="95">
        <v>4025000</v>
      </c>
      <c r="Q8" s="256" t="s">
        <v>598</v>
      </c>
      <c r="R8" s="14" t="s">
        <v>667</v>
      </c>
      <c r="U8" s="167">
        <v>6100</v>
      </c>
    </row>
    <row r="9" spans="1:21" s="14" customFormat="1">
      <c r="A9" s="159"/>
      <c r="B9" s="159" t="s">
        <v>170</v>
      </c>
      <c r="C9" s="174" t="s">
        <v>33</v>
      </c>
      <c r="D9" s="160">
        <v>5</v>
      </c>
      <c r="E9" s="160" t="s">
        <v>26</v>
      </c>
      <c r="F9" s="161">
        <v>100000</v>
      </c>
      <c r="G9" s="162">
        <f t="shared" si="0"/>
        <v>500000</v>
      </c>
      <c r="H9" s="162">
        <f>SUM(G9)</f>
        <v>500000</v>
      </c>
      <c r="I9" s="677"/>
      <c r="J9" s="676"/>
      <c r="M9" s="341">
        <v>6</v>
      </c>
      <c r="N9" s="342">
        <v>44209</v>
      </c>
      <c r="O9" s="343" t="s">
        <v>20</v>
      </c>
      <c r="P9" s="344">
        <v>6000000</v>
      </c>
      <c r="Q9" s="345" t="s">
        <v>599</v>
      </c>
      <c r="U9" s="167">
        <v>5360</v>
      </c>
    </row>
    <row r="10" spans="1:21" s="14" customFormat="1">
      <c r="A10" s="181">
        <v>44229</v>
      </c>
      <c r="B10" s="182" t="s">
        <v>171</v>
      </c>
      <c r="C10" s="195" t="s">
        <v>49</v>
      </c>
      <c r="D10" s="183">
        <v>100</v>
      </c>
      <c r="E10" s="183" t="s">
        <v>26</v>
      </c>
      <c r="F10" s="184">
        <v>160000</v>
      </c>
      <c r="G10" s="184">
        <f t="shared" si="0"/>
        <v>16000000</v>
      </c>
      <c r="H10" s="687">
        <f>SUM(G10:G15)</f>
        <v>19801200</v>
      </c>
      <c r="I10" s="693" t="s">
        <v>151</v>
      </c>
      <c r="J10" s="662">
        <v>44292</v>
      </c>
      <c r="M10" s="314">
        <v>7</v>
      </c>
      <c r="N10" s="315">
        <v>44531</v>
      </c>
      <c r="O10" s="249" t="s">
        <v>18</v>
      </c>
      <c r="P10" s="250">
        <v>4050000</v>
      </c>
      <c r="Q10" s="316" t="s">
        <v>39</v>
      </c>
      <c r="T10" s="312"/>
      <c r="U10" s="167">
        <v>3778</v>
      </c>
    </row>
    <row r="11" spans="1:21" s="14" customFormat="1">
      <c r="A11" s="182"/>
      <c r="B11" s="182" t="s">
        <v>172</v>
      </c>
      <c r="C11" s="195" t="s">
        <v>49</v>
      </c>
      <c r="D11" s="183">
        <v>4</v>
      </c>
      <c r="E11" s="183" t="s">
        <v>26</v>
      </c>
      <c r="F11" s="184">
        <v>225000</v>
      </c>
      <c r="G11" s="184">
        <f t="shared" si="0"/>
        <v>900000</v>
      </c>
      <c r="H11" s="688"/>
      <c r="I11" s="663"/>
      <c r="J11" s="663"/>
      <c r="M11" s="176">
        <v>8</v>
      </c>
      <c r="N11" s="175">
        <v>44212</v>
      </c>
      <c r="O11" s="174" t="s">
        <v>33</v>
      </c>
      <c r="P11" s="161">
        <v>10323000</v>
      </c>
      <c r="Q11" s="253" t="s">
        <v>600</v>
      </c>
      <c r="R11" s="14" t="s">
        <v>667</v>
      </c>
      <c r="T11" s="296">
        <f>P11+P15+P16</f>
        <v>36626000</v>
      </c>
      <c r="U11" s="167">
        <v>3775</v>
      </c>
    </row>
    <row r="12" spans="1:21" s="14" customFormat="1">
      <c r="A12" s="182"/>
      <c r="B12" s="182" t="s">
        <v>173</v>
      </c>
      <c r="C12" s="195" t="s">
        <v>49</v>
      </c>
      <c r="D12" s="183">
        <v>12</v>
      </c>
      <c r="E12" s="183" t="s">
        <v>26</v>
      </c>
      <c r="F12" s="184">
        <v>20000</v>
      </c>
      <c r="G12" s="184">
        <f t="shared" si="0"/>
        <v>240000</v>
      </c>
      <c r="H12" s="688"/>
      <c r="I12" s="663"/>
      <c r="J12" s="663"/>
      <c r="M12" s="199">
        <v>9</v>
      </c>
      <c r="N12" s="198">
        <v>44212</v>
      </c>
      <c r="O12" s="195" t="s">
        <v>49</v>
      </c>
      <c r="P12" s="184">
        <v>3200000</v>
      </c>
      <c r="Q12" s="302" t="s">
        <v>596</v>
      </c>
      <c r="S12" s="22">
        <f>S6+R39</f>
        <v>100381000</v>
      </c>
      <c r="T12" s="34"/>
      <c r="U12" s="167">
        <v>2250</v>
      </c>
    </row>
    <row r="13" spans="1:21" s="14" customFormat="1">
      <c r="A13" s="182"/>
      <c r="B13" s="182" t="s">
        <v>174</v>
      </c>
      <c r="C13" s="195" t="s">
        <v>49</v>
      </c>
      <c r="D13" s="183">
        <v>1</v>
      </c>
      <c r="E13" s="183" t="s">
        <v>26</v>
      </c>
      <c r="F13" s="184">
        <v>900000</v>
      </c>
      <c r="G13" s="184">
        <f t="shared" si="0"/>
        <v>900000</v>
      </c>
      <c r="H13" s="688"/>
      <c r="I13" s="663"/>
      <c r="J13" s="663"/>
      <c r="M13" s="295">
        <v>10</v>
      </c>
      <c r="N13" s="287">
        <v>44249</v>
      </c>
      <c r="O13" s="289" t="s">
        <v>63</v>
      </c>
      <c r="P13" s="263">
        <v>6250000</v>
      </c>
      <c r="Q13" s="303" t="s">
        <v>505</v>
      </c>
      <c r="T13" s="296">
        <f>P13+P21</f>
        <v>9670000</v>
      </c>
      <c r="U13" s="167"/>
    </row>
    <row r="14" spans="1:21" s="14" customFormat="1">
      <c r="A14" s="182"/>
      <c r="B14" s="182" t="s">
        <v>175</v>
      </c>
      <c r="C14" s="195" t="s">
        <v>49</v>
      </c>
      <c r="D14" s="183">
        <v>1</v>
      </c>
      <c r="E14" s="183" t="s">
        <v>26</v>
      </c>
      <c r="F14" s="184">
        <v>950000</v>
      </c>
      <c r="G14" s="184">
        <f t="shared" si="0"/>
        <v>950000</v>
      </c>
      <c r="H14" s="688"/>
      <c r="I14" s="663"/>
      <c r="J14" s="663"/>
      <c r="M14" s="305">
        <v>11</v>
      </c>
      <c r="N14" s="306">
        <v>44214</v>
      </c>
      <c r="O14" s="307" t="s">
        <v>17</v>
      </c>
      <c r="P14" s="308">
        <v>415000</v>
      </c>
      <c r="Q14" s="309" t="s">
        <v>597</v>
      </c>
      <c r="R14" s="14" t="s">
        <v>667</v>
      </c>
      <c r="T14" s="34"/>
      <c r="U14" s="167">
        <f>SUM(U4:U13)</f>
        <v>36626</v>
      </c>
    </row>
    <row r="15" spans="1:21" s="14" customFormat="1">
      <c r="A15" s="182"/>
      <c r="B15" s="182" t="s">
        <v>176</v>
      </c>
      <c r="C15" s="195" t="s">
        <v>49</v>
      </c>
      <c r="D15" s="183">
        <v>208</v>
      </c>
      <c r="E15" s="183" t="s">
        <v>26</v>
      </c>
      <c r="F15" s="184">
        <v>3900</v>
      </c>
      <c r="G15" s="184">
        <f t="shared" si="0"/>
        <v>811200</v>
      </c>
      <c r="H15" s="689"/>
      <c r="I15" s="694"/>
      <c r="J15" s="663"/>
      <c r="M15" s="176">
        <v>12</v>
      </c>
      <c r="N15" s="175">
        <v>44214</v>
      </c>
      <c r="O15" s="174" t="s">
        <v>33</v>
      </c>
      <c r="P15" s="161">
        <v>16500000</v>
      </c>
      <c r="Q15" s="253" t="s">
        <v>600</v>
      </c>
      <c r="R15" s="14" t="s">
        <v>667</v>
      </c>
      <c r="T15" s="296">
        <f>SUM(P13+P21)</f>
        <v>9670000</v>
      </c>
      <c r="U15" s="34"/>
    </row>
    <row r="16" spans="1:21" s="14" customFormat="1">
      <c r="A16" s="92">
        <v>44231</v>
      </c>
      <c r="B16" s="93" t="s">
        <v>178</v>
      </c>
      <c r="C16" s="97" t="s">
        <v>18</v>
      </c>
      <c r="D16" s="94">
        <v>5</v>
      </c>
      <c r="E16" s="94" t="s">
        <v>26</v>
      </c>
      <c r="F16" s="95">
        <v>75000</v>
      </c>
      <c r="G16" s="95">
        <f t="shared" si="0"/>
        <v>375000</v>
      </c>
      <c r="H16" s="690">
        <f>SUM(G16:G29)</f>
        <v>10800000</v>
      </c>
      <c r="I16" s="695" t="s">
        <v>35</v>
      </c>
      <c r="J16" s="668">
        <v>44249</v>
      </c>
      <c r="M16" s="176">
        <v>13</v>
      </c>
      <c r="N16" s="175">
        <v>44219</v>
      </c>
      <c r="O16" s="174" t="s">
        <v>33</v>
      </c>
      <c r="P16" s="161">
        <v>9803000</v>
      </c>
      <c r="Q16" s="253" t="s">
        <v>600</v>
      </c>
      <c r="R16" s="14" t="s">
        <v>667</v>
      </c>
    </row>
    <row r="17" spans="1:22" s="14" customFormat="1">
      <c r="A17" s="93"/>
      <c r="B17" s="93" t="s">
        <v>179</v>
      </c>
      <c r="C17" s="97" t="s">
        <v>18</v>
      </c>
      <c r="D17" s="94">
        <v>5</v>
      </c>
      <c r="E17" s="94" t="s">
        <v>26</v>
      </c>
      <c r="F17" s="95">
        <v>65000</v>
      </c>
      <c r="G17" s="95">
        <f t="shared" si="0"/>
        <v>325000</v>
      </c>
      <c r="H17" s="691"/>
      <c r="I17" s="696"/>
      <c r="J17" s="669"/>
      <c r="M17" s="391">
        <v>14</v>
      </c>
      <c r="N17" s="392">
        <v>44219</v>
      </c>
      <c r="O17" s="393" t="s">
        <v>21</v>
      </c>
      <c r="P17" s="211">
        <v>2200000</v>
      </c>
      <c r="Q17" s="208" t="s">
        <v>737</v>
      </c>
    </row>
    <row r="18" spans="1:22" s="14" customFormat="1">
      <c r="A18" s="93"/>
      <c r="B18" s="93" t="s">
        <v>180</v>
      </c>
      <c r="C18" s="97" t="s">
        <v>18</v>
      </c>
      <c r="D18" s="94">
        <v>10</v>
      </c>
      <c r="E18" s="94" t="s">
        <v>26</v>
      </c>
      <c r="F18" s="95">
        <v>110000</v>
      </c>
      <c r="G18" s="95">
        <f t="shared" si="0"/>
        <v>1100000</v>
      </c>
      <c r="H18" s="691"/>
      <c r="I18" s="696"/>
      <c r="J18" s="669"/>
      <c r="M18" s="120">
        <v>15</v>
      </c>
      <c r="N18" s="123">
        <v>44222</v>
      </c>
      <c r="O18" s="122" t="s">
        <v>148</v>
      </c>
      <c r="P18" s="117">
        <v>4500000</v>
      </c>
      <c r="Q18" s="311" t="s">
        <v>601</v>
      </c>
      <c r="R18" s="14" t="s">
        <v>667</v>
      </c>
      <c r="S18" s="36">
        <f>SUM(P7+P14+P22)</f>
        <v>6415000</v>
      </c>
      <c r="U18" s="42">
        <v>44252</v>
      </c>
    </row>
    <row r="19" spans="1:22" s="14" customFormat="1">
      <c r="A19" s="93"/>
      <c r="B19" s="93" t="s">
        <v>181</v>
      </c>
      <c r="C19" s="97" t="s">
        <v>18</v>
      </c>
      <c r="D19" s="94">
        <v>20</v>
      </c>
      <c r="E19" s="94" t="s">
        <v>26</v>
      </c>
      <c r="F19" s="95">
        <v>80000</v>
      </c>
      <c r="G19" s="95">
        <f t="shared" si="0"/>
        <v>1600000</v>
      </c>
      <c r="H19" s="691"/>
      <c r="I19" s="696"/>
      <c r="J19" s="669"/>
      <c r="M19" s="470">
        <v>16</v>
      </c>
      <c r="N19" s="409">
        <v>44249</v>
      </c>
      <c r="O19" s="271" t="s">
        <v>63</v>
      </c>
      <c r="P19" s="273">
        <v>1050000</v>
      </c>
      <c r="Q19" s="422" t="s">
        <v>933</v>
      </c>
    </row>
    <row r="20" spans="1:22" s="14" customFormat="1">
      <c r="A20" s="93"/>
      <c r="B20" s="93" t="s">
        <v>182</v>
      </c>
      <c r="C20" s="97" t="s">
        <v>18</v>
      </c>
      <c r="D20" s="94">
        <v>5</v>
      </c>
      <c r="E20" s="94" t="s">
        <v>26</v>
      </c>
      <c r="F20" s="95">
        <v>40000</v>
      </c>
      <c r="G20" s="95">
        <f t="shared" si="0"/>
        <v>200000</v>
      </c>
      <c r="H20" s="691"/>
      <c r="I20" s="696"/>
      <c r="J20" s="669"/>
      <c r="M20" s="120">
        <v>17</v>
      </c>
      <c r="N20" s="123">
        <v>44228</v>
      </c>
      <c r="O20" s="122" t="s">
        <v>164</v>
      </c>
      <c r="P20" s="117">
        <v>870000</v>
      </c>
      <c r="Q20" s="311" t="s">
        <v>601</v>
      </c>
      <c r="R20" s="14" t="s">
        <v>667</v>
      </c>
      <c r="S20" s="36">
        <f>P7+P14</f>
        <v>4815000</v>
      </c>
      <c r="U20" s="42">
        <v>44252</v>
      </c>
    </row>
    <row r="21" spans="1:22" s="14" customFormat="1">
      <c r="A21" s="93"/>
      <c r="B21" s="93" t="s">
        <v>183</v>
      </c>
      <c r="C21" s="97" t="s">
        <v>18</v>
      </c>
      <c r="D21" s="94">
        <v>15</v>
      </c>
      <c r="E21" s="94" t="s">
        <v>26</v>
      </c>
      <c r="F21" s="95">
        <v>35000</v>
      </c>
      <c r="G21" s="95">
        <f t="shared" si="0"/>
        <v>525000</v>
      </c>
      <c r="H21" s="691"/>
      <c r="I21" s="696"/>
      <c r="J21" s="669"/>
      <c r="M21" s="295">
        <v>18</v>
      </c>
      <c r="N21" s="287">
        <v>44259</v>
      </c>
      <c r="O21" s="289" t="s">
        <v>63</v>
      </c>
      <c r="P21" s="263">
        <v>3420000</v>
      </c>
      <c r="Q21" s="303" t="s">
        <v>505</v>
      </c>
    </row>
    <row r="22" spans="1:22" s="14" customFormat="1">
      <c r="A22" s="93"/>
      <c r="B22" s="93" t="s">
        <v>184</v>
      </c>
      <c r="C22" s="97" t="s">
        <v>18</v>
      </c>
      <c r="D22" s="94">
        <v>10</v>
      </c>
      <c r="E22" s="94" t="s">
        <v>26</v>
      </c>
      <c r="F22" s="95">
        <v>40000</v>
      </c>
      <c r="G22" s="95">
        <f t="shared" si="0"/>
        <v>400000</v>
      </c>
      <c r="H22" s="691"/>
      <c r="I22" s="696"/>
      <c r="J22" s="669"/>
      <c r="M22" s="247">
        <v>20</v>
      </c>
      <c r="N22" s="310">
        <v>44249</v>
      </c>
      <c r="O22" s="104" t="s">
        <v>17</v>
      </c>
      <c r="P22" s="252">
        <v>1600000</v>
      </c>
      <c r="Q22" s="304" t="s">
        <v>505</v>
      </c>
      <c r="R22" s="14" t="s">
        <v>667</v>
      </c>
    </row>
    <row r="23" spans="1:22" s="14" customFormat="1">
      <c r="A23" s="93"/>
      <c r="B23" s="93" t="s">
        <v>238</v>
      </c>
      <c r="C23" s="97" t="s">
        <v>18</v>
      </c>
      <c r="D23" s="94">
        <v>15</v>
      </c>
      <c r="E23" s="94" t="s">
        <v>26</v>
      </c>
      <c r="F23" s="95">
        <v>35000</v>
      </c>
      <c r="G23" s="95">
        <f t="shared" si="0"/>
        <v>525000</v>
      </c>
      <c r="H23" s="691"/>
      <c r="I23" s="696"/>
      <c r="J23" s="669"/>
      <c r="M23" s="387">
        <v>21</v>
      </c>
      <c r="N23" s="388">
        <v>44316</v>
      </c>
      <c r="O23" s="389" t="s">
        <v>60</v>
      </c>
      <c r="P23" s="390">
        <v>30800000</v>
      </c>
      <c r="Q23" s="387" t="s">
        <v>733</v>
      </c>
    </row>
    <row r="24" spans="1:22" s="14" customFormat="1">
      <c r="A24" s="93"/>
      <c r="B24" s="93" t="s">
        <v>185</v>
      </c>
      <c r="C24" s="97" t="s">
        <v>18</v>
      </c>
      <c r="D24" s="94">
        <v>5</v>
      </c>
      <c r="E24" s="94" t="s">
        <v>26</v>
      </c>
      <c r="F24" s="95">
        <v>75000</v>
      </c>
      <c r="G24" s="95">
        <f t="shared" si="0"/>
        <v>375000</v>
      </c>
      <c r="H24" s="691"/>
      <c r="I24" s="696"/>
      <c r="J24" s="669"/>
      <c r="N24" s="39"/>
      <c r="T24" s="39" t="s">
        <v>662</v>
      </c>
      <c r="V24" s="39"/>
    </row>
    <row r="25" spans="1:22" s="14" customFormat="1">
      <c r="A25" s="93"/>
      <c r="B25" s="93" t="s">
        <v>186</v>
      </c>
      <c r="C25" s="97" t="s">
        <v>18</v>
      </c>
      <c r="D25" s="94">
        <v>5</v>
      </c>
      <c r="E25" s="94" t="s">
        <v>26</v>
      </c>
      <c r="F25" s="95">
        <v>125000</v>
      </c>
      <c r="G25" s="95">
        <f t="shared" si="0"/>
        <v>625000</v>
      </c>
      <c r="H25" s="691"/>
      <c r="I25" s="696"/>
      <c r="J25" s="669"/>
      <c r="N25" s="39"/>
      <c r="P25" s="22">
        <f>SUM(P4:P24)</f>
        <v>140631000</v>
      </c>
      <c r="Q25" s="14" t="s">
        <v>657</v>
      </c>
      <c r="T25" s="340">
        <v>6175000</v>
      </c>
      <c r="U25" s="14" t="s">
        <v>658</v>
      </c>
      <c r="V25" s="39"/>
    </row>
    <row r="26" spans="1:22" s="14" customFormat="1">
      <c r="A26" s="93"/>
      <c r="B26" s="93" t="s">
        <v>187</v>
      </c>
      <c r="C26" s="97" t="s">
        <v>18</v>
      </c>
      <c r="D26" s="94">
        <v>20</v>
      </c>
      <c r="E26" s="94" t="s">
        <v>26</v>
      </c>
      <c r="F26" s="95">
        <v>100000</v>
      </c>
      <c r="G26" s="95">
        <f t="shared" si="0"/>
        <v>2000000</v>
      </c>
      <c r="H26" s="691"/>
      <c r="I26" s="696"/>
      <c r="J26" s="669"/>
      <c r="T26" s="340">
        <v>4025000</v>
      </c>
      <c r="U26" s="14" t="s">
        <v>659</v>
      </c>
      <c r="V26" s="39"/>
    </row>
    <row r="27" spans="1:22" s="14" customFormat="1">
      <c r="A27" s="93"/>
      <c r="B27" s="93" t="s">
        <v>188</v>
      </c>
      <c r="C27" s="97" t="s">
        <v>18</v>
      </c>
      <c r="D27" s="94">
        <v>10</v>
      </c>
      <c r="E27" s="94" t="s">
        <v>26</v>
      </c>
      <c r="F27" s="95">
        <v>125000</v>
      </c>
      <c r="G27" s="95">
        <f t="shared" si="0"/>
        <v>1250000</v>
      </c>
      <c r="H27" s="691"/>
      <c r="I27" s="696"/>
      <c r="J27" s="669"/>
      <c r="P27" s="22">
        <f>P4+P6+P7+P8+P9+P11+P12+P13+P14+P15+P16+P18+P20+P21+P22</f>
        <v>100381000</v>
      </c>
      <c r="Q27" s="14" t="s">
        <v>654</v>
      </c>
      <c r="T27" s="340">
        <v>36626000</v>
      </c>
      <c r="U27" s="14" t="s">
        <v>660</v>
      </c>
      <c r="V27" s="39"/>
    </row>
    <row r="28" spans="1:22" s="14" customFormat="1">
      <c r="A28" s="93"/>
      <c r="B28" s="93" t="s">
        <v>189</v>
      </c>
      <c r="C28" s="97" t="s">
        <v>18</v>
      </c>
      <c r="D28" s="94">
        <v>5</v>
      </c>
      <c r="E28" s="94" t="s">
        <v>26</v>
      </c>
      <c r="F28" s="95">
        <v>140000</v>
      </c>
      <c r="G28" s="95">
        <f t="shared" si="0"/>
        <v>700000</v>
      </c>
      <c r="H28" s="691"/>
      <c r="I28" s="696"/>
      <c r="J28" s="669"/>
      <c r="T28" s="340">
        <v>4815000</v>
      </c>
      <c r="U28" s="14" t="s">
        <v>661</v>
      </c>
      <c r="V28" s="39"/>
    </row>
    <row r="29" spans="1:22" s="14" customFormat="1">
      <c r="A29" s="93"/>
      <c r="B29" s="93" t="s">
        <v>190</v>
      </c>
      <c r="C29" s="97" t="s">
        <v>18</v>
      </c>
      <c r="D29" s="94">
        <v>5</v>
      </c>
      <c r="E29" s="94" t="s">
        <v>26</v>
      </c>
      <c r="F29" s="95">
        <v>160000</v>
      </c>
      <c r="G29" s="95">
        <f t="shared" si="0"/>
        <v>800000</v>
      </c>
      <c r="H29" s="692"/>
      <c r="I29" s="697"/>
      <c r="J29" s="669"/>
      <c r="P29" s="22">
        <f>P5+P10+P23</f>
        <v>37000000</v>
      </c>
      <c r="Q29" s="14" t="s">
        <v>655</v>
      </c>
      <c r="T29" s="36"/>
    </row>
    <row r="30" spans="1:22" s="14" customFormat="1">
      <c r="A30" s="148">
        <v>44232</v>
      </c>
      <c r="B30" s="387" t="s">
        <v>191</v>
      </c>
      <c r="C30" s="389" t="s">
        <v>21</v>
      </c>
      <c r="D30" s="403">
        <v>2</v>
      </c>
      <c r="E30" s="403" t="s">
        <v>61</v>
      </c>
      <c r="F30" s="404">
        <v>1100000</v>
      </c>
      <c r="G30" s="404">
        <f t="shared" si="0"/>
        <v>2200000</v>
      </c>
      <c r="H30" s="452">
        <f>G30</f>
        <v>2200000</v>
      </c>
      <c r="I30" s="733" t="s">
        <v>151</v>
      </c>
      <c r="J30" s="736" t="s">
        <v>860</v>
      </c>
      <c r="L30" s="39"/>
      <c r="T30" s="36"/>
    </row>
    <row r="31" spans="1:22" s="14" customFormat="1">
      <c r="A31" s="148">
        <v>44232</v>
      </c>
      <c r="B31" s="387" t="s">
        <v>192</v>
      </c>
      <c r="C31" s="389" t="s">
        <v>21</v>
      </c>
      <c r="D31" s="403">
        <v>1</v>
      </c>
      <c r="E31" s="403" t="s">
        <v>61</v>
      </c>
      <c r="F31" s="404">
        <v>9900000</v>
      </c>
      <c r="G31" s="404">
        <f t="shared" si="0"/>
        <v>9900000</v>
      </c>
      <c r="H31" s="452">
        <f>G31</f>
        <v>9900000</v>
      </c>
      <c r="I31" s="734"/>
      <c r="J31" s="736"/>
      <c r="L31" s="39"/>
      <c r="P31" s="36">
        <f>P17+P19</f>
        <v>3250000</v>
      </c>
      <c r="Q31" s="14" t="s">
        <v>656</v>
      </c>
      <c r="T31" s="36">
        <f>SUM(T25:T30)</f>
        <v>51641000</v>
      </c>
      <c r="V31" s="36">
        <v>60000000</v>
      </c>
    </row>
    <row r="32" spans="1:22" s="14" customFormat="1">
      <c r="A32" s="163">
        <v>44232</v>
      </c>
      <c r="B32" s="159" t="s">
        <v>193</v>
      </c>
      <c r="C32" s="174" t="s">
        <v>33</v>
      </c>
      <c r="D32" s="160">
        <v>3</v>
      </c>
      <c r="E32" s="160" t="s">
        <v>134</v>
      </c>
      <c r="F32" s="161">
        <v>110000</v>
      </c>
      <c r="G32" s="161">
        <f t="shared" si="0"/>
        <v>330000</v>
      </c>
      <c r="H32" s="161">
        <f>G32</f>
        <v>330000</v>
      </c>
      <c r="I32" s="164" t="s">
        <v>151</v>
      </c>
      <c r="J32" s="168">
        <v>44275</v>
      </c>
      <c r="L32" s="39"/>
      <c r="V32" s="36">
        <f>V31-T31</f>
        <v>8359000</v>
      </c>
    </row>
    <row r="33" spans="1:22" s="14" customFormat="1">
      <c r="A33" s="159"/>
      <c r="B33" s="159" t="s">
        <v>187</v>
      </c>
      <c r="C33" s="174" t="s">
        <v>33</v>
      </c>
      <c r="D33" s="160">
        <v>10</v>
      </c>
      <c r="E33" s="160" t="s">
        <v>26</v>
      </c>
      <c r="F33" s="161">
        <v>85000</v>
      </c>
      <c r="G33" s="161">
        <f t="shared" si="0"/>
        <v>850000</v>
      </c>
      <c r="H33" s="161">
        <f>G33</f>
        <v>850000</v>
      </c>
      <c r="I33" s="164" t="s">
        <v>151</v>
      </c>
      <c r="J33" s="168">
        <v>44275</v>
      </c>
      <c r="L33" s="39"/>
      <c r="O33" s="14" t="s">
        <v>669</v>
      </c>
      <c r="P33" s="22">
        <f>P4+P7+P8+P11+P14+P15+P16+P18+P20+P22</f>
        <v>58611000</v>
      </c>
      <c r="Q33" s="14" t="s">
        <v>668</v>
      </c>
      <c r="R33" s="36">
        <f>T31+T35+T37</f>
        <v>58611000</v>
      </c>
      <c r="T33" s="14" t="s">
        <v>663</v>
      </c>
      <c r="V33" s="36">
        <f>V31-P33</f>
        <v>1389000</v>
      </c>
    </row>
    <row r="34" spans="1:22" s="14" customFormat="1">
      <c r="A34" s="23">
        <v>44233</v>
      </c>
      <c r="B34" s="21" t="s">
        <v>194</v>
      </c>
      <c r="C34" s="25" t="s">
        <v>25</v>
      </c>
      <c r="D34" s="41">
        <v>1</v>
      </c>
      <c r="E34" s="41" t="s">
        <v>26</v>
      </c>
      <c r="F34" s="24"/>
      <c r="G34" s="24">
        <f t="shared" si="0"/>
        <v>0</v>
      </c>
      <c r="H34" s="24"/>
      <c r="I34" s="25"/>
      <c r="L34" s="39"/>
      <c r="T34" s="36">
        <v>6000000</v>
      </c>
      <c r="U34" s="14" t="s">
        <v>664</v>
      </c>
    </row>
    <row r="35" spans="1:22" s="14" customFormat="1">
      <c r="A35" s="181">
        <v>44235</v>
      </c>
      <c r="B35" s="182" t="s">
        <v>195</v>
      </c>
      <c r="C35" s="195" t="s">
        <v>49</v>
      </c>
      <c r="D35" s="183">
        <v>5</v>
      </c>
      <c r="E35" s="183" t="s">
        <v>26</v>
      </c>
      <c r="F35" s="184">
        <v>85000</v>
      </c>
      <c r="G35" s="184">
        <f t="shared" si="0"/>
        <v>425000</v>
      </c>
      <c r="H35" s="687">
        <f>SUM(G35:G41)</f>
        <v>2985000</v>
      </c>
      <c r="I35" s="693" t="s">
        <v>151</v>
      </c>
      <c r="J35" s="664">
        <v>44292</v>
      </c>
      <c r="L35" s="39"/>
      <c r="T35" s="340">
        <v>5370000</v>
      </c>
      <c r="U35" s="14" t="s">
        <v>658</v>
      </c>
    </row>
    <row r="36" spans="1:22" s="14" customFormat="1">
      <c r="A36" s="182"/>
      <c r="B36" s="182" t="s">
        <v>196</v>
      </c>
      <c r="C36" s="195" t="s">
        <v>49</v>
      </c>
      <c r="D36" s="183">
        <v>10</v>
      </c>
      <c r="E36" s="183" t="s">
        <v>26</v>
      </c>
      <c r="F36" s="184">
        <v>18000</v>
      </c>
      <c r="G36" s="184">
        <f t="shared" si="0"/>
        <v>180000</v>
      </c>
      <c r="H36" s="688"/>
      <c r="I36" s="663"/>
      <c r="J36" s="665"/>
      <c r="L36" s="39"/>
      <c r="T36" s="36">
        <v>26100000</v>
      </c>
      <c r="U36" s="14" t="s">
        <v>665</v>
      </c>
    </row>
    <row r="37" spans="1:22" s="14" customFormat="1">
      <c r="A37" s="182"/>
      <c r="B37" s="182" t="s">
        <v>197</v>
      </c>
      <c r="C37" s="195" t="s">
        <v>49</v>
      </c>
      <c r="D37" s="183">
        <v>10</v>
      </c>
      <c r="E37" s="183" t="s">
        <v>26</v>
      </c>
      <c r="F37" s="184">
        <v>18000</v>
      </c>
      <c r="G37" s="184">
        <f t="shared" si="0"/>
        <v>180000</v>
      </c>
      <c r="H37" s="688"/>
      <c r="I37" s="663"/>
      <c r="J37" s="665"/>
      <c r="L37" s="39"/>
      <c r="T37" s="340">
        <v>1600000</v>
      </c>
      <c r="U37" s="14" t="s">
        <v>661</v>
      </c>
    </row>
    <row r="38" spans="1:22" s="14" customFormat="1">
      <c r="A38" s="182"/>
      <c r="B38" s="182" t="s">
        <v>199</v>
      </c>
      <c r="C38" s="195" t="s">
        <v>49</v>
      </c>
      <c r="D38" s="183">
        <v>5</v>
      </c>
      <c r="E38" s="183" t="s">
        <v>26</v>
      </c>
      <c r="F38" s="184">
        <v>130000</v>
      </c>
      <c r="G38" s="184">
        <f t="shared" si="0"/>
        <v>650000</v>
      </c>
      <c r="H38" s="688"/>
      <c r="I38" s="663"/>
      <c r="J38" s="665"/>
      <c r="L38" s="39"/>
      <c r="R38" s="36">
        <f>T31+T35</f>
        <v>57011000</v>
      </c>
      <c r="T38" s="36">
        <v>9670000</v>
      </c>
      <c r="U38" s="14" t="s">
        <v>666</v>
      </c>
    </row>
    <row r="39" spans="1:22" s="14" customFormat="1">
      <c r="A39" s="182"/>
      <c r="B39" s="182" t="s">
        <v>198</v>
      </c>
      <c r="C39" s="195" t="s">
        <v>49</v>
      </c>
      <c r="D39" s="183">
        <v>5</v>
      </c>
      <c r="E39" s="183" t="s">
        <v>26</v>
      </c>
      <c r="F39" s="184">
        <v>130000</v>
      </c>
      <c r="G39" s="184">
        <f t="shared" si="0"/>
        <v>650000</v>
      </c>
      <c r="H39" s="688"/>
      <c r="I39" s="663"/>
      <c r="J39" s="665"/>
      <c r="L39" s="39"/>
      <c r="R39" s="36">
        <f>R38+T37</f>
        <v>58611000</v>
      </c>
    </row>
    <row r="40" spans="1:22" s="14" customFormat="1">
      <c r="A40" s="182"/>
      <c r="B40" s="182" t="s">
        <v>200</v>
      </c>
      <c r="C40" s="195" t="s">
        <v>49</v>
      </c>
      <c r="D40" s="183">
        <v>10</v>
      </c>
      <c r="E40" s="183" t="s">
        <v>26</v>
      </c>
      <c r="F40" s="184">
        <v>45000</v>
      </c>
      <c r="G40" s="184">
        <f t="shared" si="0"/>
        <v>450000</v>
      </c>
      <c r="H40" s="688"/>
      <c r="I40" s="663"/>
      <c r="J40" s="665"/>
      <c r="L40" s="39"/>
      <c r="V40" s="22">
        <f>P6+P9+P12+P13+P21</f>
        <v>41770000</v>
      </c>
    </row>
    <row r="41" spans="1:22" s="14" customFormat="1">
      <c r="A41" s="182"/>
      <c r="B41" s="182" t="s">
        <v>201</v>
      </c>
      <c r="C41" s="195" t="s">
        <v>49</v>
      </c>
      <c r="D41" s="183">
        <v>10</v>
      </c>
      <c r="E41" s="183" t="s">
        <v>26</v>
      </c>
      <c r="F41" s="184">
        <v>45000</v>
      </c>
      <c r="G41" s="184">
        <f t="shared" si="0"/>
        <v>450000</v>
      </c>
      <c r="H41" s="689"/>
      <c r="I41" s="694"/>
      <c r="J41" s="665"/>
      <c r="L41" s="39"/>
    </row>
    <row r="42" spans="1:22" s="14" customFormat="1">
      <c r="A42" s="23">
        <v>44235</v>
      </c>
      <c r="B42" s="21" t="s">
        <v>202</v>
      </c>
      <c r="C42" s="25" t="s">
        <v>204</v>
      </c>
      <c r="D42" s="41">
        <v>1</v>
      </c>
      <c r="E42" s="41" t="s">
        <v>61</v>
      </c>
      <c r="F42" s="24"/>
      <c r="G42" s="24">
        <f t="shared" si="0"/>
        <v>0</v>
      </c>
      <c r="H42" s="24"/>
      <c r="I42" s="25" t="s">
        <v>205</v>
      </c>
      <c r="L42" s="39"/>
    </row>
    <row r="43" spans="1:22" s="14" customFormat="1">
      <c r="A43" s="21"/>
      <c r="B43" s="21" t="s">
        <v>203</v>
      </c>
      <c r="C43" s="25" t="s">
        <v>204</v>
      </c>
      <c r="D43" s="41">
        <v>1</v>
      </c>
      <c r="E43" s="41" t="s">
        <v>61</v>
      </c>
      <c r="F43" s="24"/>
      <c r="G43" s="24">
        <f t="shared" si="0"/>
        <v>0</v>
      </c>
      <c r="H43" s="24"/>
      <c r="I43" s="25" t="s">
        <v>205</v>
      </c>
      <c r="L43" s="39"/>
      <c r="V43" s="22">
        <f>V40+P33</f>
        <v>100381000</v>
      </c>
    </row>
    <row r="44" spans="1:22" s="14" customFormat="1">
      <c r="A44" s="163">
        <v>44239</v>
      </c>
      <c r="B44" s="159" t="s">
        <v>206</v>
      </c>
      <c r="C44" s="174" t="s">
        <v>33</v>
      </c>
      <c r="D44" s="160">
        <v>2</v>
      </c>
      <c r="E44" s="160" t="s">
        <v>26</v>
      </c>
      <c r="F44" s="161">
        <v>275000</v>
      </c>
      <c r="G44" s="161">
        <f t="shared" si="0"/>
        <v>550000</v>
      </c>
      <c r="H44" s="161">
        <f>SUM(G44)</f>
        <v>550000</v>
      </c>
      <c r="I44" s="174" t="s">
        <v>151</v>
      </c>
      <c r="J44" s="168">
        <v>44275</v>
      </c>
      <c r="L44" s="39"/>
      <c r="R44" s="36" t="e">
        <f>T31+#REF!</f>
        <v>#REF!</v>
      </c>
    </row>
    <row r="45" spans="1:22" s="14" customFormat="1">
      <c r="A45" s="51">
        <v>44239</v>
      </c>
      <c r="B45" s="73" t="s">
        <v>207</v>
      </c>
      <c r="C45" s="52" t="s">
        <v>164</v>
      </c>
      <c r="D45" s="74">
        <v>100</v>
      </c>
      <c r="E45" s="74" t="s">
        <v>26</v>
      </c>
      <c r="F45" s="53">
        <v>35000</v>
      </c>
      <c r="G45" s="53">
        <f t="shared" si="0"/>
        <v>3500000</v>
      </c>
      <c r="H45" s="53">
        <f>SUM(G45)</f>
        <v>3500000</v>
      </c>
      <c r="I45" s="52" t="s">
        <v>151</v>
      </c>
      <c r="J45" s="77"/>
      <c r="K45" s="54"/>
      <c r="L45" s="39"/>
      <c r="V45" s="14">
        <v>100000000</v>
      </c>
    </row>
    <row r="46" spans="1:22" s="14" customFormat="1">
      <c r="A46" s="201">
        <v>44240</v>
      </c>
      <c r="B46" s="202" t="s">
        <v>208</v>
      </c>
      <c r="C46" s="203" t="s">
        <v>28</v>
      </c>
      <c r="D46" s="204">
        <v>1</v>
      </c>
      <c r="E46" s="204" t="s">
        <v>26</v>
      </c>
      <c r="F46" s="205">
        <v>2800000</v>
      </c>
      <c r="G46" s="205">
        <f t="shared" si="0"/>
        <v>2800000</v>
      </c>
      <c r="H46" s="205">
        <f>SUM(G46)</f>
        <v>2800000</v>
      </c>
      <c r="I46" s="203" t="s">
        <v>67</v>
      </c>
      <c r="J46" s="206" t="s">
        <v>415</v>
      </c>
      <c r="K46" s="206"/>
      <c r="L46" s="39"/>
    </row>
    <row r="47" spans="1:22" s="14" customFormat="1">
      <c r="A47" s="23">
        <v>44243</v>
      </c>
      <c r="B47" s="21" t="s">
        <v>210</v>
      </c>
      <c r="C47" s="25" t="s">
        <v>204</v>
      </c>
      <c r="D47" s="41">
        <v>1</v>
      </c>
      <c r="E47" s="41" t="s">
        <v>61</v>
      </c>
      <c r="F47" s="24"/>
      <c r="G47" s="24"/>
      <c r="H47" s="24"/>
      <c r="I47" s="25" t="s">
        <v>205</v>
      </c>
      <c r="L47" s="39"/>
      <c r="V47" s="22">
        <f>V43-V45</f>
        <v>381000</v>
      </c>
    </row>
    <row r="48" spans="1:22" s="14" customFormat="1">
      <c r="A48" s="21"/>
      <c r="B48" s="21" t="s">
        <v>211</v>
      </c>
      <c r="C48" s="25" t="s">
        <v>204</v>
      </c>
      <c r="D48" s="41">
        <v>1</v>
      </c>
      <c r="E48" s="41" t="s">
        <v>61</v>
      </c>
      <c r="F48" s="24"/>
      <c r="G48" s="24"/>
      <c r="H48" s="24"/>
      <c r="I48" s="25" t="s">
        <v>205</v>
      </c>
      <c r="L48" s="39"/>
    </row>
    <row r="49" spans="1:18" s="14" customFormat="1">
      <c r="A49" s="21"/>
      <c r="B49" s="21" t="s">
        <v>212</v>
      </c>
      <c r="C49" s="25" t="s">
        <v>204</v>
      </c>
      <c r="D49" s="41">
        <v>1</v>
      </c>
      <c r="E49" s="41" t="s">
        <v>61</v>
      </c>
      <c r="F49" s="24"/>
      <c r="G49" s="24"/>
      <c r="H49" s="24"/>
      <c r="I49" s="25" t="s">
        <v>205</v>
      </c>
      <c r="L49" s="39"/>
      <c r="R49" s="340">
        <v>6175000</v>
      </c>
    </row>
    <row r="50" spans="1:18" s="14" customFormat="1">
      <c r="A50" s="51">
        <v>44247</v>
      </c>
      <c r="B50" s="73" t="s">
        <v>213</v>
      </c>
      <c r="C50" s="52" t="s">
        <v>164</v>
      </c>
      <c r="D50" s="74">
        <v>2</v>
      </c>
      <c r="E50" s="74" t="s">
        <v>26</v>
      </c>
      <c r="F50" s="53">
        <v>625000</v>
      </c>
      <c r="G50" s="53">
        <f>F50*D50</f>
        <v>1250000</v>
      </c>
      <c r="H50" s="705">
        <f>G50+G51</f>
        <v>2500000</v>
      </c>
      <c r="I50" s="708" t="s">
        <v>151</v>
      </c>
      <c r="J50" s="54"/>
      <c r="L50" s="39"/>
      <c r="R50" s="340">
        <v>6000000</v>
      </c>
    </row>
    <row r="51" spans="1:18" s="14" customFormat="1">
      <c r="A51" s="73"/>
      <c r="B51" s="73" t="s">
        <v>214</v>
      </c>
      <c r="C51" s="52" t="s">
        <v>164</v>
      </c>
      <c r="D51" s="74">
        <v>2</v>
      </c>
      <c r="E51" s="74" t="s">
        <v>26</v>
      </c>
      <c r="F51" s="53">
        <v>625000</v>
      </c>
      <c r="G51" s="53">
        <f t="shared" ref="G51:G72" si="1">F51*D51</f>
        <v>1250000</v>
      </c>
      <c r="H51" s="707"/>
      <c r="I51" s="710"/>
      <c r="J51" s="54"/>
      <c r="L51" s="39"/>
      <c r="R51" s="340">
        <v>5370000</v>
      </c>
    </row>
    <row r="52" spans="1:18" s="14" customFormat="1">
      <c r="A52" s="269">
        <v>44247</v>
      </c>
      <c r="B52" s="270" t="s">
        <v>215</v>
      </c>
      <c r="C52" s="271" t="s">
        <v>204</v>
      </c>
      <c r="D52" s="272">
        <v>1</v>
      </c>
      <c r="E52" s="272" t="s">
        <v>61</v>
      </c>
      <c r="F52" s="273">
        <v>22000000</v>
      </c>
      <c r="G52" s="273">
        <f t="shared" si="1"/>
        <v>22000000</v>
      </c>
      <c r="H52" s="273">
        <f>G52</f>
        <v>22000000</v>
      </c>
      <c r="I52" s="271" t="s">
        <v>216</v>
      </c>
      <c r="J52" s="274"/>
      <c r="L52" s="39"/>
      <c r="R52" s="340">
        <v>4025000</v>
      </c>
    </row>
    <row r="53" spans="1:18" s="14" customFormat="1">
      <c r="A53" s="270"/>
      <c r="B53" s="270" t="s">
        <v>217</v>
      </c>
      <c r="C53" s="271" t="s">
        <v>204</v>
      </c>
      <c r="D53" s="272">
        <v>1</v>
      </c>
      <c r="E53" s="272" t="s">
        <v>61</v>
      </c>
      <c r="F53" s="273">
        <v>22000000</v>
      </c>
      <c r="G53" s="273">
        <f t="shared" si="1"/>
        <v>22000000</v>
      </c>
      <c r="H53" s="273">
        <f>G53</f>
        <v>22000000</v>
      </c>
      <c r="I53" s="271"/>
      <c r="J53" s="274"/>
      <c r="L53" s="39"/>
      <c r="R53" s="340">
        <v>36626000</v>
      </c>
    </row>
    <row r="54" spans="1:18" s="14" customFormat="1">
      <c r="A54" s="23">
        <v>44249</v>
      </c>
      <c r="B54" s="21" t="s">
        <v>218</v>
      </c>
      <c r="C54" s="25" t="s">
        <v>25</v>
      </c>
      <c r="D54" s="41">
        <v>1</v>
      </c>
      <c r="E54" s="41" t="s">
        <v>26</v>
      </c>
      <c r="F54" s="24"/>
      <c r="G54" s="24">
        <f t="shared" si="1"/>
        <v>0</v>
      </c>
      <c r="H54" s="24"/>
      <c r="I54" s="25"/>
      <c r="L54" s="39"/>
      <c r="R54" s="340">
        <v>26100000</v>
      </c>
    </row>
    <row r="55" spans="1:18" s="14" customFormat="1">
      <c r="A55" s="51">
        <v>44249</v>
      </c>
      <c r="B55" s="73" t="s">
        <v>219</v>
      </c>
      <c r="C55" s="52" t="s">
        <v>17</v>
      </c>
      <c r="D55" s="74">
        <v>1</v>
      </c>
      <c r="E55" s="74" t="s">
        <v>26</v>
      </c>
      <c r="F55" s="53">
        <v>1600000</v>
      </c>
      <c r="G55" s="53">
        <f t="shared" si="1"/>
        <v>1600000</v>
      </c>
      <c r="H55" s="53">
        <f>G55</f>
        <v>1600000</v>
      </c>
      <c r="I55" s="52" t="s">
        <v>505</v>
      </c>
      <c r="J55" s="77"/>
      <c r="L55" s="39"/>
      <c r="R55" s="340">
        <v>4815000</v>
      </c>
    </row>
    <row r="56" spans="1:18" s="14" customFormat="1">
      <c r="A56" s="294">
        <v>44249</v>
      </c>
      <c r="B56" s="288" t="s">
        <v>220</v>
      </c>
      <c r="C56" s="289" t="s">
        <v>63</v>
      </c>
      <c r="D56" s="291">
        <v>1</v>
      </c>
      <c r="E56" s="291" t="s">
        <v>61</v>
      </c>
      <c r="F56" s="263">
        <v>1600000</v>
      </c>
      <c r="G56" s="263">
        <f t="shared" si="1"/>
        <v>1600000</v>
      </c>
      <c r="H56" s="739">
        <f>SUM(G56:G67)</f>
        <v>21550000</v>
      </c>
      <c r="I56" s="741" t="s">
        <v>151</v>
      </c>
      <c r="J56" s="738" t="s">
        <v>565</v>
      </c>
      <c r="L56" s="39"/>
      <c r="R56" s="340">
        <v>1600000</v>
      </c>
    </row>
    <row r="57" spans="1:18" s="14" customFormat="1">
      <c r="A57" s="288"/>
      <c r="B57" s="288" t="s">
        <v>221</v>
      </c>
      <c r="C57" s="289" t="s">
        <v>63</v>
      </c>
      <c r="D57" s="291">
        <v>1</v>
      </c>
      <c r="E57" s="291" t="s">
        <v>61</v>
      </c>
      <c r="F57" s="263">
        <v>1600000</v>
      </c>
      <c r="G57" s="263">
        <f t="shared" si="1"/>
        <v>1600000</v>
      </c>
      <c r="H57" s="743"/>
      <c r="I57" s="744"/>
      <c r="J57" s="738"/>
      <c r="L57" s="39"/>
      <c r="R57" s="340">
        <v>9670000</v>
      </c>
    </row>
    <row r="58" spans="1:18" s="14" customFormat="1">
      <c r="A58" s="288"/>
      <c r="B58" s="288" t="s">
        <v>222</v>
      </c>
      <c r="C58" s="289" t="s">
        <v>63</v>
      </c>
      <c r="D58" s="291">
        <v>10</v>
      </c>
      <c r="E58" s="291" t="s">
        <v>26</v>
      </c>
      <c r="F58" s="263">
        <v>35000</v>
      </c>
      <c r="G58" s="263">
        <f t="shared" si="1"/>
        <v>350000</v>
      </c>
      <c r="H58" s="743"/>
      <c r="I58" s="744"/>
      <c r="J58" s="738"/>
      <c r="L58" s="39"/>
      <c r="R58" s="36"/>
    </row>
    <row r="59" spans="1:18" s="14" customFormat="1">
      <c r="A59" s="288"/>
      <c r="B59" s="288" t="s">
        <v>223</v>
      </c>
      <c r="C59" s="289" t="s">
        <v>63</v>
      </c>
      <c r="D59" s="291">
        <v>5</v>
      </c>
      <c r="E59" s="291" t="s">
        <v>26</v>
      </c>
      <c r="F59" s="263">
        <v>1250000</v>
      </c>
      <c r="G59" s="263">
        <f t="shared" si="1"/>
        <v>6250000</v>
      </c>
      <c r="H59" s="743"/>
      <c r="I59" s="744"/>
      <c r="J59" s="738"/>
      <c r="L59" s="39"/>
      <c r="R59" s="36">
        <f>SUM(R49:R58)</f>
        <v>100381000</v>
      </c>
    </row>
    <row r="60" spans="1:18" s="14" customFormat="1">
      <c r="A60" s="288"/>
      <c r="B60" s="288" t="s">
        <v>224</v>
      </c>
      <c r="C60" s="289" t="s">
        <v>63</v>
      </c>
      <c r="D60" s="291">
        <v>3</v>
      </c>
      <c r="E60" s="291" t="s">
        <v>26</v>
      </c>
      <c r="F60" s="263">
        <v>1250000</v>
      </c>
      <c r="G60" s="263">
        <f t="shared" si="1"/>
        <v>3750000</v>
      </c>
      <c r="H60" s="743"/>
      <c r="I60" s="744"/>
      <c r="J60" s="738"/>
      <c r="L60" s="39"/>
    </row>
    <row r="61" spans="1:18" s="14" customFormat="1">
      <c r="A61" s="288"/>
      <c r="B61" s="288" t="s">
        <v>231</v>
      </c>
      <c r="C61" s="289" t="s">
        <v>63</v>
      </c>
      <c r="D61" s="291">
        <v>5</v>
      </c>
      <c r="E61" s="291" t="s">
        <v>26</v>
      </c>
      <c r="F61" s="263">
        <v>110000</v>
      </c>
      <c r="G61" s="263">
        <f t="shared" si="1"/>
        <v>550000</v>
      </c>
      <c r="H61" s="743"/>
      <c r="I61" s="744"/>
      <c r="J61" s="738"/>
      <c r="L61" s="39"/>
    </row>
    <row r="62" spans="1:18" s="14" customFormat="1">
      <c r="A62" s="288"/>
      <c r="B62" s="288" t="s">
        <v>225</v>
      </c>
      <c r="C62" s="289" t="s">
        <v>63</v>
      </c>
      <c r="D62" s="291">
        <v>10</v>
      </c>
      <c r="E62" s="291" t="s">
        <v>26</v>
      </c>
      <c r="F62" s="263">
        <v>37500</v>
      </c>
      <c r="G62" s="263">
        <f t="shared" si="1"/>
        <v>375000</v>
      </c>
      <c r="H62" s="743"/>
      <c r="I62" s="744"/>
      <c r="J62" s="738"/>
      <c r="L62" s="39"/>
    </row>
    <row r="63" spans="1:18" s="14" customFormat="1">
      <c r="A63" s="288"/>
      <c r="B63" s="288" t="s">
        <v>226</v>
      </c>
      <c r="C63" s="289" t="s">
        <v>63</v>
      </c>
      <c r="D63" s="291">
        <v>10</v>
      </c>
      <c r="E63" s="291" t="s">
        <v>26</v>
      </c>
      <c r="F63" s="263">
        <v>37500</v>
      </c>
      <c r="G63" s="263">
        <f t="shared" si="1"/>
        <v>375000</v>
      </c>
      <c r="H63" s="743"/>
      <c r="I63" s="744"/>
      <c r="J63" s="738"/>
      <c r="L63" s="39"/>
    </row>
    <row r="64" spans="1:18" s="14" customFormat="1">
      <c r="A64" s="288"/>
      <c r="B64" s="288" t="s">
        <v>227</v>
      </c>
      <c r="C64" s="289" t="s">
        <v>63</v>
      </c>
      <c r="D64" s="291">
        <v>3</v>
      </c>
      <c r="E64" s="291" t="s">
        <v>26</v>
      </c>
      <c r="F64" s="263">
        <v>675000</v>
      </c>
      <c r="G64" s="263">
        <f t="shared" si="1"/>
        <v>2025000</v>
      </c>
      <c r="H64" s="743"/>
      <c r="I64" s="744"/>
      <c r="J64" s="738"/>
      <c r="L64" s="39"/>
    </row>
    <row r="65" spans="1:12" s="14" customFormat="1">
      <c r="A65" s="288"/>
      <c r="B65" s="288" t="s">
        <v>228</v>
      </c>
      <c r="C65" s="289" t="s">
        <v>63</v>
      </c>
      <c r="D65" s="291">
        <v>5</v>
      </c>
      <c r="E65" s="291" t="s">
        <v>26</v>
      </c>
      <c r="F65" s="263">
        <v>90000</v>
      </c>
      <c r="G65" s="263">
        <f t="shared" si="1"/>
        <v>450000</v>
      </c>
      <c r="H65" s="743"/>
      <c r="I65" s="744"/>
      <c r="J65" s="738"/>
      <c r="L65" s="39"/>
    </row>
    <row r="66" spans="1:12" s="14" customFormat="1">
      <c r="A66" s="288"/>
      <c r="B66" s="288" t="s">
        <v>229</v>
      </c>
      <c r="C66" s="289" t="s">
        <v>63</v>
      </c>
      <c r="D66" s="291">
        <v>15</v>
      </c>
      <c r="E66" s="291" t="s">
        <v>26</v>
      </c>
      <c r="F66" s="263">
        <v>165000</v>
      </c>
      <c r="G66" s="263">
        <f t="shared" si="1"/>
        <v>2475000</v>
      </c>
      <c r="H66" s="743"/>
      <c r="I66" s="744"/>
      <c r="J66" s="738"/>
      <c r="L66" s="39"/>
    </row>
    <row r="67" spans="1:12" s="14" customFormat="1">
      <c r="A67" s="288"/>
      <c r="B67" s="288" t="s">
        <v>230</v>
      </c>
      <c r="C67" s="289" t="s">
        <v>63</v>
      </c>
      <c r="D67" s="291">
        <v>1</v>
      </c>
      <c r="E67" s="291" t="s">
        <v>26</v>
      </c>
      <c r="F67" s="263">
        <v>1750000</v>
      </c>
      <c r="G67" s="263">
        <f t="shared" si="1"/>
        <v>1750000</v>
      </c>
      <c r="H67" s="740"/>
      <c r="I67" s="742"/>
      <c r="J67" s="738"/>
      <c r="L67" s="39"/>
    </row>
    <row r="68" spans="1:12" s="14" customFormat="1">
      <c r="A68" s="269">
        <v>44249</v>
      </c>
      <c r="B68" s="270" t="s">
        <v>232</v>
      </c>
      <c r="C68" s="271" t="s">
        <v>63</v>
      </c>
      <c r="D68" s="272">
        <v>5</v>
      </c>
      <c r="E68" s="272" t="s">
        <v>26</v>
      </c>
      <c r="F68" s="273">
        <v>210000</v>
      </c>
      <c r="G68" s="273">
        <f t="shared" si="1"/>
        <v>1050000</v>
      </c>
      <c r="H68" s="273">
        <f>SUM(G68)</f>
        <v>1050000</v>
      </c>
      <c r="I68" s="271" t="s">
        <v>36</v>
      </c>
      <c r="L68" s="39"/>
    </row>
    <row r="69" spans="1:12" s="14" customFormat="1">
      <c r="A69" s="294">
        <v>44249</v>
      </c>
      <c r="B69" s="288" t="s">
        <v>233</v>
      </c>
      <c r="C69" s="289" t="s">
        <v>63</v>
      </c>
      <c r="D69" s="291">
        <v>2</v>
      </c>
      <c r="E69" s="291" t="s">
        <v>26</v>
      </c>
      <c r="F69" s="263">
        <v>1250000</v>
      </c>
      <c r="G69" s="263">
        <f t="shared" si="1"/>
        <v>2500000</v>
      </c>
      <c r="H69" s="739">
        <f>SUM(G69:G70)</f>
        <v>6250000</v>
      </c>
      <c r="I69" s="741" t="s">
        <v>505</v>
      </c>
      <c r="L69" s="39"/>
    </row>
    <row r="70" spans="1:12" s="14" customFormat="1">
      <c r="A70" s="288"/>
      <c r="B70" s="288" t="s">
        <v>234</v>
      </c>
      <c r="C70" s="289" t="s">
        <v>63</v>
      </c>
      <c r="D70" s="291">
        <v>3</v>
      </c>
      <c r="E70" s="291" t="s">
        <v>26</v>
      </c>
      <c r="F70" s="263">
        <v>1250000</v>
      </c>
      <c r="G70" s="263">
        <f t="shared" si="1"/>
        <v>3750000</v>
      </c>
      <c r="H70" s="740"/>
      <c r="I70" s="742"/>
      <c r="L70" s="39"/>
    </row>
    <row r="71" spans="1:12" s="14" customFormat="1">
      <c r="A71" s="23">
        <v>44249</v>
      </c>
      <c r="B71" s="21" t="s">
        <v>235</v>
      </c>
      <c r="C71" s="25" t="s">
        <v>236</v>
      </c>
      <c r="D71" s="41">
        <v>1</v>
      </c>
      <c r="E71" s="41" t="s">
        <v>61</v>
      </c>
      <c r="F71" s="24">
        <v>2200000</v>
      </c>
      <c r="G71" s="24">
        <f t="shared" si="1"/>
        <v>2200000</v>
      </c>
      <c r="H71" s="24">
        <f>SUM(G71)</f>
        <v>2200000</v>
      </c>
      <c r="I71" s="25"/>
      <c r="L71" s="39"/>
    </row>
    <row r="72" spans="1:12" s="14" customFormat="1">
      <c r="A72" s="280">
        <v>44250</v>
      </c>
      <c r="B72" s="279" t="s">
        <v>237</v>
      </c>
      <c r="C72" s="281" t="s">
        <v>28</v>
      </c>
      <c r="D72" s="284">
        <v>1</v>
      </c>
      <c r="E72" s="284" t="s">
        <v>26</v>
      </c>
      <c r="F72" s="282">
        <v>2150000</v>
      </c>
      <c r="G72" s="282">
        <f t="shared" si="1"/>
        <v>2150000</v>
      </c>
      <c r="H72" s="282">
        <f>SUM(G72)</f>
        <v>2150000</v>
      </c>
      <c r="I72" s="281" t="s">
        <v>552</v>
      </c>
      <c r="J72" s="285"/>
      <c r="L72" s="39"/>
    </row>
    <row r="73" spans="1:12" s="14" customFormat="1">
      <c r="A73" s="23">
        <v>44251</v>
      </c>
      <c r="B73" s="21" t="s">
        <v>239</v>
      </c>
      <c r="C73" s="25" t="s">
        <v>204</v>
      </c>
      <c r="D73" s="41">
        <v>1</v>
      </c>
      <c r="E73" s="41" t="s">
        <v>61</v>
      </c>
      <c r="F73" s="24"/>
      <c r="G73" s="24"/>
      <c r="H73" s="24"/>
      <c r="I73" s="25" t="s">
        <v>205</v>
      </c>
      <c r="L73" s="39"/>
    </row>
    <row r="74" spans="1:12" s="14" customFormat="1">
      <c r="A74" s="21"/>
      <c r="B74" s="21" t="s">
        <v>240</v>
      </c>
      <c r="C74" s="25" t="s">
        <v>204</v>
      </c>
      <c r="D74" s="41">
        <v>1</v>
      </c>
      <c r="E74" s="41" t="s">
        <v>61</v>
      </c>
      <c r="F74" s="24"/>
      <c r="G74" s="24"/>
      <c r="H74" s="24"/>
      <c r="I74" s="25" t="s">
        <v>205</v>
      </c>
      <c r="L74" s="39"/>
    </row>
    <row r="75" spans="1:12" s="14" customFormat="1">
      <c r="A75" s="21"/>
      <c r="B75" s="21" t="s">
        <v>241</v>
      </c>
      <c r="C75" s="25" t="s">
        <v>204</v>
      </c>
      <c r="D75" s="41">
        <v>1</v>
      </c>
      <c r="E75" s="41" t="s">
        <v>61</v>
      </c>
      <c r="F75" s="24"/>
      <c r="G75" s="24"/>
      <c r="H75" s="24"/>
      <c r="I75" s="25" t="s">
        <v>205</v>
      </c>
      <c r="L75" s="39"/>
    </row>
    <row r="76" spans="1:12" s="14" customFormat="1">
      <c r="A76" s="21"/>
      <c r="B76" s="21"/>
      <c r="C76" s="25"/>
      <c r="D76" s="41"/>
      <c r="E76" s="41"/>
      <c r="F76" s="24"/>
      <c r="G76" s="24"/>
      <c r="H76" s="24"/>
      <c r="I76" s="25"/>
      <c r="L76" s="39"/>
    </row>
    <row r="77" spans="1:12" s="14" customFormat="1">
      <c r="A77" s="21"/>
      <c r="B77" s="21"/>
      <c r="C77" s="25"/>
      <c r="D77" s="41"/>
      <c r="E77" s="41"/>
      <c r="F77" s="24"/>
      <c r="G77" s="24"/>
      <c r="H77" s="24"/>
      <c r="I77" s="25"/>
      <c r="L77" s="39"/>
    </row>
    <row r="78" spans="1:12" s="14" customFormat="1">
      <c r="A78" s="21"/>
      <c r="B78" s="21"/>
      <c r="C78" s="25"/>
      <c r="D78" s="41"/>
      <c r="E78" s="41"/>
      <c r="F78" s="24"/>
      <c r="G78" s="24"/>
      <c r="H78" s="24"/>
      <c r="I78" s="25"/>
      <c r="L78" s="39"/>
    </row>
    <row r="79" spans="1:12" s="14" customFormat="1">
      <c r="A79" s="21"/>
      <c r="B79" s="21"/>
      <c r="C79" s="25"/>
      <c r="D79" s="41"/>
      <c r="E79" s="41"/>
      <c r="F79" s="24"/>
      <c r="G79" s="24"/>
      <c r="H79" s="24"/>
      <c r="I79" s="25"/>
      <c r="L79" s="39"/>
    </row>
    <row r="80" spans="1:12" s="14" customFormat="1">
      <c r="A80" s="21"/>
      <c r="B80" s="21"/>
      <c r="C80" s="25"/>
      <c r="D80" s="41"/>
      <c r="E80" s="41"/>
      <c r="F80" s="24"/>
      <c r="G80" s="24"/>
      <c r="H80" s="24"/>
      <c r="I80" s="25"/>
      <c r="L80" s="39"/>
    </row>
    <row r="81" spans="1:23" s="14" customFormat="1">
      <c r="A81" s="21"/>
      <c r="B81" s="21"/>
      <c r="C81" s="21"/>
      <c r="D81" s="100"/>
      <c r="E81" s="100"/>
      <c r="F81" s="24"/>
      <c r="G81" s="24"/>
      <c r="H81" s="24"/>
      <c r="I81" s="25"/>
      <c r="L81" s="39"/>
    </row>
    <row r="82" spans="1:23" s="14" customFormat="1">
      <c r="A82" s="21"/>
      <c r="B82" s="21"/>
      <c r="C82" s="21"/>
      <c r="D82" s="100"/>
      <c r="E82" s="100"/>
      <c r="F82" s="24"/>
      <c r="G82" s="24"/>
      <c r="H82" s="24"/>
      <c r="I82" s="25"/>
      <c r="L82" s="39"/>
    </row>
    <row r="83" spans="1:23" s="14" customFormat="1">
      <c r="A83" s="21"/>
      <c r="B83" s="21"/>
      <c r="C83" s="21"/>
      <c r="D83" s="100"/>
      <c r="E83" s="100"/>
      <c r="F83" s="24"/>
      <c r="G83" s="24"/>
      <c r="H83" s="24"/>
      <c r="I83" s="25"/>
      <c r="L83" s="39"/>
    </row>
    <row r="84" spans="1:23" s="14" customFormat="1">
      <c r="A84" s="21"/>
      <c r="B84" s="21"/>
      <c r="C84" s="21"/>
      <c r="D84" s="100"/>
      <c r="E84" s="100"/>
      <c r="F84" s="24"/>
      <c r="G84" s="24"/>
      <c r="H84" s="24"/>
      <c r="I84" s="25"/>
      <c r="L84" s="39"/>
    </row>
    <row r="85" spans="1:23" s="14" customFormat="1">
      <c r="A85" s="21"/>
      <c r="B85" s="21"/>
      <c r="C85" s="21"/>
      <c r="D85" s="100"/>
      <c r="E85" s="100"/>
      <c r="F85" s="24"/>
      <c r="G85" s="24"/>
      <c r="H85" s="24"/>
      <c r="I85" s="25"/>
      <c r="L85" s="39"/>
    </row>
    <row r="86" spans="1:23" s="14" customFormat="1">
      <c r="A86" s="21"/>
      <c r="B86" s="21"/>
      <c r="C86" s="21"/>
      <c r="D86" s="100"/>
      <c r="E86" s="100"/>
      <c r="F86" s="24"/>
      <c r="G86" s="24"/>
      <c r="H86" s="24"/>
      <c r="I86" s="25"/>
      <c r="L86" s="39"/>
    </row>
    <row r="87" spans="1:23" s="14" customFormat="1">
      <c r="A87" s="21"/>
      <c r="B87" s="21"/>
      <c r="C87" s="21"/>
      <c r="D87" s="21"/>
      <c r="E87" s="21"/>
      <c r="F87" s="24"/>
      <c r="G87" s="24"/>
      <c r="H87" s="24"/>
      <c r="I87" s="25"/>
      <c r="L87" s="39"/>
      <c r="S87"/>
      <c r="T87"/>
      <c r="U87"/>
      <c r="V87"/>
      <c r="W87"/>
    </row>
    <row r="88" spans="1:23" s="14" customFormat="1">
      <c r="A88" s="21"/>
      <c r="B88" s="21"/>
      <c r="C88" s="21"/>
      <c r="D88" s="21"/>
      <c r="E88" s="21"/>
      <c r="F88" s="24"/>
      <c r="G88" s="24"/>
      <c r="H88" s="24"/>
      <c r="I88" s="25"/>
      <c r="L88" s="39"/>
      <c r="S88"/>
      <c r="T88"/>
      <c r="U88"/>
      <c r="V88"/>
      <c r="W88"/>
    </row>
    <row r="89" spans="1:23">
      <c r="A89" s="40"/>
      <c r="B89" s="40"/>
      <c r="C89" s="40"/>
      <c r="D89" s="40"/>
      <c r="E89" s="40"/>
      <c r="F89" s="65"/>
      <c r="G89" s="65"/>
      <c r="H89" s="65"/>
      <c r="I89" s="67"/>
      <c r="K89" s="14"/>
      <c r="L89" s="39"/>
      <c r="M89" s="14"/>
      <c r="N89" s="14"/>
      <c r="O89" s="14"/>
      <c r="P89" s="14"/>
    </row>
    <row r="90" spans="1:23">
      <c r="A90" s="40"/>
      <c r="B90" s="40"/>
      <c r="C90" s="40"/>
      <c r="D90" s="40"/>
      <c r="E90" s="40"/>
      <c r="F90" s="65"/>
      <c r="G90" s="65"/>
      <c r="H90" s="65"/>
      <c r="I90" s="67"/>
      <c r="L90" s="39"/>
      <c r="M90" s="14"/>
      <c r="N90" s="14"/>
      <c r="O90" s="14"/>
      <c r="P90" s="14"/>
    </row>
    <row r="91" spans="1:23">
      <c r="A91" s="40"/>
      <c r="B91" s="40"/>
      <c r="C91" s="40"/>
      <c r="D91" s="40"/>
      <c r="E91" s="40"/>
      <c r="F91" s="40"/>
      <c r="G91" s="40"/>
      <c r="H91" s="40"/>
      <c r="I91" s="67"/>
    </row>
    <row r="92" spans="1:23">
      <c r="A92" s="40"/>
      <c r="B92" s="40"/>
      <c r="C92" s="40"/>
      <c r="D92" s="40"/>
      <c r="E92" s="40"/>
      <c r="F92" s="40"/>
      <c r="G92" s="40"/>
      <c r="H92" s="40"/>
      <c r="I92" s="67"/>
    </row>
    <row r="93" spans="1:23">
      <c r="A93" s="40"/>
      <c r="B93" s="40"/>
      <c r="C93" s="40"/>
      <c r="D93" s="40"/>
      <c r="E93" s="40"/>
      <c r="F93" s="40"/>
      <c r="G93" s="40"/>
      <c r="H93" s="40"/>
      <c r="I93" s="67"/>
    </row>
    <row r="94" spans="1:23">
      <c r="A94" s="40"/>
      <c r="B94" s="40"/>
      <c r="C94" s="40"/>
      <c r="D94" s="40"/>
      <c r="E94" s="40"/>
      <c r="F94" s="40"/>
      <c r="G94" s="40"/>
      <c r="H94" s="40"/>
      <c r="I94" s="67"/>
    </row>
    <row r="95" spans="1:23">
      <c r="A95" s="40"/>
      <c r="B95" s="40"/>
      <c r="C95" s="40"/>
      <c r="D95" s="40"/>
      <c r="E95" s="40"/>
      <c r="F95" s="40"/>
      <c r="G95" s="40"/>
      <c r="H95" s="40"/>
      <c r="I95" s="67"/>
    </row>
    <row r="96" spans="1:23">
      <c r="A96" s="40"/>
      <c r="B96" s="40"/>
      <c r="C96" s="40"/>
      <c r="D96" s="40"/>
      <c r="E96" s="40"/>
      <c r="F96" s="40"/>
      <c r="G96" s="40"/>
      <c r="H96" s="40"/>
      <c r="I96" s="67"/>
    </row>
    <row r="97" spans="1:9">
      <c r="A97" s="40"/>
      <c r="B97" s="40"/>
      <c r="C97" s="40"/>
      <c r="D97" s="40"/>
      <c r="E97" s="40"/>
      <c r="F97" s="40"/>
      <c r="G97" s="40"/>
      <c r="H97" s="40"/>
      <c r="I97" s="67"/>
    </row>
    <row r="98" spans="1:9">
      <c r="A98" s="40"/>
      <c r="B98" s="40"/>
      <c r="C98" s="40"/>
      <c r="D98" s="40"/>
      <c r="E98" s="40"/>
      <c r="F98" s="40"/>
      <c r="G98" s="40"/>
      <c r="H98" s="40"/>
      <c r="I98" s="67"/>
    </row>
    <row r="99" spans="1:9">
      <c r="A99" s="40"/>
      <c r="B99" s="40"/>
      <c r="C99" s="40"/>
      <c r="D99" s="40"/>
      <c r="E99" s="40"/>
      <c r="F99" s="40"/>
      <c r="G99" s="40"/>
      <c r="H99" s="40"/>
      <c r="I99" s="67"/>
    </row>
    <row r="100" spans="1:9">
      <c r="A100" s="40"/>
      <c r="B100" s="40"/>
      <c r="C100" s="40"/>
      <c r="D100" s="40"/>
      <c r="E100" s="40"/>
      <c r="F100" s="40"/>
      <c r="G100" s="40"/>
      <c r="H100" s="40"/>
      <c r="I100" s="67"/>
    </row>
    <row r="101" spans="1:9">
      <c r="A101" s="40"/>
      <c r="B101" s="40"/>
      <c r="C101" s="40"/>
      <c r="D101" s="40"/>
      <c r="E101" s="40"/>
      <c r="F101" s="40"/>
      <c r="G101" s="40"/>
      <c r="H101" s="40"/>
      <c r="I101" s="67"/>
    </row>
    <row r="102" spans="1:9">
      <c r="A102" s="40"/>
      <c r="B102" s="40"/>
      <c r="C102" s="40"/>
      <c r="D102" s="40"/>
      <c r="E102" s="40"/>
      <c r="F102" s="40"/>
      <c r="G102" s="40"/>
      <c r="H102" s="40"/>
      <c r="I102" s="67"/>
    </row>
    <row r="103" spans="1:9">
      <c r="A103" s="40"/>
      <c r="B103" s="40"/>
      <c r="C103" s="40"/>
      <c r="D103" s="40"/>
      <c r="E103" s="40"/>
      <c r="F103" s="40"/>
      <c r="G103" s="40"/>
      <c r="H103" s="40"/>
      <c r="I103" s="67"/>
    </row>
    <row r="104" spans="1:9">
      <c r="A104" s="40"/>
      <c r="B104" s="40"/>
      <c r="C104" s="40"/>
      <c r="D104" s="40"/>
      <c r="E104" s="40"/>
      <c r="F104" s="40"/>
      <c r="G104" s="40"/>
      <c r="H104" s="40"/>
      <c r="I104" s="67"/>
    </row>
    <row r="105" spans="1:9">
      <c r="A105" s="40"/>
      <c r="B105" s="40"/>
      <c r="C105" s="40"/>
      <c r="D105" s="40"/>
      <c r="E105" s="40"/>
      <c r="F105" s="40"/>
      <c r="G105" s="40"/>
      <c r="H105" s="40"/>
      <c r="I105" s="67"/>
    </row>
    <row r="106" spans="1:9">
      <c r="A106" s="40"/>
      <c r="B106" s="40"/>
      <c r="C106" s="40"/>
      <c r="D106" s="40"/>
      <c r="E106" s="40"/>
      <c r="F106" s="40"/>
      <c r="G106" s="40"/>
      <c r="H106" s="40"/>
      <c r="I106" s="67"/>
    </row>
    <row r="107" spans="1:9">
      <c r="A107" s="40"/>
      <c r="B107" s="40"/>
      <c r="C107" s="40"/>
      <c r="D107" s="40"/>
      <c r="E107" s="40"/>
      <c r="F107" s="40"/>
      <c r="G107" s="40"/>
      <c r="H107" s="40"/>
      <c r="I107" s="67"/>
    </row>
    <row r="108" spans="1:9">
      <c r="A108" s="40"/>
      <c r="B108" s="40"/>
      <c r="C108" s="40"/>
      <c r="D108" s="40"/>
      <c r="E108" s="40"/>
      <c r="F108" s="40"/>
      <c r="G108" s="40"/>
      <c r="H108" s="40"/>
      <c r="I108" s="67"/>
    </row>
    <row r="109" spans="1:9">
      <c r="A109" s="40"/>
      <c r="B109" s="40"/>
      <c r="C109" s="40"/>
      <c r="D109" s="40"/>
      <c r="E109" s="40"/>
      <c r="F109" s="40"/>
      <c r="G109" s="40"/>
      <c r="H109" s="40"/>
      <c r="I109" s="67"/>
    </row>
    <row r="110" spans="1:9">
      <c r="A110" s="40"/>
      <c r="B110" s="40"/>
      <c r="C110" s="40"/>
      <c r="D110" s="40"/>
      <c r="E110" s="40"/>
      <c r="F110" s="40"/>
      <c r="G110" s="40"/>
      <c r="H110" s="40"/>
      <c r="I110" s="67"/>
    </row>
    <row r="111" spans="1:9">
      <c r="A111" s="40"/>
      <c r="B111" s="40"/>
      <c r="C111" s="40"/>
      <c r="D111" s="40"/>
      <c r="E111" s="40"/>
      <c r="F111" s="40"/>
      <c r="G111" s="40"/>
      <c r="H111" s="40"/>
      <c r="I111" s="67"/>
    </row>
    <row r="112" spans="1:9">
      <c r="A112" s="40"/>
      <c r="B112" s="40"/>
      <c r="C112" s="40"/>
      <c r="D112" s="40"/>
      <c r="E112" s="40"/>
      <c r="F112" s="40"/>
      <c r="G112" s="40"/>
      <c r="H112" s="40"/>
      <c r="I112" s="67"/>
    </row>
    <row r="113" spans="1:9">
      <c r="A113" s="40"/>
      <c r="B113" s="40"/>
      <c r="C113" s="40"/>
      <c r="D113" s="40"/>
      <c r="E113" s="40"/>
      <c r="F113" s="40"/>
      <c r="G113" s="40"/>
      <c r="H113" s="40"/>
      <c r="I113" s="67"/>
    </row>
    <row r="114" spans="1:9">
      <c r="A114" s="40"/>
      <c r="B114" s="40"/>
      <c r="C114" s="40"/>
      <c r="D114" s="40"/>
      <c r="E114" s="40"/>
      <c r="F114" s="40"/>
      <c r="G114" s="40"/>
      <c r="H114" s="40"/>
      <c r="I114" s="67"/>
    </row>
    <row r="115" spans="1:9">
      <c r="A115" s="40"/>
      <c r="B115" s="40"/>
      <c r="C115" s="40"/>
      <c r="D115" s="40"/>
      <c r="E115" s="40"/>
      <c r="F115" s="40"/>
      <c r="G115" s="40"/>
      <c r="H115" s="40"/>
      <c r="I115" s="67"/>
    </row>
    <row r="116" spans="1:9">
      <c r="A116" s="40"/>
      <c r="B116" s="40"/>
      <c r="C116" s="40"/>
      <c r="D116" s="40"/>
      <c r="E116" s="40"/>
      <c r="F116" s="40"/>
      <c r="G116" s="40"/>
      <c r="H116" s="40"/>
      <c r="I116" s="67"/>
    </row>
    <row r="117" spans="1:9">
      <c r="A117" s="40"/>
      <c r="B117" s="40"/>
      <c r="C117" s="40"/>
      <c r="D117" s="40"/>
      <c r="E117" s="40"/>
      <c r="F117" s="40"/>
      <c r="G117" s="40"/>
      <c r="H117" s="40"/>
      <c r="I117" s="67"/>
    </row>
    <row r="118" spans="1:9">
      <c r="A118" s="40"/>
      <c r="B118" s="40"/>
      <c r="C118" s="40"/>
      <c r="D118" s="40"/>
      <c r="E118" s="40"/>
      <c r="F118" s="40"/>
      <c r="G118" s="40"/>
      <c r="H118" s="40"/>
      <c r="I118" s="67"/>
    </row>
    <row r="119" spans="1:9">
      <c r="A119" s="40"/>
      <c r="B119" s="40"/>
      <c r="C119" s="40"/>
      <c r="D119" s="40"/>
      <c r="E119" s="40"/>
      <c r="F119" s="40"/>
      <c r="G119" s="40"/>
      <c r="H119" s="40"/>
      <c r="I119" s="67"/>
    </row>
    <row r="120" spans="1:9">
      <c r="A120" s="40"/>
      <c r="B120" s="40"/>
      <c r="C120" s="40"/>
      <c r="D120" s="40"/>
      <c r="E120" s="40"/>
      <c r="F120" s="40"/>
      <c r="G120" s="40"/>
      <c r="H120" s="40"/>
      <c r="I120" s="67"/>
    </row>
    <row r="121" spans="1:9">
      <c r="A121" s="40"/>
      <c r="B121" s="40"/>
      <c r="C121" s="40"/>
      <c r="D121" s="40"/>
      <c r="E121" s="40"/>
      <c r="F121" s="40"/>
      <c r="G121" s="40"/>
      <c r="H121" s="40"/>
      <c r="I121" s="67"/>
    </row>
    <row r="122" spans="1:9">
      <c r="A122" s="40"/>
      <c r="B122" s="40"/>
      <c r="C122" s="40"/>
      <c r="D122" s="40"/>
      <c r="E122" s="40"/>
      <c r="F122" s="40"/>
      <c r="G122" s="40"/>
      <c r="H122" s="40"/>
      <c r="I122" s="67"/>
    </row>
    <row r="123" spans="1:9">
      <c r="A123" s="40"/>
      <c r="B123" s="40"/>
      <c r="C123" s="40"/>
      <c r="D123" s="40"/>
      <c r="E123" s="40"/>
      <c r="F123" s="40"/>
      <c r="G123" s="40"/>
      <c r="H123" s="40"/>
      <c r="I123" s="67"/>
    </row>
    <row r="124" spans="1:9">
      <c r="A124" s="40"/>
      <c r="B124" s="40"/>
      <c r="C124" s="40"/>
      <c r="D124" s="40"/>
      <c r="E124" s="40"/>
      <c r="F124" s="40"/>
      <c r="G124" s="40"/>
      <c r="H124" s="40"/>
      <c r="I124" s="67"/>
    </row>
    <row r="125" spans="1:9">
      <c r="A125" s="40"/>
      <c r="B125" s="40"/>
      <c r="C125" s="40"/>
      <c r="D125" s="40"/>
      <c r="E125" s="40"/>
      <c r="F125" s="40"/>
      <c r="G125" s="40"/>
      <c r="H125" s="40"/>
      <c r="I125" s="67"/>
    </row>
    <row r="126" spans="1:9">
      <c r="A126" s="40"/>
      <c r="B126" s="40"/>
      <c r="C126" s="40"/>
      <c r="D126" s="40"/>
      <c r="E126" s="40"/>
      <c r="F126" s="40"/>
      <c r="G126" s="40"/>
      <c r="H126" s="40"/>
      <c r="I126" s="67"/>
    </row>
    <row r="127" spans="1:9">
      <c r="A127" s="40"/>
      <c r="B127" s="40"/>
      <c r="C127" s="40"/>
      <c r="D127" s="40"/>
      <c r="E127" s="40"/>
      <c r="F127" s="40"/>
      <c r="G127" s="40"/>
      <c r="H127" s="40"/>
      <c r="I127" s="67"/>
    </row>
    <row r="128" spans="1:9">
      <c r="A128" s="40"/>
      <c r="B128" s="40"/>
      <c r="C128" s="40"/>
      <c r="D128" s="40"/>
      <c r="E128" s="40"/>
      <c r="F128" s="40"/>
      <c r="G128" s="40"/>
      <c r="H128" s="40"/>
      <c r="I128" s="67"/>
    </row>
    <row r="129" spans="1:9">
      <c r="A129" s="40"/>
      <c r="B129" s="40"/>
      <c r="C129" s="40"/>
      <c r="D129" s="40"/>
      <c r="E129" s="40"/>
      <c r="F129" s="40"/>
      <c r="G129" s="40"/>
      <c r="H129" s="40"/>
      <c r="I129" s="67"/>
    </row>
    <row r="130" spans="1:9">
      <c r="A130" s="40"/>
      <c r="B130" s="40"/>
      <c r="C130" s="40"/>
      <c r="D130" s="40"/>
      <c r="E130" s="40"/>
      <c r="F130" s="40"/>
      <c r="G130" s="40"/>
      <c r="H130" s="40"/>
      <c r="I130" s="67"/>
    </row>
  </sheetData>
  <sortState ref="M4:S23">
    <sortCondition ref="M3"/>
  </sortState>
  <mergeCells count="25">
    <mergeCell ref="J56:J67"/>
    <mergeCell ref="H69:H70"/>
    <mergeCell ref="I69:I70"/>
    <mergeCell ref="H56:H67"/>
    <mergeCell ref="I56:I67"/>
    <mergeCell ref="F6:G6"/>
    <mergeCell ref="H16:H29"/>
    <mergeCell ref="I16:I29"/>
    <mergeCell ref="H10:H15"/>
    <mergeCell ref="I10:I15"/>
    <mergeCell ref="H50:H51"/>
    <mergeCell ref="I50:I51"/>
    <mergeCell ref="J4:J5"/>
    <mergeCell ref="H35:H41"/>
    <mergeCell ref="I35:I41"/>
    <mergeCell ref="I4:I5"/>
    <mergeCell ref="H4:H5"/>
    <mergeCell ref="I30:I31"/>
    <mergeCell ref="J16:J29"/>
    <mergeCell ref="H7:H8"/>
    <mergeCell ref="I7:I9"/>
    <mergeCell ref="J7:J9"/>
    <mergeCell ref="J35:J41"/>
    <mergeCell ref="J10:J15"/>
    <mergeCell ref="J30:J31"/>
  </mergeCells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X300"/>
  <sheetViews>
    <sheetView topLeftCell="I3" workbookViewId="0">
      <selection activeCell="Q23" sqref="Q23"/>
    </sheetView>
  </sheetViews>
  <sheetFormatPr defaultRowHeight="15"/>
  <cols>
    <col min="1" max="1" width="10.85546875" style="5" customWidth="1"/>
    <col min="2" max="2" width="55" customWidth="1"/>
    <col min="3" max="3" width="13.7109375" style="5" customWidth="1"/>
    <col min="4" max="4" width="9.140625" style="2"/>
    <col min="5" max="5" width="9.140625" style="5"/>
    <col min="6" max="6" width="16.140625" style="142" customWidth="1"/>
    <col min="7" max="7" width="17.42578125" customWidth="1"/>
    <col min="8" max="8" width="16.85546875" customWidth="1"/>
    <col min="9" max="9" width="17.5703125" style="5" customWidth="1"/>
    <col min="10" max="11" width="11.85546875" customWidth="1"/>
    <col min="12" max="12" width="5.5703125" customWidth="1"/>
    <col min="14" max="14" width="17.85546875" customWidth="1"/>
    <col min="15" max="15" width="16.28515625" customWidth="1"/>
    <col min="16" max="16" width="25.42578125" customWidth="1"/>
    <col min="17" max="19" width="13.7109375" bestFit="1" customWidth="1"/>
    <col min="20" max="20" width="18.85546875" customWidth="1"/>
    <col min="27" max="27" width="10.7109375" bestFit="1" customWidth="1"/>
  </cols>
  <sheetData>
    <row r="1" spans="1:24">
      <c r="A1" s="125" t="s">
        <v>0</v>
      </c>
      <c r="C1" s="2"/>
      <c r="E1" s="2"/>
      <c r="F1" s="140"/>
      <c r="G1" s="3"/>
      <c r="H1" s="3"/>
      <c r="L1" s="4" t="s">
        <v>149</v>
      </c>
      <c r="M1" s="5"/>
      <c r="N1" s="5"/>
      <c r="O1" s="3"/>
    </row>
    <row r="2" spans="1:24" ht="45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141" t="s">
        <v>6</v>
      </c>
      <c r="G2" s="9" t="s">
        <v>7</v>
      </c>
      <c r="H2" s="8" t="s">
        <v>8</v>
      </c>
      <c r="I2" s="7" t="s">
        <v>9</v>
      </c>
      <c r="L2" s="10" t="s">
        <v>10</v>
      </c>
      <c r="M2" s="11" t="s">
        <v>11</v>
      </c>
      <c r="N2" s="6" t="s">
        <v>12</v>
      </c>
      <c r="O2" s="9" t="s">
        <v>13</v>
      </c>
      <c r="P2" s="7" t="s">
        <v>9</v>
      </c>
    </row>
    <row r="3" spans="1:24">
      <c r="A3" s="258">
        <v>44256</v>
      </c>
      <c r="B3" s="259" t="s">
        <v>242</v>
      </c>
      <c r="C3" s="260" t="s">
        <v>63</v>
      </c>
      <c r="D3" s="261">
        <v>2</v>
      </c>
      <c r="E3" s="260" t="s">
        <v>26</v>
      </c>
      <c r="F3" s="262">
        <v>600000</v>
      </c>
      <c r="G3" s="262">
        <f>F3*D3</f>
        <v>1200000</v>
      </c>
      <c r="H3" s="745">
        <f>SUM(G3:G7)</f>
        <v>3800000</v>
      </c>
      <c r="I3" s="748" t="s">
        <v>506</v>
      </c>
      <c r="J3" s="18"/>
      <c r="K3" s="18"/>
      <c r="L3" s="369">
        <v>1</v>
      </c>
      <c r="M3" s="366">
        <v>44226</v>
      </c>
      <c r="N3" s="367" t="s">
        <v>437</v>
      </c>
      <c r="O3" s="368">
        <v>780000</v>
      </c>
      <c r="P3" s="365" t="s">
        <v>690</v>
      </c>
      <c r="Q3" s="14"/>
      <c r="U3" s="361">
        <v>44226</v>
      </c>
      <c r="V3" s="362" t="s">
        <v>437</v>
      </c>
      <c r="W3" s="362">
        <v>780000</v>
      </c>
      <c r="X3" s="363"/>
    </row>
    <row r="4" spans="1:24">
      <c r="A4" s="260"/>
      <c r="B4" s="259" t="s">
        <v>243</v>
      </c>
      <c r="C4" s="260" t="s">
        <v>63</v>
      </c>
      <c r="D4" s="261">
        <v>1</v>
      </c>
      <c r="E4" s="260" t="s">
        <v>26</v>
      </c>
      <c r="F4" s="262">
        <v>600000</v>
      </c>
      <c r="G4" s="262">
        <f t="shared" ref="G4:G67" si="0">F4*D4</f>
        <v>600000</v>
      </c>
      <c r="H4" s="746"/>
      <c r="I4" s="749"/>
      <c r="J4" s="19"/>
      <c r="K4" s="19"/>
      <c r="L4" s="370">
        <v>2</v>
      </c>
      <c r="M4" s="175">
        <v>44228</v>
      </c>
      <c r="N4" s="174" t="s">
        <v>33</v>
      </c>
      <c r="O4" s="178">
        <v>3200000</v>
      </c>
      <c r="P4" s="350" t="s">
        <v>671</v>
      </c>
      <c r="Q4" s="180">
        <f>O4+O8+O9+O11</f>
        <v>4930000</v>
      </c>
      <c r="R4" s="173">
        <v>2700</v>
      </c>
    </row>
    <row r="5" spans="1:24">
      <c r="A5" s="260"/>
      <c r="B5" s="259" t="s">
        <v>244</v>
      </c>
      <c r="C5" s="260" t="s">
        <v>63</v>
      </c>
      <c r="D5" s="261">
        <v>1</v>
      </c>
      <c r="E5" s="260" t="s">
        <v>26</v>
      </c>
      <c r="F5" s="262">
        <v>600000</v>
      </c>
      <c r="G5" s="262">
        <f t="shared" si="0"/>
        <v>600000</v>
      </c>
      <c r="H5" s="746"/>
      <c r="I5" s="749"/>
      <c r="J5" s="20"/>
      <c r="K5" s="20"/>
      <c r="L5" s="370">
        <v>3</v>
      </c>
      <c r="M5" s="306">
        <v>44229</v>
      </c>
      <c r="N5" s="307" t="s">
        <v>49</v>
      </c>
      <c r="O5" s="308">
        <v>19801200</v>
      </c>
      <c r="P5" s="351" t="s">
        <v>506</v>
      </c>
      <c r="Q5" s="14"/>
      <c r="R5" s="173">
        <v>500</v>
      </c>
    </row>
    <row r="6" spans="1:24">
      <c r="A6" s="260"/>
      <c r="B6" s="259" t="s">
        <v>245</v>
      </c>
      <c r="C6" s="260" t="s">
        <v>63</v>
      </c>
      <c r="D6" s="261">
        <v>1</v>
      </c>
      <c r="E6" s="260" t="s">
        <v>26</v>
      </c>
      <c r="F6" s="262">
        <v>700000</v>
      </c>
      <c r="G6" s="262">
        <f t="shared" si="0"/>
        <v>700000</v>
      </c>
      <c r="H6" s="746"/>
      <c r="I6" s="749"/>
      <c r="J6" s="14"/>
      <c r="K6" s="14"/>
      <c r="L6" s="369">
        <v>4</v>
      </c>
      <c r="M6" s="287">
        <v>44232</v>
      </c>
      <c r="N6" s="289" t="s">
        <v>21</v>
      </c>
      <c r="O6" s="263">
        <v>2200000</v>
      </c>
      <c r="P6" s="259" t="s">
        <v>903</v>
      </c>
      <c r="Q6" s="14"/>
      <c r="R6" s="173">
        <v>330</v>
      </c>
      <c r="S6" s="142"/>
    </row>
    <row r="7" spans="1:24">
      <c r="A7" s="260"/>
      <c r="B7" s="259" t="s">
        <v>246</v>
      </c>
      <c r="C7" s="260" t="s">
        <v>63</v>
      </c>
      <c r="D7" s="261">
        <v>1</v>
      </c>
      <c r="E7" s="260" t="s">
        <v>26</v>
      </c>
      <c r="F7" s="262">
        <v>700000</v>
      </c>
      <c r="G7" s="262">
        <f t="shared" si="0"/>
        <v>700000</v>
      </c>
      <c r="H7" s="747"/>
      <c r="I7" s="750"/>
      <c r="J7" s="14"/>
      <c r="K7" s="14"/>
      <c r="L7" s="369">
        <v>5</v>
      </c>
      <c r="M7" s="388">
        <v>44232</v>
      </c>
      <c r="N7" s="389" t="s">
        <v>21</v>
      </c>
      <c r="O7" s="404">
        <v>9900000</v>
      </c>
      <c r="P7" s="469" t="s">
        <v>859</v>
      </c>
      <c r="Q7" s="14"/>
      <c r="R7" s="173">
        <v>550</v>
      </c>
    </row>
    <row r="8" spans="1:24">
      <c r="A8" s="214">
        <v>44256</v>
      </c>
      <c r="B8" s="223" t="s">
        <v>247</v>
      </c>
      <c r="C8" s="215" t="s">
        <v>18</v>
      </c>
      <c r="D8" s="224">
        <v>2</v>
      </c>
      <c r="E8" s="215" t="s">
        <v>26</v>
      </c>
      <c r="F8" s="225">
        <v>140000</v>
      </c>
      <c r="G8" s="225">
        <f t="shared" si="0"/>
        <v>280000</v>
      </c>
      <c r="H8" s="751">
        <f>SUM(G8:G12)</f>
        <v>4150000</v>
      </c>
      <c r="I8" s="754" t="s">
        <v>151</v>
      </c>
      <c r="J8" s="14"/>
      <c r="K8" s="14"/>
      <c r="L8" s="370">
        <v>6</v>
      </c>
      <c r="M8" s="175">
        <v>44232</v>
      </c>
      <c r="N8" s="174" t="s">
        <v>33</v>
      </c>
      <c r="O8" s="161">
        <v>330000</v>
      </c>
      <c r="P8" s="350" t="s">
        <v>671</v>
      </c>
      <c r="Q8" s="14"/>
      <c r="R8" s="173">
        <v>850</v>
      </c>
    </row>
    <row r="9" spans="1:24">
      <c r="A9" s="215"/>
      <c r="B9" s="223" t="s">
        <v>248</v>
      </c>
      <c r="C9" s="215" t="s">
        <v>18</v>
      </c>
      <c r="D9" s="224">
        <v>2</v>
      </c>
      <c r="E9" s="215" t="s">
        <v>26</v>
      </c>
      <c r="F9" s="225">
        <v>160000</v>
      </c>
      <c r="G9" s="225">
        <f t="shared" si="0"/>
        <v>320000</v>
      </c>
      <c r="H9" s="752"/>
      <c r="I9" s="755"/>
      <c r="J9" s="14"/>
      <c r="K9" s="34"/>
      <c r="L9" s="370">
        <v>7</v>
      </c>
      <c r="M9" s="175">
        <v>44232</v>
      </c>
      <c r="N9" s="174" t="s">
        <v>33</v>
      </c>
      <c r="O9" s="161">
        <v>850000</v>
      </c>
      <c r="P9" s="350" t="s">
        <v>671</v>
      </c>
      <c r="Q9" s="33"/>
      <c r="R9" s="173"/>
    </row>
    <row r="10" spans="1:24">
      <c r="A10" s="218"/>
      <c r="B10" s="216" t="s">
        <v>249</v>
      </c>
      <c r="C10" s="215" t="s">
        <v>18</v>
      </c>
      <c r="D10" s="221">
        <v>5</v>
      </c>
      <c r="E10" s="215" t="s">
        <v>26</v>
      </c>
      <c r="F10" s="225">
        <v>140000</v>
      </c>
      <c r="G10" s="225">
        <f t="shared" si="0"/>
        <v>700000</v>
      </c>
      <c r="H10" s="752"/>
      <c r="I10" s="755"/>
      <c r="J10" s="14"/>
      <c r="K10" s="34"/>
      <c r="L10" s="369">
        <v>8</v>
      </c>
      <c r="M10" s="306">
        <v>44235</v>
      </c>
      <c r="N10" s="307" t="s">
        <v>49</v>
      </c>
      <c r="O10" s="308">
        <v>2985000</v>
      </c>
      <c r="P10" s="351" t="s">
        <v>506</v>
      </c>
      <c r="Q10" s="34"/>
      <c r="R10" s="173">
        <f>SUM(R4:R9)</f>
        <v>4930</v>
      </c>
    </row>
    <row r="11" spans="1:24">
      <c r="A11" s="218"/>
      <c r="B11" s="216" t="s">
        <v>250</v>
      </c>
      <c r="C11" s="215" t="s">
        <v>18</v>
      </c>
      <c r="D11" s="221">
        <v>10</v>
      </c>
      <c r="E11" s="215" t="s">
        <v>26</v>
      </c>
      <c r="F11" s="225">
        <v>135000</v>
      </c>
      <c r="G11" s="225">
        <f t="shared" si="0"/>
        <v>1350000</v>
      </c>
      <c r="H11" s="752"/>
      <c r="I11" s="755"/>
      <c r="J11" s="14"/>
      <c r="K11" s="34"/>
      <c r="L11" s="369">
        <v>9</v>
      </c>
      <c r="M11" s="175">
        <v>44239</v>
      </c>
      <c r="N11" s="174" t="s">
        <v>33</v>
      </c>
      <c r="O11" s="161">
        <v>550000</v>
      </c>
      <c r="P11" s="350" t="s">
        <v>671</v>
      </c>
      <c r="Q11" s="34"/>
      <c r="S11" s="142">
        <f>O12+O13</f>
        <v>6000000</v>
      </c>
    </row>
    <row r="12" spans="1:24">
      <c r="A12" s="218"/>
      <c r="B12" s="216" t="s">
        <v>251</v>
      </c>
      <c r="C12" s="215" t="s">
        <v>18</v>
      </c>
      <c r="D12" s="221">
        <v>10</v>
      </c>
      <c r="E12" s="215" t="s">
        <v>26</v>
      </c>
      <c r="F12" s="220">
        <v>150000</v>
      </c>
      <c r="G12" s="220">
        <f t="shared" si="0"/>
        <v>1500000</v>
      </c>
      <c r="H12" s="753"/>
      <c r="I12" s="756"/>
      <c r="J12" s="14"/>
      <c r="K12" s="34"/>
      <c r="L12" s="370">
        <v>10</v>
      </c>
      <c r="M12" s="61">
        <v>44239</v>
      </c>
      <c r="N12" s="52" t="s">
        <v>164</v>
      </c>
      <c r="O12" s="53">
        <v>3500000</v>
      </c>
      <c r="P12" s="360" t="s">
        <v>506</v>
      </c>
      <c r="Q12" s="33"/>
      <c r="R12" s="349">
        <f>O4+O8+O9+O11</f>
        <v>4930000</v>
      </c>
    </row>
    <row r="13" spans="1:24">
      <c r="A13" s="175">
        <v>44257</v>
      </c>
      <c r="B13" s="159" t="s">
        <v>252</v>
      </c>
      <c r="C13" s="174" t="s">
        <v>33</v>
      </c>
      <c r="D13" s="165">
        <v>6</v>
      </c>
      <c r="E13" s="160" t="s">
        <v>26</v>
      </c>
      <c r="F13" s="161">
        <v>400000</v>
      </c>
      <c r="G13" s="161">
        <f t="shared" si="0"/>
        <v>2400000</v>
      </c>
      <c r="H13" s="161">
        <f>SUM(G13)</f>
        <v>2400000</v>
      </c>
      <c r="I13" s="174" t="s">
        <v>253</v>
      </c>
      <c r="J13" s="168">
        <v>44275</v>
      </c>
      <c r="K13" s="33"/>
      <c r="L13" s="370">
        <v>11</v>
      </c>
      <c r="M13" s="61">
        <v>44247</v>
      </c>
      <c r="N13" s="52" t="s">
        <v>164</v>
      </c>
      <c r="O13" s="53">
        <v>2500000</v>
      </c>
      <c r="P13" s="360" t="s">
        <v>506</v>
      </c>
      <c r="Q13" s="34"/>
      <c r="R13" s="142">
        <f>SUM(O5+O10)</f>
        <v>22786200</v>
      </c>
    </row>
    <row r="14" spans="1:24">
      <c r="A14" s="61">
        <v>44258</v>
      </c>
      <c r="B14" s="73" t="s">
        <v>255</v>
      </c>
      <c r="C14" s="52" t="s">
        <v>164</v>
      </c>
      <c r="D14" s="78">
        <v>3</v>
      </c>
      <c r="E14" s="74" t="s">
        <v>26</v>
      </c>
      <c r="F14" s="53">
        <v>285000</v>
      </c>
      <c r="G14" s="53">
        <f t="shared" si="0"/>
        <v>855000</v>
      </c>
      <c r="H14" s="705">
        <f>SUM(G14:G15)</f>
        <v>1710000</v>
      </c>
      <c r="I14" s="708" t="s">
        <v>507</v>
      </c>
      <c r="J14" s="34"/>
      <c r="K14" s="34"/>
      <c r="L14" s="369">
        <v>12</v>
      </c>
      <c r="M14" s="287">
        <v>44249</v>
      </c>
      <c r="N14" s="289" t="s">
        <v>63</v>
      </c>
      <c r="O14" s="263">
        <v>21550000</v>
      </c>
      <c r="P14" s="303" t="s">
        <v>506</v>
      </c>
      <c r="Q14" s="34"/>
    </row>
    <row r="15" spans="1:24">
      <c r="A15" s="52"/>
      <c r="B15" s="73" t="s">
        <v>256</v>
      </c>
      <c r="C15" s="52" t="s">
        <v>164</v>
      </c>
      <c r="D15" s="78">
        <v>3</v>
      </c>
      <c r="E15" s="74" t="s">
        <v>26</v>
      </c>
      <c r="F15" s="53">
        <v>285000</v>
      </c>
      <c r="G15" s="53">
        <f t="shared" si="0"/>
        <v>855000</v>
      </c>
      <c r="H15" s="707"/>
      <c r="I15" s="710"/>
      <c r="J15" s="34"/>
      <c r="K15" s="34"/>
      <c r="L15" s="369">
        <v>13</v>
      </c>
      <c r="M15" s="287">
        <v>44256</v>
      </c>
      <c r="N15" s="289" t="s">
        <v>63</v>
      </c>
      <c r="O15" s="263">
        <v>3800000</v>
      </c>
      <c r="P15" s="303" t="s">
        <v>506</v>
      </c>
      <c r="Q15" s="36">
        <f>SUM(O14+O15)</f>
        <v>25350000</v>
      </c>
      <c r="T15" s="142">
        <f>SUM(O6:O7)</f>
        <v>12100000</v>
      </c>
    </row>
    <row r="16" spans="1:24">
      <c r="A16" s="63">
        <v>44258</v>
      </c>
      <c r="B16" s="21" t="s">
        <v>257</v>
      </c>
      <c r="C16" s="25" t="s">
        <v>21</v>
      </c>
      <c r="D16" s="58">
        <v>2</v>
      </c>
      <c r="E16" s="41" t="s">
        <v>61</v>
      </c>
      <c r="F16" s="24">
        <v>1100000</v>
      </c>
      <c r="G16" s="24">
        <f t="shared" si="0"/>
        <v>2200000</v>
      </c>
      <c r="H16" s="24">
        <f>SUM(G16)</f>
        <v>2200000</v>
      </c>
      <c r="I16" s="138" t="s">
        <v>253</v>
      </c>
      <c r="J16" s="14"/>
      <c r="K16" s="14"/>
      <c r="L16" s="370">
        <v>14</v>
      </c>
      <c r="M16" s="297">
        <v>44260</v>
      </c>
      <c r="N16" s="71" t="s">
        <v>277</v>
      </c>
      <c r="O16" s="68">
        <v>6000000</v>
      </c>
      <c r="P16" s="359" t="s">
        <v>506</v>
      </c>
      <c r="Q16" s="36">
        <f>O16+O18</f>
        <v>11403000</v>
      </c>
      <c r="R16" s="142">
        <f>SUM(O16+O18)</f>
        <v>11403000</v>
      </c>
    </row>
    <row r="17" spans="1:18">
      <c r="A17" s="217">
        <v>44259</v>
      </c>
      <c r="B17" s="216" t="s">
        <v>258</v>
      </c>
      <c r="C17" s="218" t="s">
        <v>18</v>
      </c>
      <c r="D17" s="221">
        <v>5</v>
      </c>
      <c r="E17" s="222" t="s">
        <v>26</v>
      </c>
      <c r="F17" s="220">
        <v>40000</v>
      </c>
      <c r="G17" s="220">
        <f t="shared" si="0"/>
        <v>200000</v>
      </c>
      <c r="H17" s="785">
        <f>SUM(G17:G28)</f>
        <v>5820000</v>
      </c>
      <c r="I17" s="788" t="s">
        <v>253</v>
      </c>
      <c r="J17" s="226">
        <v>44301</v>
      </c>
      <c r="K17" s="33"/>
      <c r="L17" s="370">
        <v>15</v>
      </c>
      <c r="M17" s="352">
        <v>44256</v>
      </c>
      <c r="N17" s="353" t="s">
        <v>18</v>
      </c>
      <c r="O17" s="354">
        <v>4150000</v>
      </c>
      <c r="P17" s="355" t="s">
        <v>506</v>
      </c>
      <c r="Q17" s="14"/>
    </row>
    <row r="18" spans="1:18">
      <c r="A18" s="218"/>
      <c r="B18" s="216" t="s">
        <v>259</v>
      </c>
      <c r="C18" s="218" t="s">
        <v>18</v>
      </c>
      <c r="D18" s="221">
        <v>5</v>
      </c>
      <c r="E18" s="222" t="s">
        <v>26</v>
      </c>
      <c r="F18" s="220">
        <v>125000</v>
      </c>
      <c r="G18" s="220">
        <f t="shared" si="0"/>
        <v>625000</v>
      </c>
      <c r="H18" s="786"/>
      <c r="I18" s="789"/>
      <c r="J18" s="782" t="s">
        <v>435</v>
      </c>
      <c r="K18" s="438"/>
      <c r="L18" s="369">
        <v>16</v>
      </c>
      <c r="M18" s="356">
        <v>44280</v>
      </c>
      <c r="N18" s="357" t="s">
        <v>277</v>
      </c>
      <c r="O18" s="358">
        <v>5403000</v>
      </c>
      <c r="P18" s="359" t="s">
        <v>506</v>
      </c>
      <c r="Q18" s="14"/>
      <c r="R18" s="142">
        <f>SUM(O12:O13)</f>
        <v>6000000</v>
      </c>
    </row>
    <row r="19" spans="1:18">
      <c r="A19" s="218"/>
      <c r="B19" s="216" t="s">
        <v>260</v>
      </c>
      <c r="C19" s="218" t="s">
        <v>18</v>
      </c>
      <c r="D19" s="221">
        <v>5</v>
      </c>
      <c r="E19" s="222" t="s">
        <v>26</v>
      </c>
      <c r="F19" s="220">
        <v>110000</v>
      </c>
      <c r="G19" s="220">
        <f t="shared" si="0"/>
        <v>550000</v>
      </c>
      <c r="H19" s="786"/>
      <c r="I19" s="789"/>
      <c r="J19" s="782"/>
      <c r="K19" s="438"/>
      <c r="L19" s="369">
        <v>17</v>
      </c>
      <c r="M19" s="405">
        <v>44295</v>
      </c>
      <c r="N19" s="406" t="s">
        <v>28</v>
      </c>
      <c r="O19" s="267">
        <v>4300000</v>
      </c>
      <c r="P19" s="240" t="s">
        <v>804</v>
      </c>
      <c r="Q19" s="14"/>
    </row>
    <row r="20" spans="1:18">
      <c r="A20" s="218"/>
      <c r="B20" s="216" t="s">
        <v>261</v>
      </c>
      <c r="C20" s="218" t="s">
        <v>18</v>
      </c>
      <c r="D20" s="221">
        <v>3</v>
      </c>
      <c r="E20" s="222" t="s">
        <v>26</v>
      </c>
      <c r="F20" s="220">
        <v>40000</v>
      </c>
      <c r="G20" s="220">
        <f t="shared" si="0"/>
        <v>120000</v>
      </c>
      <c r="H20" s="786"/>
      <c r="I20" s="789"/>
      <c r="J20" s="782"/>
      <c r="K20" s="438"/>
      <c r="L20" s="370">
        <v>18</v>
      </c>
      <c r="M20" s="392">
        <v>44355</v>
      </c>
      <c r="N20" s="437" t="s">
        <v>97</v>
      </c>
      <c r="O20" s="211">
        <v>7999000</v>
      </c>
      <c r="P20" s="208" t="s">
        <v>855</v>
      </c>
      <c r="Q20" s="14"/>
      <c r="R20" s="2"/>
    </row>
    <row r="21" spans="1:18">
      <c r="A21" s="218" t="s">
        <v>154</v>
      </c>
      <c r="B21" s="216" t="s">
        <v>250</v>
      </c>
      <c r="C21" s="218" t="s">
        <v>18</v>
      </c>
      <c r="D21" s="221">
        <v>10</v>
      </c>
      <c r="E21" s="222" t="s">
        <v>26</v>
      </c>
      <c r="F21" s="220"/>
      <c r="G21" s="220">
        <f t="shared" si="0"/>
        <v>0</v>
      </c>
      <c r="H21" s="786"/>
      <c r="I21" s="789"/>
      <c r="J21" s="782"/>
      <c r="K21" s="438"/>
      <c r="L21" s="370">
        <v>19</v>
      </c>
      <c r="M21" s="409">
        <v>44261</v>
      </c>
      <c r="N21" s="271" t="s">
        <v>96</v>
      </c>
      <c r="O21" s="273">
        <v>7250000</v>
      </c>
      <c r="P21" s="410" t="s">
        <v>806</v>
      </c>
      <c r="Q21" s="14"/>
    </row>
    <row r="22" spans="1:18">
      <c r="A22" s="218" t="s">
        <v>154</v>
      </c>
      <c r="B22" s="216" t="s">
        <v>251</v>
      </c>
      <c r="C22" s="218" t="s">
        <v>18</v>
      </c>
      <c r="D22" s="221">
        <v>10</v>
      </c>
      <c r="E22" s="222" t="s">
        <v>26</v>
      </c>
      <c r="F22" s="220"/>
      <c r="G22" s="220">
        <f t="shared" si="0"/>
        <v>0</v>
      </c>
      <c r="H22" s="786"/>
      <c r="I22" s="789"/>
      <c r="J22" s="782"/>
      <c r="K22" s="438"/>
      <c r="L22" s="369">
        <v>20</v>
      </c>
      <c r="M22" s="366">
        <v>44270</v>
      </c>
      <c r="N22" s="367" t="s">
        <v>96</v>
      </c>
      <c r="O22" s="273">
        <v>2900000</v>
      </c>
      <c r="P22" s="410" t="s">
        <v>806</v>
      </c>
      <c r="Q22" s="14"/>
    </row>
    <row r="23" spans="1:18">
      <c r="A23" s="218" t="s">
        <v>268</v>
      </c>
      <c r="B23" s="216" t="s">
        <v>262</v>
      </c>
      <c r="C23" s="218" t="s">
        <v>18</v>
      </c>
      <c r="D23" s="221">
        <v>60</v>
      </c>
      <c r="E23" s="222" t="s">
        <v>26</v>
      </c>
      <c r="F23" s="220"/>
      <c r="G23" s="220">
        <f t="shared" si="0"/>
        <v>0</v>
      </c>
      <c r="H23" s="786"/>
      <c r="I23" s="789"/>
      <c r="J23" s="782"/>
      <c r="K23" s="438"/>
      <c r="Q23" s="14"/>
    </row>
    <row r="24" spans="1:18">
      <c r="A24" s="218"/>
      <c r="B24" s="216" t="s">
        <v>263</v>
      </c>
      <c r="C24" s="218" t="s">
        <v>18</v>
      </c>
      <c r="D24" s="221">
        <v>10</v>
      </c>
      <c r="E24" s="222" t="s">
        <v>26</v>
      </c>
      <c r="F24" s="220">
        <v>200000</v>
      </c>
      <c r="G24" s="220">
        <f t="shared" si="0"/>
        <v>2000000</v>
      </c>
      <c r="H24" s="786"/>
      <c r="I24" s="789"/>
      <c r="J24" s="782"/>
      <c r="K24" s="439"/>
      <c r="L24" s="14"/>
      <c r="M24" s="39"/>
      <c r="N24" s="14"/>
      <c r="O24" s="22"/>
      <c r="P24" s="14"/>
      <c r="Q24" s="14"/>
    </row>
    <row r="25" spans="1:18">
      <c r="A25" s="218"/>
      <c r="B25" s="216" t="s">
        <v>264</v>
      </c>
      <c r="C25" s="218" t="s">
        <v>18</v>
      </c>
      <c r="D25" s="221">
        <v>5</v>
      </c>
      <c r="E25" s="222" t="s">
        <v>26</v>
      </c>
      <c r="F25" s="220">
        <v>300000</v>
      </c>
      <c r="G25" s="220">
        <f t="shared" si="0"/>
        <v>1500000</v>
      </c>
      <c r="H25" s="786"/>
      <c r="I25" s="789"/>
      <c r="J25" s="782"/>
      <c r="K25" s="439"/>
      <c r="L25" s="14"/>
      <c r="M25" s="39"/>
      <c r="N25" s="14"/>
      <c r="O25" s="36">
        <f>SUM(O3:O24)</f>
        <v>109948200</v>
      </c>
      <c r="P25" s="14"/>
      <c r="Q25" s="14"/>
    </row>
    <row r="26" spans="1:18">
      <c r="A26" s="218"/>
      <c r="B26" s="216" t="s">
        <v>265</v>
      </c>
      <c r="C26" s="218" t="s">
        <v>18</v>
      </c>
      <c r="D26" s="221">
        <v>3</v>
      </c>
      <c r="E26" s="222" t="s">
        <v>26</v>
      </c>
      <c r="F26" s="220">
        <v>110000</v>
      </c>
      <c r="G26" s="220">
        <f t="shared" si="0"/>
        <v>330000</v>
      </c>
      <c r="H26" s="786"/>
      <c r="I26" s="789"/>
      <c r="J26" s="782"/>
      <c r="K26" s="439"/>
      <c r="L26" s="14"/>
      <c r="M26" s="39"/>
      <c r="N26" s="14"/>
      <c r="O26" s="14"/>
      <c r="P26" s="14"/>
      <c r="Q26" s="14"/>
    </row>
    <row r="27" spans="1:18">
      <c r="A27" s="218"/>
      <c r="B27" s="216" t="s">
        <v>266</v>
      </c>
      <c r="C27" s="218" t="s">
        <v>18</v>
      </c>
      <c r="D27" s="221">
        <v>3</v>
      </c>
      <c r="E27" s="222" t="s">
        <v>26</v>
      </c>
      <c r="F27" s="220">
        <v>125000</v>
      </c>
      <c r="G27" s="220">
        <f t="shared" si="0"/>
        <v>375000</v>
      </c>
      <c r="H27" s="786"/>
      <c r="I27" s="789"/>
      <c r="J27" s="782"/>
      <c r="K27" s="439"/>
      <c r="L27" s="14"/>
      <c r="M27" s="39"/>
      <c r="N27" s="39"/>
      <c r="O27" s="22"/>
      <c r="P27" s="14"/>
      <c r="Q27" s="14"/>
    </row>
    <row r="28" spans="1:18">
      <c r="A28" s="218"/>
      <c r="B28" s="216" t="s">
        <v>267</v>
      </c>
      <c r="C28" s="218" t="s">
        <v>18</v>
      </c>
      <c r="D28" s="221">
        <v>3</v>
      </c>
      <c r="E28" s="222" t="s">
        <v>26</v>
      </c>
      <c r="F28" s="220">
        <v>40000</v>
      </c>
      <c r="G28" s="220">
        <f t="shared" si="0"/>
        <v>120000</v>
      </c>
      <c r="H28" s="787"/>
      <c r="I28" s="790"/>
      <c r="J28" s="782"/>
      <c r="K28" s="439"/>
      <c r="L28" s="14"/>
      <c r="M28" s="39"/>
      <c r="N28" s="14"/>
      <c r="O28" s="14"/>
      <c r="P28" s="14"/>
      <c r="Q28" s="14"/>
    </row>
    <row r="29" spans="1:18">
      <c r="A29" s="133">
        <v>44259</v>
      </c>
      <c r="B29" s="134" t="s">
        <v>269</v>
      </c>
      <c r="C29" s="135" t="s">
        <v>18</v>
      </c>
      <c r="D29" s="139">
        <v>3</v>
      </c>
      <c r="E29" s="136" t="s">
        <v>26</v>
      </c>
      <c r="F29" s="137">
        <v>360000</v>
      </c>
      <c r="G29" s="137">
        <f t="shared" si="0"/>
        <v>1080000</v>
      </c>
      <c r="H29" s="791">
        <f>SUM(G29:G30)</f>
        <v>3600000</v>
      </c>
      <c r="I29" s="793" t="s">
        <v>275</v>
      </c>
      <c r="K29" s="246"/>
      <c r="L29" s="14"/>
      <c r="M29" s="39"/>
      <c r="N29" s="14"/>
      <c r="O29" s="14"/>
      <c r="P29" s="14"/>
      <c r="Q29" s="36"/>
    </row>
    <row r="30" spans="1:18">
      <c r="A30" s="135"/>
      <c r="B30" s="134" t="s">
        <v>270</v>
      </c>
      <c r="C30" s="135" t="s">
        <v>18</v>
      </c>
      <c r="D30" s="139">
        <v>7</v>
      </c>
      <c r="E30" s="136" t="s">
        <v>26</v>
      </c>
      <c r="F30" s="137">
        <v>360000</v>
      </c>
      <c r="G30" s="137">
        <f t="shared" si="0"/>
        <v>2520000</v>
      </c>
      <c r="H30" s="792"/>
      <c r="I30" s="794"/>
      <c r="K30" s="246"/>
      <c r="L30" s="14"/>
      <c r="M30" s="39"/>
      <c r="N30" s="14"/>
      <c r="O30" s="14"/>
      <c r="P30" s="14"/>
      <c r="Q30" s="14"/>
    </row>
    <row r="31" spans="1:18">
      <c r="A31" s="287">
        <v>44259</v>
      </c>
      <c r="B31" s="288" t="s">
        <v>271</v>
      </c>
      <c r="C31" s="289" t="s">
        <v>63</v>
      </c>
      <c r="D31" s="290">
        <v>5</v>
      </c>
      <c r="E31" s="291" t="s">
        <v>26</v>
      </c>
      <c r="F31" s="263">
        <v>180000</v>
      </c>
      <c r="G31" s="263">
        <f t="shared" si="0"/>
        <v>900000</v>
      </c>
      <c r="H31" s="739">
        <f>SUM(G31:G35)</f>
        <v>3420000</v>
      </c>
      <c r="I31" s="741" t="s">
        <v>36</v>
      </c>
      <c r="J31" s="738" t="s">
        <v>505</v>
      </c>
      <c r="K31" s="439"/>
      <c r="M31" s="39"/>
      <c r="N31" s="14"/>
      <c r="O31" s="14"/>
      <c r="P31" s="14"/>
      <c r="Q31" s="14"/>
    </row>
    <row r="32" spans="1:18">
      <c r="A32" s="260"/>
      <c r="B32" s="259" t="s">
        <v>272</v>
      </c>
      <c r="C32" s="289" t="s">
        <v>63</v>
      </c>
      <c r="D32" s="261">
        <v>6</v>
      </c>
      <c r="E32" s="291" t="s">
        <v>26</v>
      </c>
      <c r="F32" s="262">
        <v>180000</v>
      </c>
      <c r="G32" s="263">
        <f t="shared" si="0"/>
        <v>1080000</v>
      </c>
      <c r="H32" s="743"/>
      <c r="I32" s="744"/>
      <c r="J32" s="738"/>
      <c r="K32" s="439"/>
    </row>
    <row r="33" spans="1:11">
      <c r="A33" s="260"/>
      <c r="B33" s="259" t="s">
        <v>273</v>
      </c>
      <c r="C33" s="289" t="s">
        <v>63</v>
      </c>
      <c r="D33" s="261">
        <v>3</v>
      </c>
      <c r="E33" s="291" t="s">
        <v>26</v>
      </c>
      <c r="F33" s="262">
        <v>180000</v>
      </c>
      <c r="G33" s="263">
        <f t="shared" si="0"/>
        <v>540000</v>
      </c>
      <c r="H33" s="743"/>
      <c r="I33" s="744"/>
      <c r="J33" s="738"/>
      <c r="K33" s="439"/>
    </row>
    <row r="34" spans="1:11">
      <c r="A34" s="260"/>
      <c r="B34" s="259" t="s">
        <v>125</v>
      </c>
      <c r="C34" s="289" t="s">
        <v>63</v>
      </c>
      <c r="D34" s="261">
        <v>5</v>
      </c>
      <c r="E34" s="291" t="s">
        <v>26</v>
      </c>
      <c r="F34" s="262">
        <v>180000</v>
      </c>
      <c r="G34" s="263">
        <f t="shared" si="0"/>
        <v>900000</v>
      </c>
      <c r="H34" s="743"/>
      <c r="I34" s="744"/>
      <c r="J34" s="738"/>
      <c r="K34" s="439"/>
    </row>
    <row r="35" spans="1:11">
      <c r="A35" s="260"/>
      <c r="B35" s="259" t="s">
        <v>274</v>
      </c>
      <c r="C35" s="289" t="s">
        <v>63</v>
      </c>
      <c r="D35" s="261">
        <v>1</v>
      </c>
      <c r="E35" s="291" t="s">
        <v>26</v>
      </c>
      <c r="F35" s="262">
        <v>0</v>
      </c>
      <c r="G35" s="263">
        <f t="shared" si="0"/>
        <v>0</v>
      </c>
      <c r="H35" s="740"/>
      <c r="I35" s="742"/>
      <c r="J35" s="738"/>
      <c r="K35" s="439"/>
    </row>
    <row r="36" spans="1:11">
      <c r="A36" s="297">
        <v>44260</v>
      </c>
      <c r="B36" s="70" t="s">
        <v>276</v>
      </c>
      <c r="C36" s="71" t="s">
        <v>277</v>
      </c>
      <c r="D36" s="298">
        <v>15</v>
      </c>
      <c r="E36" s="71" t="s">
        <v>26</v>
      </c>
      <c r="F36" s="72">
        <v>400000</v>
      </c>
      <c r="G36" s="68">
        <f t="shared" si="0"/>
        <v>6000000</v>
      </c>
      <c r="H36" s="72">
        <f>SUM(G36)</f>
        <v>6000000</v>
      </c>
      <c r="I36" s="71" t="s">
        <v>151</v>
      </c>
      <c r="J36" s="301" t="s">
        <v>506</v>
      </c>
      <c r="K36" s="246"/>
    </row>
    <row r="37" spans="1:11">
      <c r="A37" s="126">
        <v>44260</v>
      </c>
      <c r="B37" s="40" t="s">
        <v>278</v>
      </c>
      <c r="C37" s="67" t="s">
        <v>280</v>
      </c>
      <c r="D37" s="7">
        <v>2</v>
      </c>
      <c r="E37" s="67" t="s">
        <v>26</v>
      </c>
      <c r="F37" s="65">
        <v>0</v>
      </c>
      <c r="G37" s="24">
        <f t="shared" si="0"/>
        <v>0</v>
      </c>
      <c r="H37" s="65"/>
      <c r="I37" s="67"/>
      <c r="K37" s="246"/>
    </row>
    <row r="38" spans="1:11">
      <c r="A38" s="67"/>
      <c r="B38" s="40" t="s">
        <v>279</v>
      </c>
      <c r="C38" s="67" t="s">
        <v>280</v>
      </c>
      <c r="D38" s="7">
        <v>1</v>
      </c>
      <c r="E38" s="67" t="s">
        <v>26</v>
      </c>
      <c r="F38" s="65">
        <v>0</v>
      </c>
      <c r="G38" s="24">
        <f t="shared" si="0"/>
        <v>0</v>
      </c>
      <c r="H38" s="65"/>
      <c r="I38" s="67"/>
      <c r="K38" s="246"/>
    </row>
    <row r="39" spans="1:11">
      <c r="A39" s="233">
        <v>44260</v>
      </c>
      <c r="B39" s="81" t="s">
        <v>147</v>
      </c>
      <c r="C39" s="82" t="s">
        <v>164</v>
      </c>
      <c r="D39" s="234">
        <v>25</v>
      </c>
      <c r="E39" s="82" t="s">
        <v>26</v>
      </c>
      <c r="F39" s="235">
        <v>150000</v>
      </c>
      <c r="G39" s="53">
        <f t="shared" si="0"/>
        <v>3750000</v>
      </c>
      <c r="H39" s="235">
        <f>SUM(G39)</f>
        <v>3750000</v>
      </c>
      <c r="I39" s="82" t="s">
        <v>253</v>
      </c>
      <c r="J39" s="236"/>
      <c r="K39" s="246"/>
    </row>
    <row r="40" spans="1:11">
      <c r="A40" s="366">
        <v>44261</v>
      </c>
      <c r="B40" s="413" t="s">
        <v>281</v>
      </c>
      <c r="C40" s="367" t="s">
        <v>96</v>
      </c>
      <c r="D40" s="414">
        <v>5</v>
      </c>
      <c r="E40" s="367" t="s">
        <v>26</v>
      </c>
      <c r="F40" s="368">
        <v>1450000</v>
      </c>
      <c r="G40" s="273">
        <f t="shared" si="0"/>
        <v>7250000</v>
      </c>
      <c r="H40" s="368">
        <f>SUM(G40)</f>
        <v>7250000</v>
      </c>
      <c r="I40" s="367" t="s">
        <v>151</v>
      </c>
      <c r="J40" s="362" t="s">
        <v>807</v>
      </c>
      <c r="K40" s="246"/>
    </row>
    <row r="41" spans="1:11">
      <c r="A41" s="233">
        <v>44261</v>
      </c>
      <c r="B41" s="81" t="s">
        <v>147</v>
      </c>
      <c r="C41" s="82" t="s">
        <v>164</v>
      </c>
      <c r="D41" s="234">
        <v>25</v>
      </c>
      <c r="E41" s="82" t="s">
        <v>26</v>
      </c>
      <c r="F41" s="235">
        <v>150000</v>
      </c>
      <c r="G41" s="53">
        <f t="shared" si="0"/>
        <v>3750000</v>
      </c>
      <c r="H41" s="235">
        <f>SUM(G41)</f>
        <v>3750000</v>
      </c>
      <c r="I41" s="82" t="s">
        <v>253</v>
      </c>
      <c r="J41" s="236"/>
      <c r="K41" s="246"/>
    </row>
    <row r="42" spans="1:11">
      <c r="A42" s="382">
        <v>44261</v>
      </c>
      <c r="B42" s="375" t="s">
        <v>282</v>
      </c>
      <c r="C42" s="372" t="s">
        <v>17</v>
      </c>
      <c r="D42" s="376">
        <v>3</v>
      </c>
      <c r="E42" s="372" t="s">
        <v>61</v>
      </c>
      <c r="F42" s="373">
        <v>500000</v>
      </c>
      <c r="G42" s="205">
        <f t="shared" si="0"/>
        <v>1500000</v>
      </c>
      <c r="H42" s="373">
        <f>SUM(G42)</f>
        <v>1500000</v>
      </c>
      <c r="I42" s="372" t="s">
        <v>151</v>
      </c>
      <c r="J42" s="379" t="s">
        <v>506</v>
      </c>
      <c r="K42" s="246"/>
    </row>
    <row r="43" spans="1:11">
      <c r="A43" s="258">
        <v>44263</v>
      </c>
      <c r="B43" s="259" t="s">
        <v>283</v>
      </c>
      <c r="C43" s="260" t="s">
        <v>285</v>
      </c>
      <c r="D43" s="261">
        <v>6</v>
      </c>
      <c r="E43" s="260" t="s">
        <v>26</v>
      </c>
      <c r="F43" s="262">
        <v>729000</v>
      </c>
      <c r="G43" s="263">
        <f t="shared" si="0"/>
        <v>4374000</v>
      </c>
      <c r="H43" s="262">
        <f>G43</f>
        <v>4374000</v>
      </c>
      <c r="I43" s="260" t="s">
        <v>35</v>
      </c>
      <c r="J43" s="247" t="s">
        <v>496</v>
      </c>
      <c r="K43" s="440"/>
    </row>
    <row r="44" spans="1:11">
      <c r="A44" s="233">
        <v>44263</v>
      </c>
      <c r="B44" s="81" t="s">
        <v>284</v>
      </c>
      <c r="C44" s="82" t="s">
        <v>164</v>
      </c>
      <c r="D44" s="234">
        <v>2</v>
      </c>
      <c r="E44" s="82" t="s">
        <v>26</v>
      </c>
      <c r="F44" s="235">
        <v>740000</v>
      </c>
      <c r="G44" s="53">
        <f t="shared" si="0"/>
        <v>1480000</v>
      </c>
      <c r="H44" s="757">
        <f>G44+G45</f>
        <v>2960000</v>
      </c>
      <c r="I44" s="762" t="s">
        <v>253</v>
      </c>
      <c r="J44" s="236"/>
      <c r="K44" s="246"/>
    </row>
    <row r="45" spans="1:11">
      <c r="A45" s="82"/>
      <c r="B45" s="81" t="s">
        <v>286</v>
      </c>
      <c r="C45" s="82" t="s">
        <v>164</v>
      </c>
      <c r="D45" s="234">
        <v>2</v>
      </c>
      <c r="E45" s="82" t="s">
        <v>26</v>
      </c>
      <c r="F45" s="235">
        <v>740000</v>
      </c>
      <c r="G45" s="53">
        <f t="shared" si="0"/>
        <v>1480000</v>
      </c>
      <c r="H45" s="759"/>
      <c r="I45" s="764"/>
      <c r="J45" s="236"/>
      <c r="K45" s="246"/>
    </row>
    <row r="46" spans="1:11">
      <c r="A46" s="126">
        <v>44263</v>
      </c>
      <c r="B46" s="40" t="s">
        <v>287</v>
      </c>
      <c r="C46" s="67" t="s">
        <v>21</v>
      </c>
      <c r="D46" s="7">
        <v>1</v>
      </c>
      <c r="E46" s="67" t="s">
        <v>61</v>
      </c>
      <c r="F46" s="65">
        <v>1056000</v>
      </c>
      <c r="G46" s="24">
        <f t="shared" si="0"/>
        <v>1056000</v>
      </c>
      <c r="H46" s="65">
        <f>G46</f>
        <v>1056000</v>
      </c>
      <c r="I46" s="67" t="s">
        <v>253</v>
      </c>
      <c r="K46" s="246"/>
    </row>
    <row r="47" spans="1:11">
      <c r="A47" s="233">
        <v>44263</v>
      </c>
      <c r="B47" s="81" t="s">
        <v>288</v>
      </c>
      <c r="C47" s="82" t="s">
        <v>164</v>
      </c>
      <c r="D47" s="234">
        <v>4</v>
      </c>
      <c r="E47" s="82" t="s">
        <v>26</v>
      </c>
      <c r="F47" s="235">
        <v>740000</v>
      </c>
      <c r="G47" s="53">
        <f t="shared" si="0"/>
        <v>2960000</v>
      </c>
      <c r="H47" s="757">
        <f>SUM(G47:G52)</f>
        <v>11630000</v>
      </c>
      <c r="I47" s="762" t="s">
        <v>253</v>
      </c>
      <c r="J47" s="236"/>
      <c r="K47" s="246"/>
    </row>
    <row r="48" spans="1:11">
      <c r="A48" s="82"/>
      <c r="B48" s="81" t="s">
        <v>289</v>
      </c>
      <c r="C48" s="82" t="s">
        <v>164</v>
      </c>
      <c r="D48" s="234">
        <v>4</v>
      </c>
      <c r="E48" s="82" t="s">
        <v>26</v>
      </c>
      <c r="F48" s="235">
        <v>740000</v>
      </c>
      <c r="G48" s="53">
        <f t="shared" si="0"/>
        <v>2960000</v>
      </c>
      <c r="H48" s="758"/>
      <c r="I48" s="763"/>
      <c r="J48" s="236"/>
      <c r="K48" s="246"/>
    </row>
    <row r="49" spans="1:11">
      <c r="A49" s="82"/>
      <c r="B49" s="81" t="s">
        <v>284</v>
      </c>
      <c r="C49" s="82" t="s">
        <v>164</v>
      </c>
      <c r="D49" s="234">
        <v>2</v>
      </c>
      <c r="E49" s="82" t="s">
        <v>26</v>
      </c>
      <c r="F49" s="235">
        <v>740000</v>
      </c>
      <c r="G49" s="53">
        <f t="shared" si="0"/>
        <v>1480000</v>
      </c>
      <c r="H49" s="758"/>
      <c r="I49" s="763"/>
      <c r="J49" s="236"/>
      <c r="K49" s="246"/>
    </row>
    <row r="50" spans="1:11">
      <c r="A50" s="82"/>
      <c r="B50" s="81" t="s">
        <v>290</v>
      </c>
      <c r="C50" s="82" t="s">
        <v>164</v>
      </c>
      <c r="D50" s="234">
        <v>2</v>
      </c>
      <c r="E50" s="82" t="s">
        <v>26</v>
      </c>
      <c r="F50" s="235">
        <v>740000</v>
      </c>
      <c r="G50" s="53">
        <f t="shared" si="0"/>
        <v>1480000</v>
      </c>
      <c r="H50" s="758"/>
      <c r="I50" s="763"/>
      <c r="J50" s="236"/>
      <c r="K50" s="246"/>
    </row>
    <row r="51" spans="1:11">
      <c r="A51" s="82"/>
      <c r="B51" s="81" t="s">
        <v>291</v>
      </c>
      <c r="C51" s="82" t="s">
        <v>164</v>
      </c>
      <c r="D51" s="234">
        <v>2</v>
      </c>
      <c r="E51" s="82" t="s">
        <v>26</v>
      </c>
      <c r="F51" s="235">
        <v>740000</v>
      </c>
      <c r="G51" s="53">
        <f t="shared" si="0"/>
        <v>1480000</v>
      </c>
      <c r="H51" s="758"/>
      <c r="I51" s="763"/>
      <c r="J51" s="236"/>
      <c r="K51" s="246"/>
    </row>
    <row r="52" spans="1:11">
      <c r="A52" s="82"/>
      <c r="B52" s="81" t="s">
        <v>292</v>
      </c>
      <c r="C52" s="82" t="s">
        <v>164</v>
      </c>
      <c r="D52" s="234">
        <v>2</v>
      </c>
      <c r="E52" s="82" t="s">
        <v>26</v>
      </c>
      <c r="F52" s="235">
        <v>635000</v>
      </c>
      <c r="G52" s="53">
        <f t="shared" si="0"/>
        <v>1270000</v>
      </c>
      <c r="H52" s="759"/>
      <c r="I52" s="764"/>
      <c r="J52" s="236"/>
      <c r="K52" s="246"/>
    </row>
    <row r="53" spans="1:11">
      <c r="A53" s="197">
        <v>44264</v>
      </c>
      <c r="B53" s="190" t="s">
        <v>293</v>
      </c>
      <c r="C53" s="191" t="s">
        <v>49</v>
      </c>
      <c r="D53" s="193">
        <v>10</v>
      </c>
      <c r="E53" s="191" t="s">
        <v>26</v>
      </c>
      <c r="F53" s="192">
        <v>1650000</v>
      </c>
      <c r="G53" s="184">
        <f t="shared" si="0"/>
        <v>16500000</v>
      </c>
      <c r="H53" s="765">
        <f>SUM(G53:G60)</f>
        <v>24960000</v>
      </c>
      <c r="I53" s="768" t="s">
        <v>253</v>
      </c>
      <c r="J53" s="783">
        <v>44292</v>
      </c>
      <c r="K53" s="441"/>
    </row>
    <row r="54" spans="1:11">
      <c r="A54" s="191"/>
      <c r="B54" s="190" t="s">
        <v>294</v>
      </c>
      <c r="C54" s="191" t="s">
        <v>49</v>
      </c>
      <c r="D54" s="193">
        <v>2</v>
      </c>
      <c r="E54" s="191" t="s">
        <v>26</v>
      </c>
      <c r="F54" s="192">
        <v>1050000</v>
      </c>
      <c r="G54" s="184">
        <f t="shared" si="0"/>
        <v>2100000</v>
      </c>
      <c r="H54" s="766"/>
      <c r="I54" s="769"/>
      <c r="J54" s="784"/>
      <c r="K54" s="426"/>
    </row>
    <row r="55" spans="1:11">
      <c r="A55" s="191"/>
      <c r="B55" s="190" t="s">
        <v>295</v>
      </c>
      <c r="C55" s="191" t="s">
        <v>49</v>
      </c>
      <c r="D55" s="193">
        <v>10</v>
      </c>
      <c r="E55" s="191" t="s">
        <v>26</v>
      </c>
      <c r="F55" s="192">
        <v>45000</v>
      </c>
      <c r="G55" s="184">
        <f t="shared" si="0"/>
        <v>450000</v>
      </c>
      <c r="H55" s="766"/>
      <c r="I55" s="769"/>
      <c r="J55" s="784"/>
      <c r="K55" s="426"/>
    </row>
    <row r="56" spans="1:11">
      <c r="A56" s="191"/>
      <c r="B56" s="190" t="s">
        <v>296</v>
      </c>
      <c r="C56" s="191" t="s">
        <v>49</v>
      </c>
      <c r="D56" s="193">
        <v>5</v>
      </c>
      <c r="E56" s="191" t="s">
        <v>26</v>
      </c>
      <c r="F56" s="192">
        <v>45000</v>
      </c>
      <c r="G56" s="184">
        <f t="shared" si="0"/>
        <v>225000</v>
      </c>
      <c r="H56" s="766"/>
      <c r="I56" s="769"/>
      <c r="J56" s="784"/>
      <c r="K56" s="426"/>
    </row>
    <row r="57" spans="1:11">
      <c r="A57" s="191"/>
      <c r="B57" s="190" t="s">
        <v>297</v>
      </c>
      <c r="C57" s="191" t="s">
        <v>49</v>
      </c>
      <c r="D57" s="193">
        <v>4</v>
      </c>
      <c r="E57" s="191" t="s">
        <v>26</v>
      </c>
      <c r="F57" s="192">
        <v>840000</v>
      </c>
      <c r="G57" s="184">
        <f t="shared" si="0"/>
        <v>3360000</v>
      </c>
      <c r="H57" s="766"/>
      <c r="I57" s="769"/>
      <c r="J57" s="784"/>
      <c r="K57" s="426"/>
    </row>
    <row r="58" spans="1:11">
      <c r="A58" s="191"/>
      <c r="B58" s="190" t="s">
        <v>298</v>
      </c>
      <c r="C58" s="191" t="s">
        <v>49</v>
      </c>
      <c r="D58" s="193">
        <v>5</v>
      </c>
      <c r="E58" s="191" t="s">
        <v>26</v>
      </c>
      <c r="F58" s="192">
        <v>150000</v>
      </c>
      <c r="G58" s="184">
        <f t="shared" si="0"/>
        <v>750000</v>
      </c>
      <c r="H58" s="766"/>
      <c r="I58" s="769"/>
      <c r="J58" s="784"/>
      <c r="K58" s="426"/>
    </row>
    <row r="59" spans="1:11">
      <c r="A59" s="191"/>
      <c r="B59" s="190" t="s">
        <v>299</v>
      </c>
      <c r="C59" s="191" t="s">
        <v>49</v>
      </c>
      <c r="D59" s="193">
        <v>5</v>
      </c>
      <c r="E59" s="191" t="s">
        <v>26</v>
      </c>
      <c r="F59" s="192">
        <v>150000</v>
      </c>
      <c r="G59" s="184">
        <f t="shared" si="0"/>
        <v>750000</v>
      </c>
      <c r="H59" s="766"/>
      <c r="I59" s="769"/>
      <c r="J59" s="784"/>
      <c r="K59" s="426"/>
    </row>
    <row r="60" spans="1:11">
      <c r="A60" s="191"/>
      <c r="B60" s="190" t="s">
        <v>300</v>
      </c>
      <c r="C60" s="191" t="s">
        <v>49</v>
      </c>
      <c r="D60" s="193">
        <v>5</v>
      </c>
      <c r="E60" s="191" t="s">
        <v>26</v>
      </c>
      <c r="F60" s="192">
        <v>165000</v>
      </c>
      <c r="G60" s="184">
        <f t="shared" si="0"/>
        <v>825000</v>
      </c>
      <c r="H60" s="767"/>
      <c r="I60" s="770"/>
      <c r="J60" s="784"/>
      <c r="K60" s="426"/>
    </row>
    <row r="61" spans="1:11">
      <c r="A61" s="233">
        <v>44264</v>
      </c>
      <c r="B61" s="81" t="s">
        <v>301</v>
      </c>
      <c r="C61" s="82" t="s">
        <v>164</v>
      </c>
      <c r="D61" s="234">
        <v>2</v>
      </c>
      <c r="E61" s="82" t="s">
        <v>26</v>
      </c>
      <c r="F61" s="235">
        <v>635000</v>
      </c>
      <c r="G61" s="53">
        <f t="shared" si="0"/>
        <v>1270000</v>
      </c>
      <c r="H61" s="757">
        <f>SUM(G61:G65)</f>
        <v>9310000</v>
      </c>
      <c r="I61" s="762" t="s">
        <v>253</v>
      </c>
      <c r="J61" s="238"/>
      <c r="K61" s="442"/>
    </row>
    <row r="62" spans="1:11">
      <c r="A62" s="82"/>
      <c r="B62" s="81" t="s">
        <v>302</v>
      </c>
      <c r="C62" s="82" t="s">
        <v>164</v>
      </c>
      <c r="D62" s="234">
        <v>2</v>
      </c>
      <c r="E62" s="82" t="s">
        <v>26</v>
      </c>
      <c r="F62" s="235">
        <v>635000</v>
      </c>
      <c r="G62" s="53">
        <f t="shared" si="0"/>
        <v>1270000</v>
      </c>
      <c r="H62" s="758"/>
      <c r="I62" s="763"/>
      <c r="J62" s="236"/>
      <c r="K62" s="246"/>
    </row>
    <row r="63" spans="1:11">
      <c r="A63" s="82"/>
      <c r="B63" s="81" t="s">
        <v>303</v>
      </c>
      <c r="C63" s="82" t="s">
        <v>164</v>
      </c>
      <c r="D63" s="234">
        <v>2</v>
      </c>
      <c r="E63" s="82" t="s">
        <v>26</v>
      </c>
      <c r="F63" s="235">
        <v>740000</v>
      </c>
      <c r="G63" s="53">
        <f t="shared" si="0"/>
        <v>1480000</v>
      </c>
      <c r="H63" s="758"/>
      <c r="I63" s="763"/>
      <c r="J63" s="236"/>
      <c r="K63" s="246"/>
    </row>
    <row r="64" spans="1:11">
      <c r="A64" s="82"/>
      <c r="B64" s="81" t="s">
        <v>304</v>
      </c>
      <c r="C64" s="82" t="s">
        <v>164</v>
      </c>
      <c r="D64" s="234">
        <v>6</v>
      </c>
      <c r="E64" s="82" t="s">
        <v>26</v>
      </c>
      <c r="F64" s="235">
        <v>635000</v>
      </c>
      <c r="G64" s="53">
        <f t="shared" si="0"/>
        <v>3810000</v>
      </c>
      <c r="H64" s="758"/>
      <c r="I64" s="763"/>
      <c r="J64" s="236"/>
      <c r="K64" s="246"/>
    </row>
    <row r="65" spans="1:11">
      <c r="A65" s="82"/>
      <c r="B65" s="81" t="s">
        <v>305</v>
      </c>
      <c r="C65" s="82" t="s">
        <v>164</v>
      </c>
      <c r="D65" s="234">
        <v>2</v>
      </c>
      <c r="E65" s="82" t="s">
        <v>26</v>
      </c>
      <c r="F65" s="235">
        <v>740000</v>
      </c>
      <c r="G65" s="53">
        <f t="shared" si="0"/>
        <v>1480000</v>
      </c>
      <c r="H65" s="759"/>
      <c r="I65" s="764"/>
      <c r="J65" s="236"/>
      <c r="K65" s="246"/>
    </row>
    <row r="66" spans="1:11">
      <c r="A66" s="126">
        <v>44267</v>
      </c>
      <c r="B66" s="40" t="s">
        <v>306</v>
      </c>
      <c r="C66" s="67" t="s">
        <v>280</v>
      </c>
      <c r="D66" s="7">
        <v>1</v>
      </c>
      <c r="E66" s="67" t="s">
        <v>26</v>
      </c>
      <c r="F66" s="65"/>
      <c r="G66" s="24">
        <f t="shared" si="0"/>
        <v>0</v>
      </c>
      <c r="H66" s="773"/>
      <c r="I66" s="773"/>
      <c r="K66" s="246"/>
    </row>
    <row r="67" spans="1:11">
      <c r="A67" s="67"/>
      <c r="B67" s="40" t="s">
        <v>307</v>
      </c>
      <c r="C67" s="67" t="s">
        <v>280</v>
      </c>
      <c r="D67" s="7">
        <v>1</v>
      </c>
      <c r="E67" s="67" t="s">
        <v>26</v>
      </c>
      <c r="F67" s="65"/>
      <c r="G67" s="24">
        <f t="shared" si="0"/>
        <v>0</v>
      </c>
      <c r="H67" s="774"/>
      <c r="I67" s="774"/>
      <c r="K67" s="246"/>
    </row>
    <row r="68" spans="1:11">
      <c r="A68" s="233">
        <v>44268</v>
      </c>
      <c r="B68" s="81" t="s">
        <v>308</v>
      </c>
      <c r="C68" s="82" t="s">
        <v>164</v>
      </c>
      <c r="D68" s="234">
        <v>2</v>
      </c>
      <c r="E68" s="82" t="s">
        <v>26</v>
      </c>
      <c r="F68" s="235">
        <v>740000</v>
      </c>
      <c r="G68" s="53">
        <f t="shared" ref="G68:G142" si="1">F68*D68</f>
        <v>1480000</v>
      </c>
      <c r="H68" s="757">
        <f>SUM(G68:G74)</f>
        <v>12060000</v>
      </c>
      <c r="I68" s="762" t="s">
        <v>253</v>
      </c>
      <c r="J68" s="236"/>
      <c r="K68" s="246"/>
    </row>
    <row r="69" spans="1:11">
      <c r="A69" s="82"/>
      <c r="B69" s="81" t="s">
        <v>309</v>
      </c>
      <c r="C69" s="82" t="s">
        <v>164</v>
      </c>
      <c r="D69" s="234">
        <v>2</v>
      </c>
      <c r="E69" s="82" t="s">
        <v>26</v>
      </c>
      <c r="F69" s="235">
        <v>740000</v>
      </c>
      <c r="G69" s="53">
        <f t="shared" si="1"/>
        <v>1480000</v>
      </c>
      <c r="H69" s="758"/>
      <c r="I69" s="763"/>
      <c r="J69" s="236"/>
      <c r="K69" s="246"/>
    </row>
    <row r="70" spans="1:11">
      <c r="A70" s="82"/>
      <c r="B70" s="81" t="s">
        <v>310</v>
      </c>
      <c r="C70" s="82" t="s">
        <v>164</v>
      </c>
      <c r="D70" s="234">
        <v>4</v>
      </c>
      <c r="E70" s="82" t="s">
        <v>26</v>
      </c>
      <c r="F70" s="235">
        <v>635000</v>
      </c>
      <c r="G70" s="53">
        <f t="shared" si="1"/>
        <v>2540000</v>
      </c>
      <c r="H70" s="758"/>
      <c r="I70" s="763"/>
      <c r="J70" s="236"/>
      <c r="K70" s="246"/>
    </row>
    <row r="71" spans="1:11">
      <c r="A71" s="82"/>
      <c r="B71" s="81" t="s">
        <v>311</v>
      </c>
      <c r="C71" s="82" t="s">
        <v>164</v>
      </c>
      <c r="D71" s="234">
        <v>4</v>
      </c>
      <c r="E71" s="82" t="s">
        <v>26</v>
      </c>
      <c r="F71" s="235">
        <v>635000</v>
      </c>
      <c r="G71" s="53">
        <f t="shared" si="1"/>
        <v>2540000</v>
      </c>
      <c r="H71" s="758"/>
      <c r="I71" s="763"/>
      <c r="J71" s="236"/>
      <c r="K71" s="246"/>
    </row>
    <row r="72" spans="1:11">
      <c r="A72" s="82"/>
      <c r="B72" s="81" t="s">
        <v>312</v>
      </c>
      <c r="C72" s="82" t="s">
        <v>164</v>
      </c>
      <c r="D72" s="234">
        <v>2</v>
      </c>
      <c r="E72" s="82" t="s">
        <v>26</v>
      </c>
      <c r="F72" s="235">
        <v>635000</v>
      </c>
      <c r="G72" s="53">
        <f t="shared" si="1"/>
        <v>1270000</v>
      </c>
      <c r="H72" s="758"/>
      <c r="I72" s="763"/>
      <c r="J72" s="236"/>
      <c r="K72" s="246"/>
    </row>
    <row r="73" spans="1:11">
      <c r="A73" s="82"/>
      <c r="B73" s="81" t="s">
        <v>313</v>
      </c>
      <c r="C73" s="82" t="s">
        <v>164</v>
      </c>
      <c r="D73" s="234">
        <v>2</v>
      </c>
      <c r="E73" s="82" t="s">
        <v>26</v>
      </c>
      <c r="F73" s="235">
        <v>635000</v>
      </c>
      <c r="G73" s="53">
        <f t="shared" si="1"/>
        <v>1270000</v>
      </c>
      <c r="H73" s="758"/>
      <c r="I73" s="763"/>
      <c r="J73" s="236"/>
      <c r="K73" s="246"/>
    </row>
    <row r="74" spans="1:11">
      <c r="A74" s="82"/>
      <c r="B74" s="81" t="s">
        <v>314</v>
      </c>
      <c r="C74" s="82" t="s">
        <v>164</v>
      </c>
      <c r="D74" s="234">
        <v>2</v>
      </c>
      <c r="E74" s="82" t="s">
        <v>26</v>
      </c>
      <c r="F74" s="235">
        <v>740000</v>
      </c>
      <c r="G74" s="53">
        <f t="shared" si="1"/>
        <v>1480000</v>
      </c>
      <c r="H74" s="759"/>
      <c r="I74" s="764"/>
      <c r="J74" s="236"/>
      <c r="K74" s="246"/>
    </row>
    <row r="75" spans="1:11">
      <c r="A75" s="233">
        <v>44268</v>
      </c>
      <c r="B75" s="81" t="s">
        <v>315</v>
      </c>
      <c r="C75" s="82" t="s">
        <v>164</v>
      </c>
      <c r="D75" s="234">
        <v>4</v>
      </c>
      <c r="E75" s="82" t="s">
        <v>26</v>
      </c>
      <c r="F75" s="235">
        <v>635000</v>
      </c>
      <c r="G75" s="53">
        <f t="shared" si="1"/>
        <v>2540000</v>
      </c>
      <c r="H75" s="757">
        <f>SUM(G75:G80)</f>
        <v>6970000</v>
      </c>
      <c r="I75" s="762" t="s">
        <v>253</v>
      </c>
      <c r="J75" s="236"/>
      <c r="K75" s="246"/>
    </row>
    <row r="76" spans="1:11">
      <c r="A76" s="82"/>
      <c r="B76" s="81" t="s">
        <v>316</v>
      </c>
      <c r="C76" s="82" t="s">
        <v>164</v>
      </c>
      <c r="D76" s="234">
        <v>2</v>
      </c>
      <c r="E76" s="82" t="s">
        <v>26</v>
      </c>
      <c r="F76" s="235">
        <v>635000</v>
      </c>
      <c r="G76" s="53">
        <f t="shared" si="1"/>
        <v>1270000</v>
      </c>
      <c r="H76" s="758"/>
      <c r="I76" s="763"/>
      <c r="J76" s="236"/>
      <c r="K76" s="246"/>
    </row>
    <row r="77" spans="1:11">
      <c r="A77" s="82"/>
      <c r="B77" s="81" t="s">
        <v>317</v>
      </c>
      <c r="C77" s="82" t="s">
        <v>164</v>
      </c>
      <c r="D77" s="234">
        <v>2</v>
      </c>
      <c r="E77" s="82" t="s">
        <v>26</v>
      </c>
      <c r="F77" s="235">
        <v>740000</v>
      </c>
      <c r="G77" s="53">
        <f t="shared" si="1"/>
        <v>1480000</v>
      </c>
      <c r="H77" s="758"/>
      <c r="I77" s="763"/>
      <c r="J77" s="236"/>
      <c r="K77" s="246"/>
    </row>
    <row r="78" spans="1:11">
      <c r="A78" s="82"/>
      <c r="B78" s="81" t="s">
        <v>318</v>
      </c>
      <c r="C78" s="82" t="s">
        <v>164</v>
      </c>
      <c r="D78" s="234">
        <v>2</v>
      </c>
      <c r="E78" s="82" t="s">
        <v>26</v>
      </c>
      <c r="F78" s="235">
        <v>280000</v>
      </c>
      <c r="G78" s="53">
        <f t="shared" si="1"/>
        <v>560000</v>
      </c>
      <c r="H78" s="758"/>
      <c r="I78" s="763"/>
      <c r="J78" s="236"/>
      <c r="K78" s="246"/>
    </row>
    <row r="79" spans="1:11">
      <c r="A79" s="82"/>
      <c r="B79" s="81" t="s">
        <v>319</v>
      </c>
      <c r="C79" s="82" t="s">
        <v>164</v>
      </c>
      <c r="D79" s="234">
        <v>2</v>
      </c>
      <c r="E79" s="82" t="s">
        <v>26</v>
      </c>
      <c r="F79" s="235">
        <v>280000</v>
      </c>
      <c r="G79" s="53">
        <f t="shared" si="1"/>
        <v>560000</v>
      </c>
      <c r="H79" s="758"/>
      <c r="I79" s="763"/>
      <c r="J79" s="236"/>
      <c r="K79" s="246"/>
    </row>
    <row r="80" spans="1:11">
      <c r="A80" s="82"/>
      <c r="B80" s="81" t="s">
        <v>320</v>
      </c>
      <c r="C80" s="82" t="s">
        <v>164</v>
      </c>
      <c r="D80" s="234">
        <v>2</v>
      </c>
      <c r="E80" s="82" t="s">
        <v>26</v>
      </c>
      <c r="F80" s="235">
        <v>280000</v>
      </c>
      <c r="G80" s="53">
        <f t="shared" si="1"/>
        <v>560000</v>
      </c>
      <c r="H80" s="759"/>
      <c r="I80" s="764"/>
      <c r="J80" s="236"/>
      <c r="K80" s="246"/>
    </row>
    <row r="81" spans="1:11">
      <c r="A81" s="366">
        <v>44270</v>
      </c>
      <c r="B81" s="413" t="s">
        <v>322</v>
      </c>
      <c r="C81" s="367" t="s">
        <v>96</v>
      </c>
      <c r="D81" s="414">
        <v>2</v>
      </c>
      <c r="E81" s="367" t="s">
        <v>26</v>
      </c>
      <c r="F81" s="368">
        <v>1450000</v>
      </c>
      <c r="G81" s="273">
        <f t="shared" si="1"/>
        <v>2900000</v>
      </c>
      <c r="H81" s="368">
        <f>SUM(G81)</f>
        <v>2900000</v>
      </c>
      <c r="I81" s="367" t="s">
        <v>808</v>
      </c>
      <c r="K81" s="246"/>
    </row>
    <row r="82" spans="1:11">
      <c r="A82" s="126">
        <v>44272</v>
      </c>
      <c r="B82" s="40" t="s">
        <v>323</v>
      </c>
      <c r="C82" s="67" t="s">
        <v>60</v>
      </c>
      <c r="D82" s="7">
        <v>1</v>
      </c>
      <c r="E82" s="67" t="s">
        <v>61</v>
      </c>
      <c r="F82" s="65">
        <v>7920000</v>
      </c>
      <c r="G82" s="24">
        <f t="shared" si="1"/>
        <v>7920000</v>
      </c>
      <c r="H82" s="65">
        <f>SUM(G82)</f>
        <v>7920000</v>
      </c>
      <c r="I82" s="67" t="s">
        <v>324</v>
      </c>
      <c r="K82" s="246"/>
    </row>
    <row r="83" spans="1:11">
      <c r="A83" s="126">
        <v>44273</v>
      </c>
      <c r="B83" s="40" t="s">
        <v>325</v>
      </c>
      <c r="C83" s="67" t="s">
        <v>280</v>
      </c>
      <c r="D83" s="7">
        <v>1</v>
      </c>
      <c r="E83" s="67" t="s">
        <v>26</v>
      </c>
      <c r="F83" s="65"/>
      <c r="G83" s="24">
        <f t="shared" si="1"/>
        <v>0</v>
      </c>
      <c r="H83" s="40"/>
      <c r="I83" s="67"/>
      <c r="K83" s="246"/>
    </row>
    <row r="84" spans="1:11">
      <c r="A84" s="126">
        <v>44273</v>
      </c>
      <c r="B84" s="40" t="s">
        <v>326</v>
      </c>
      <c r="C84" s="67" t="s">
        <v>280</v>
      </c>
      <c r="D84" s="7">
        <v>2</v>
      </c>
      <c r="E84" s="67" t="s">
        <v>26</v>
      </c>
      <c r="F84" s="65"/>
      <c r="G84" s="24">
        <f t="shared" si="1"/>
        <v>0</v>
      </c>
      <c r="H84" s="40"/>
      <c r="I84" s="67"/>
      <c r="K84" s="246"/>
    </row>
    <row r="85" spans="1:11" ht="15" customHeight="1">
      <c r="A85" s="310">
        <v>44274</v>
      </c>
      <c r="B85" s="103" t="s">
        <v>327</v>
      </c>
      <c r="C85" s="104" t="s">
        <v>328</v>
      </c>
      <c r="D85" s="321">
        <v>4</v>
      </c>
      <c r="E85" s="104" t="s">
        <v>26</v>
      </c>
      <c r="F85" s="105">
        <v>150000</v>
      </c>
      <c r="G85" s="250">
        <f t="shared" si="1"/>
        <v>600000</v>
      </c>
      <c r="H85" s="775">
        <f>SUM(G85:G95)</f>
        <v>7890000</v>
      </c>
      <c r="I85" s="325" t="s">
        <v>358</v>
      </c>
      <c r="K85" s="246"/>
    </row>
    <row r="86" spans="1:11">
      <c r="A86" s="104" t="s">
        <v>360</v>
      </c>
      <c r="B86" s="103" t="s">
        <v>329</v>
      </c>
      <c r="C86" s="104" t="s">
        <v>328</v>
      </c>
      <c r="D86" s="321">
        <v>4</v>
      </c>
      <c r="E86" s="104" t="s">
        <v>26</v>
      </c>
      <c r="F86" s="105">
        <v>150000</v>
      </c>
      <c r="G86" s="250">
        <f t="shared" si="1"/>
        <v>600000</v>
      </c>
      <c r="H86" s="776"/>
      <c r="I86" s="326" t="s">
        <v>645</v>
      </c>
      <c r="K86" s="246"/>
    </row>
    <row r="87" spans="1:11">
      <c r="A87" s="104"/>
      <c r="B87" s="103" t="s">
        <v>330</v>
      </c>
      <c r="C87" s="104" t="s">
        <v>328</v>
      </c>
      <c r="D87" s="321">
        <v>1</v>
      </c>
      <c r="E87" s="104" t="s">
        <v>26</v>
      </c>
      <c r="F87" s="105">
        <v>850000</v>
      </c>
      <c r="G87" s="250">
        <f t="shared" si="1"/>
        <v>850000</v>
      </c>
      <c r="H87" s="776"/>
      <c r="I87" s="326"/>
      <c r="K87" s="246"/>
    </row>
    <row r="88" spans="1:11">
      <c r="A88" s="104"/>
      <c r="B88" s="103" t="s">
        <v>331</v>
      </c>
      <c r="C88" s="104" t="s">
        <v>328</v>
      </c>
      <c r="D88" s="321">
        <v>1</v>
      </c>
      <c r="E88" s="104" t="s">
        <v>26</v>
      </c>
      <c r="F88" s="105">
        <v>850000</v>
      </c>
      <c r="G88" s="250">
        <f t="shared" si="1"/>
        <v>850000</v>
      </c>
      <c r="H88" s="776"/>
      <c r="I88" s="326"/>
      <c r="K88" s="246"/>
    </row>
    <row r="89" spans="1:11">
      <c r="A89" s="104"/>
      <c r="B89" s="103" t="s">
        <v>332</v>
      </c>
      <c r="C89" s="104" t="s">
        <v>328</v>
      </c>
      <c r="D89" s="321">
        <v>1</v>
      </c>
      <c r="E89" s="104" t="s">
        <v>26</v>
      </c>
      <c r="F89" s="105">
        <v>850000</v>
      </c>
      <c r="G89" s="250">
        <f t="shared" si="1"/>
        <v>850000</v>
      </c>
      <c r="H89" s="776"/>
      <c r="I89" s="326"/>
      <c r="K89" s="246"/>
    </row>
    <row r="90" spans="1:11">
      <c r="A90" s="104"/>
      <c r="B90" s="103" t="s">
        <v>333</v>
      </c>
      <c r="C90" s="104" t="s">
        <v>328</v>
      </c>
      <c r="D90" s="321">
        <v>6</v>
      </c>
      <c r="E90" s="104" t="s">
        <v>26</v>
      </c>
      <c r="F90" s="105">
        <v>100000</v>
      </c>
      <c r="G90" s="250">
        <f t="shared" si="1"/>
        <v>600000</v>
      </c>
      <c r="H90" s="776"/>
      <c r="I90" s="326"/>
      <c r="K90" s="246"/>
    </row>
    <row r="91" spans="1:11">
      <c r="A91" s="104"/>
      <c r="B91" s="103" t="s">
        <v>334</v>
      </c>
      <c r="C91" s="104" t="s">
        <v>328</v>
      </c>
      <c r="D91" s="321">
        <v>4</v>
      </c>
      <c r="E91" s="104" t="s">
        <v>26</v>
      </c>
      <c r="F91" s="105">
        <v>125000</v>
      </c>
      <c r="G91" s="250">
        <f t="shared" si="1"/>
        <v>500000</v>
      </c>
      <c r="H91" s="776"/>
      <c r="I91" s="326"/>
      <c r="K91" s="246"/>
    </row>
    <row r="92" spans="1:11">
      <c r="A92" s="104"/>
      <c r="B92" s="103" t="s">
        <v>335</v>
      </c>
      <c r="C92" s="104" t="s">
        <v>328</v>
      </c>
      <c r="D92" s="321">
        <v>4</v>
      </c>
      <c r="E92" s="104" t="s">
        <v>26</v>
      </c>
      <c r="F92" s="105">
        <v>250000</v>
      </c>
      <c r="G92" s="250">
        <f t="shared" si="1"/>
        <v>1000000</v>
      </c>
      <c r="H92" s="776"/>
      <c r="I92" s="326"/>
      <c r="K92" s="246"/>
    </row>
    <row r="93" spans="1:11">
      <c r="A93" s="104"/>
      <c r="B93" s="103" t="s">
        <v>336</v>
      </c>
      <c r="C93" s="104" t="s">
        <v>328</v>
      </c>
      <c r="D93" s="321">
        <v>4</v>
      </c>
      <c r="E93" s="104" t="s">
        <v>26</v>
      </c>
      <c r="F93" s="105">
        <v>250000</v>
      </c>
      <c r="G93" s="250">
        <f t="shared" si="1"/>
        <v>1000000</v>
      </c>
      <c r="H93" s="776"/>
      <c r="I93" s="326"/>
      <c r="K93" s="246"/>
    </row>
    <row r="94" spans="1:11">
      <c r="A94" s="104"/>
      <c r="B94" s="103" t="s">
        <v>337</v>
      </c>
      <c r="C94" s="104" t="s">
        <v>328</v>
      </c>
      <c r="D94" s="321">
        <v>4</v>
      </c>
      <c r="E94" s="104" t="s">
        <v>26</v>
      </c>
      <c r="F94" s="105">
        <v>125000</v>
      </c>
      <c r="G94" s="250">
        <f t="shared" si="1"/>
        <v>500000</v>
      </c>
      <c r="H94" s="776"/>
      <c r="I94" s="326"/>
      <c r="K94" s="246"/>
    </row>
    <row r="95" spans="1:11">
      <c r="A95" s="104"/>
      <c r="B95" s="103" t="s">
        <v>338</v>
      </c>
      <c r="C95" s="104" t="s">
        <v>328</v>
      </c>
      <c r="D95" s="321">
        <v>6</v>
      </c>
      <c r="E95" s="104" t="s">
        <v>26</v>
      </c>
      <c r="F95" s="105">
        <v>90000</v>
      </c>
      <c r="G95" s="250">
        <f t="shared" si="1"/>
        <v>540000</v>
      </c>
      <c r="H95" s="777"/>
      <c r="I95" s="326"/>
      <c r="K95" s="246"/>
    </row>
    <row r="96" spans="1:11">
      <c r="A96" s="104" t="s">
        <v>360</v>
      </c>
      <c r="B96" s="103" t="s">
        <v>339</v>
      </c>
      <c r="C96" s="104" t="s">
        <v>328</v>
      </c>
      <c r="D96" s="321">
        <v>6</v>
      </c>
      <c r="E96" s="104" t="s">
        <v>26</v>
      </c>
      <c r="F96" s="105">
        <v>150000</v>
      </c>
      <c r="G96" s="250">
        <f t="shared" si="1"/>
        <v>900000</v>
      </c>
      <c r="H96" s="775">
        <f>SUM(G96:G107)</f>
        <v>10335000</v>
      </c>
      <c r="I96" s="326"/>
      <c r="K96" s="246"/>
    </row>
    <row r="97" spans="1:11">
      <c r="A97" s="104"/>
      <c r="B97" s="103" t="s">
        <v>340</v>
      </c>
      <c r="C97" s="104" t="s">
        <v>328</v>
      </c>
      <c r="D97" s="321">
        <v>1</v>
      </c>
      <c r="E97" s="104" t="s">
        <v>26</v>
      </c>
      <c r="F97" s="105">
        <v>1200000</v>
      </c>
      <c r="G97" s="250">
        <f t="shared" si="1"/>
        <v>1200000</v>
      </c>
      <c r="H97" s="776"/>
      <c r="I97" s="326"/>
      <c r="K97" s="246"/>
    </row>
    <row r="98" spans="1:11">
      <c r="A98" s="104"/>
      <c r="B98" s="103" t="s">
        <v>341</v>
      </c>
      <c r="C98" s="104" t="s">
        <v>328</v>
      </c>
      <c r="D98" s="321">
        <v>14</v>
      </c>
      <c r="E98" s="104" t="s">
        <v>26</v>
      </c>
      <c r="F98" s="105">
        <v>90000</v>
      </c>
      <c r="G98" s="250">
        <f t="shared" si="1"/>
        <v>1260000</v>
      </c>
      <c r="H98" s="780"/>
      <c r="I98" s="326"/>
      <c r="K98" s="246"/>
    </row>
    <row r="99" spans="1:11">
      <c r="A99" s="104"/>
      <c r="B99" s="103" t="s">
        <v>342</v>
      </c>
      <c r="C99" s="104" t="s">
        <v>328</v>
      </c>
      <c r="D99" s="321">
        <v>6</v>
      </c>
      <c r="E99" s="104" t="s">
        <v>26</v>
      </c>
      <c r="F99" s="105">
        <v>120000</v>
      </c>
      <c r="G99" s="250">
        <f t="shared" si="1"/>
        <v>720000</v>
      </c>
      <c r="H99" s="780"/>
      <c r="I99" s="326"/>
      <c r="K99" s="246"/>
    </row>
    <row r="100" spans="1:11">
      <c r="A100" s="104"/>
      <c r="B100" s="103" t="s">
        <v>343</v>
      </c>
      <c r="C100" s="104" t="s">
        <v>328</v>
      </c>
      <c r="D100" s="321">
        <v>1</v>
      </c>
      <c r="E100" s="104" t="s">
        <v>26</v>
      </c>
      <c r="F100" s="105">
        <v>1200000</v>
      </c>
      <c r="G100" s="250">
        <f t="shared" si="1"/>
        <v>1200000</v>
      </c>
      <c r="H100" s="780"/>
      <c r="I100" s="326"/>
      <c r="K100" s="246"/>
    </row>
    <row r="101" spans="1:11">
      <c r="A101" s="104"/>
      <c r="B101" s="103" t="s">
        <v>344</v>
      </c>
      <c r="C101" s="104" t="s">
        <v>328</v>
      </c>
      <c r="D101" s="321">
        <v>1</v>
      </c>
      <c r="E101" s="104" t="s">
        <v>26</v>
      </c>
      <c r="F101" s="105">
        <v>1100000</v>
      </c>
      <c r="G101" s="250">
        <f t="shared" si="1"/>
        <v>1100000</v>
      </c>
      <c r="H101" s="780"/>
      <c r="I101" s="326"/>
      <c r="K101" s="246"/>
    </row>
    <row r="102" spans="1:11">
      <c r="A102" s="104"/>
      <c r="B102" s="103" t="s">
        <v>345</v>
      </c>
      <c r="C102" s="104" t="s">
        <v>328</v>
      </c>
      <c r="D102" s="321">
        <v>1</v>
      </c>
      <c r="E102" s="104" t="s">
        <v>26</v>
      </c>
      <c r="F102" s="105">
        <v>1250000</v>
      </c>
      <c r="G102" s="250">
        <f t="shared" si="1"/>
        <v>1250000</v>
      </c>
      <c r="H102" s="780"/>
      <c r="I102" s="326"/>
      <c r="K102" s="246"/>
    </row>
    <row r="103" spans="1:11">
      <c r="A103" s="104"/>
      <c r="B103" s="103" t="s">
        <v>346</v>
      </c>
      <c r="C103" s="104" t="s">
        <v>328</v>
      </c>
      <c r="D103" s="321">
        <v>4</v>
      </c>
      <c r="E103" s="104" t="s">
        <v>26</v>
      </c>
      <c r="F103" s="105">
        <v>130000</v>
      </c>
      <c r="G103" s="250">
        <f t="shared" si="1"/>
        <v>520000</v>
      </c>
      <c r="H103" s="780"/>
      <c r="I103" s="326"/>
      <c r="K103" s="246"/>
    </row>
    <row r="104" spans="1:11">
      <c r="A104" s="104"/>
      <c r="B104" s="103" t="s">
        <v>347</v>
      </c>
      <c r="C104" s="104" t="s">
        <v>328</v>
      </c>
      <c r="D104" s="321">
        <v>4</v>
      </c>
      <c r="E104" s="104" t="s">
        <v>26</v>
      </c>
      <c r="F104" s="105">
        <v>145000</v>
      </c>
      <c r="G104" s="250">
        <f t="shared" si="1"/>
        <v>580000</v>
      </c>
      <c r="H104" s="780"/>
      <c r="I104" s="326"/>
      <c r="K104" s="246"/>
    </row>
    <row r="105" spans="1:11">
      <c r="A105" s="104"/>
      <c r="B105" s="103" t="s">
        <v>348</v>
      </c>
      <c r="C105" s="104" t="s">
        <v>328</v>
      </c>
      <c r="D105" s="321">
        <v>4</v>
      </c>
      <c r="E105" s="104" t="s">
        <v>26</v>
      </c>
      <c r="F105" s="105">
        <v>125000</v>
      </c>
      <c r="G105" s="250">
        <f t="shared" si="1"/>
        <v>500000</v>
      </c>
      <c r="H105" s="780"/>
      <c r="I105" s="326"/>
      <c r="K105" s="246"/>
    </row>
    <row r="106" spans="1:11">
      <c r="A106" s="104"/>
      <c r="B106" s="103" t="s">
        <v>349</v>
      </c>
      <c r="C106" s="104" t="s">
        <v>328</v>
      </c>
      <c r="D106" s="321">
        <v>1</v>
      </c>
      <c r="E106" s="104" t="s">
        <v>26</v>
      </c>
      <c r="F106" s="105">
        <v>145000</v>
      </c>
      <c r="G106" s="250">
        <f t="shared" si="1"/>
        <v>145000</v>
      </c>
      <c r="H106" s="780"/>
      <c r="I106" s="326"/>
      <c r="K106" s="246"/>
    </row>
    <row r="107" spans="1:11">
      <c r="A107" s="104"/>
      <c r="B107" s="103" t="s">
        <v>350</v>
      </c>
      <c r="C107" s="104" t="s">
        <v>328</v>
      </c>
      <c r="D107" s="321">
        <v>6</v>
      </c>
      <c r="E107" s="104" t="s">
        <v>26</v>
      </c>
      <c r="F107" s="105">
        <v>160000</v>
      </c>
      <c r="G107" s="250">
        <f t="shared" si="1"/>
        <v>960000</v>
      </c>
      <c r="H107" s="781"/>
      <c r="I107" s="327"/>
      <c r="K107" s="246"/>
    </row>
    <row r="108" spans="1:11">
      <c r="A108" s="310">
        <v>44274</v>
      </c>
      <c r="B108" s="103" t="s">
        <v>351</v>
      </c>
      <c r="C108" s="104" t="s">
        <v>328</v>
      </c>
      <c r="D108" s="321">
        <v>6</v>
      </c>
      <c r="E108" s="104" t="s">
        <v>26</v>
      </c>
      <c r="F108" s="105">
        <v>100000</v>
      </c>
      <c r="G108" s="250">
        <f t="shared" si="1"/>
        <v>600000</v>
      </c>
      <c r="H108" s="775">
        <f>SUM(G108:G114)</f>
        <v>4010000</v>
      </c>
      <c r="I108" s="760" t="s">
        <v>566</v>
      </c>
      <c r="K108" s="246"/>
    </row>
    <row r="109" spans="1:11">
      <c r="A109" s="104"/>
      <c r="B109" s="103" t="s">
        <v>352</v>
      </c>
      <c r="C109" s="104" t="s">
        <v>328</v>
      </c>
      <c r="D109" s="321">
        <v>6</v>
      </c>
      <c r="E109" s="104" t="s">
        <v>26</v>
      </c>
      <c r="F109" s="105">
        <v>100000</v>
      </c>
      <c r="G109" s="250">
        <f t="shared" si="1"/>
        <v>600000</v>
      </c>
      <c r="H109" s="776"/>
      <c r="I109" s="761"/>
      <c r="K109" s="246"/>
    </row>
    <row r="110" spans="1:11">
      <c r="A110" s="104"/>
      <c r="B110" s="103" t="s">
        <v>353</v>
      </c>
      <c r="C110" s="104" t="s">
        <v>328</v>
      </c>
      <c r="D110" s="321">
        <v>2</v>
      </c>
      <c r="E110" s="104" t="s">
        <v>26</v>
      </c>
      <c r="F110" s="105">
        <v>175000</v>
      </c>
      <c r="G110" s="250">
        <f t="shared" si="1"/>
        <v>350000</v>
      </c>
      <c r="H110" s="776"/>
      <c r="I110" s="761"/>
      <c r="K110" s="246"/>
    </row>
    <row r="111" spans="1:11">
      <c r="A111" s="104"/>
      <c r="B111" s="103" t="s">
        <v>354</v>
      </c>
      <c r="C111" s="104" t="s">
        <v>328</v>
      </c>
      <c r="D111" s="321">
        <v>6</v>
      </c>
      <c r="E111" s="104" t="s">
        <v>26</v>
      </c>
      <c r="F111" s="105">
        <v>110000</v>
      </c>
      <c r="G111" s="250">
        <f t="shared" si="1"/>
        <v>660000</v>
      </c>
      <c r="H111" s="776"/>
      <c r="I111" s="761"/>
      <c r="K111" s="246"/>
    </row>
    <row r="112" spans="1:11">
      <c r="A112" s="104"/>
      <c r="B112" s="103" t="s">
        <v>355</v>
      </c>
      <c r="C112" s="104" t="s">
        <v>328</v>
      </c>
      <c r="D112" s="321">
        <v>2</v>
      </c>
      <c r="E112" s="104" t="s">
        <v>26</v>
      </c>
      <c r="F112" s="105">
        <v>300000</v>
      </c>
      <c r="G112" s="250">
        <f t="shared" si="1"/>
        <v>600000</v>
      </c>
      <c r="H112" s="776"/>
      <c r="I112" s="761"/>
      <c r="K112" s="246"/>
    </row>
    <row r="113" spans="1:11">
      <c r="A113" s="104"/>
      <c r="B113" s="103" t="s">
        <v>356</v>
      </c>
      <c r="C113" s="104" t="s">
        <v>328</v>
      </c>
      <c r="D113" s="321">
        <v>2</v>
      </c>
      <c r="E113" s="104" t="s">
        <v>26</v>
      </c>
      <c r="F113" s="105">
        <v>300000</v>
      </c>
      <c r="G113" s="250">
        <f t="shared" si="1"/>
        <v>600000</v>
      </c>
      <c r="H113" s="776"/>
      <c r="I113" s="761"/>
      <c r="K113" s="246"/>
    </row>
    <row r="114" spans="1:11">
      <c r="A114" s="104"/>
      <c r="B114" s="103" t="s">
        <v>357</v>
      </c>
      <c r="C114" s="104" t="s">
        <v>328</v>
      </c>
      <c r="D114" s="321">
        <v>4</v>
      </c>
      <c r="E114" s="104" t="s">
        <v>26</v>
      </c>
      <c r="F114" s="105">
        <v>150000</v>
      </c>
      <c r="G114" s="250">
        <f t="shared" si="1"/>
        <v>600000</v>
      </c>
      <c r="H114" s="777"/>
      <c r="I114" s="761"/>
      <c r="K114" s="246"/>
    </row>
    <row r="115" spans="1:11">
      <c r="A115" s="233">
        <v>44274</v>
      </c>
      <c r="B115" s="81" t="s">
        <v>365</v>
      </c>
      <c r="C115" s="82" t="s">
        <v>164</v>
      </c>
      <c r="D115" s="234">
        <v>2</v>
      </c>
      <c r="E115" s="82" t="s">
        <v>26</v>
      </c>
      <c r="F115" s="235">
        <v>635000</v>
      </c>
      <c r="G115" s="53">
        <f t="shared" si="1"/>
        <v>1270000</v>
      </c>
      <c r="H115" s="757">
        <f>SUM(G115:G125)</f>
        <v>6890000</v>
      </c>
      <c r="I115" s="237" t="s">
        <v>253</v>
      </c>
      <c r="J115" s="236"/>
      <c r="K115" s="246"/>
    </row>
    <row r="116" spans="1:11">
      <c r="A116" s="82"/>
      <c r="B116" s="81" t="s">
        <v>366</v>
      </c>
      <c r="C116" s="82" t="s">
        <v>164</v>
      </c>
      <c r="D116" s="234">
        <v>2</v>
      </c>
      <c r="E116" s="82" t="s">
        <v>26</v>
      </c>
      <c r="F116" s="235" t="s">
        <v>154</v>
      </c>
      <c r="G116" s="53">
        <v>0</v>
      </c>
      <c r="H116" s="758"/>
      <c r="I116" s="237"/>
      <c r="J116" s="236"/>
      <c r="K116" s="246"/>
    </row>
    <row r="117" spans="1:11">
      <c r="A117" s="82"/>
      <c r="B117" s="81" t="s">
        <v>368</v>
      </c>
      <c r="C117" s="82" t="s">
        <v>164</v>
      </c>
      <c r="D117" s="234">
        <v>2</v>
      </c>
      <c r="E117" s="82" t="s">
        <v>26</v>
      </c>
      <c r="F117" s="235" t="s">
        <v>154</v>
      </c>
      <c r="G117" s="53">
        <v>0</v>
      </c>
      <c r="H117" s="758"/>
      <c r="I117" s="237" t="s">
        <v>154</v>
      </c>
      <c r="J117" s="236"/>
      <c r="K117" s="246"/>
    </row>
    <row r="118" spans="1:11">
      <c r="A118" s="82"/>
      <c r="B118" s="81" t="s">
        <v>367</v>
      </c>
      <c r="C118" s="82" t="s">
        <v>164</v>
      </c>
      <c r="D118" s="234">
        <v>2</v>
      </c>
      <c r="E118" s="82" t="s">
        <v>26</v>
      </c>
      <c r="F118" s="235">
        <v>635000</v>
      </c>
      <c r="G118" s="53">
        <f t="shared" si="1"/>
        <v>1270000</v>
      </c>
      <c r="H118" s="758"/>
      <c r="I118" s="237" t="s">
        <v>376</v>
      </c>
      <c r="J118" s="236"/>
      <c r="K118" s="246"/>
    </row>
    <row r="119" spans="1:11">
      <c r="A119" s="82"/>
      <c r="B119" s="81" t="s">
        <v>369</v>
      </c>
      <c r="C119" s="82" t="s">
        <v>164</v>
      </c>
      <c r="D119" s="234">
        <v>4</v>
      </c>
      <c r="E119" s="82" t="s">
        <v>26</v>
      </c>
      <c r="F119" s="235">
        <v>635000</v>
      </c>
      <c r="G119" s="53">
        <f t="shared" si="1"/>
        <v>2540000</v>
      </c>
      <c r="H119" s="758"/>
      <c r="I119" s="237" t="s">
        <v>377</v>
      </c>
      <c r="J119" s="236"/>
      <c r="K119" s="246"/>
    </row>
    <row r="120" spans="1:11">
      <c r="A120" s="82"/>
      <c r="B120" s="81" t="s">
        <v>370</v>
      </c>
      <c r="C120" s="82" t="s">
        <v>164</v>
      </c>
      <c r="D120" s="234">
        <v>2</v>
      </c>
      <c r="E120" s="82" t="s">
        <v>26</v>
      </c>
      <c r="F120" s="235" t="s">
        <v>154</v>
      </c>
      <c r="G120" s="53">
        <v>0</v>
      </c>
      <c r="H120" s="758"/>
      <c r="I120" s="237" t="s">
        <v>378</v>
      </c>
      <c r="J120" s="236"/>
      <c r="K120" s="246"/>
    </row>
    <row r="121" spans="1:11">
      <c r="A121" s="82"/>
      <c r="B121" s="81" t="s">
        <v>371</v>
      </c>
      <c r="C121" s="82" t="s">
        <v>164</v>
      </c>
      <c r="D121" s="234">
        <v>2</v>
      </c>
      <c r="E121" s="82" t="s">
        <v>26</v>
      </c>
      <c r="F121" s="235" t="s">
        <v>154</v>
      </c>
      <c r="G121" s="53">
        <v>0</v>
      </c>
      <c r="H121" s="758"/>
      <c r="I121" s="237" t="s">
        <v>379</v>
      </c>
      <c r="J121" s="236"/>
      <c r="K121" s="246"/>
    </row>
    <row r="122" spans="1:11">
      <c r="A122" s="82"/>
      <c r="B122" s="81" t="s">
        <v>372</v>
      </c>
      <c r="C122" s="82" t="s">
        <v>164</v>
      </c>
      <c r="D122" s="234">
        <v>2</v>
      </c>
      <c r="E122" s="82" t="s">
        <v>26</v>
      </c>
      <c r="F122" s="235" t="s">
        <v>154</v>
      </c>
      <c r="G122" s="53">
        <v>0</v>
      </c>
      <c r="H122" s="758"/>
      <c r="I122" s="237">
        <v>-6560000</v>
      </c>
      <c r="J122" s="236"/>
      <c r="K122" s="246"/>
    </row>
    <row r="123" spans="1:11">
      <c r="A123" s="82"/>
      <c r="B123" s="81" t="s">
        <v>373</v>
      </c>
      <c r="C123" s="82" t="s">
        <v>164</v>
      </c>
      <c r="D123" s="234">
        <v>2</v>
      </c>
      <c r="E123" s="82" t="s">
        <v>26</v>
      </c>
      <c r="F123" s="235">
        <v>265000</v>
      </c>
      <c r="G123" s="53">
        <f t="shared" si="1"/>
        <v>530000</v>
      </c>
      <c r="H123" s="758"/>
      <c r="I123" s="237"/>
      <c r="J123" s="236"/>
      <c r="K123" s="246"/>
    </row>
    <row r="124" spans="1:11">
      <c r="A124" s="82"/>
      <c r="B124" s="81" t="s">
        <v>374</v>
      </c>
      <c r="C124" s="82" t="s">
        <v>164</v>
      </c>
      <c r="D124" s="234">
        <v>2</v>
      </c>
      <c r="E124" s="82" t="s">
        <v>26</v>
      </c>
      <c r="F124" s="235">
        <v>265000</v>
      </c>
      <c r="G124" s="53">
        <f t="shared" si="1"/>
        <v>530000</v>
      </c>
      <c r="H124" s="758"/>
      <c r="I124" s="237"/>
      <c r="J124" s="236"/>
      <c r="K124" s="246"/>
    </row>
    <row r="125" spans="1:11">
      <c r="A125" s="82"/>
      <c r="B125" s="81" t="s">
        <v>375</v>
      </c>
      <c r="C125" s="82" t="s">
        <v>164</v>
      </c>
      <c r="D125" s="234">
        <v>3</v>
      </c>
      <c r="E125" s="82" t="s">
        <v>26</v>
      </c>
      <c r="F125" s="235">
        <v>250000</v>
      </c>
      <c r="G125" s="53">
        <f t="shared" si="1"/>
        <v>750000</v>
      </c>
      <c r="H125" s="759"/>
      <c r="I125" s="237"/>
      <c r="J125" s="236"/>
      <c r="K125" s="246"/>
    </row>
    <row r="126" spans="1:11">
      <c r="A126" s="197">
        <v>44278</v>
      </c>
      <c r="B126" s="190" t="s">
        <v>359</v>
      </c>
      <c r="C126" s="191" t="s">
        <v>49</v>
      </c>
      <c r="D126" s="193">
        <v>20</v>
      </c>
      <c r="E126" s="191" t="s">
        <v>134</v>
      </c>
      <c r="F126" s="192">
        <v>35000</v>
      </c>
      <c r="G126" s="184">
        <f t="shared" si="1"/>
        <v>700000</v>
      </c>
      <c r="H126" s="192">
        <f>G126</f>
        <v>700000</v>
      </c>
      <c r="I126" s="191" t="s">
        <v>360</v>
      </c>
      <c r="J126" s="194">
        <v>44292</v>
      </c>
      <c r="K126" s="443"/>
    </row>
    <row r="127" spans="1:11">
      <c r="A127" s="126">
        <v>44278</v>
      </c>
      <c r="B127" s="40" t="s">
        <v>362</v>
      </c>
      <c r="C127" s="67" t="s">
        <v>60</v>
      </c>
      <c r="D127" s="7">
        <v>3</v>
      </c>
      <c r="E127" s="67" t="s">
        <v>61</v>
      </c>
      <c r="F127" s="65"/>
      <c r="G127" s="24">
        <f t="shared" si="1"/>
        <v>0</v>
      </c>
      <c r="H127" s="40"/>
      <c r="I127" s="67"/>
      <c r="K127" s="246"/>
    </row>
    <row r="128" spans="1:11">
      <c r="A128" s="67"/>
      <c r="B128" s="40" t="s">
        <v>363</v>
      </c>
      <c r="C128" s="67" t="s">
        <v>60</v>
      </c>
      <c r="D128" s="7">
        <v>2</v>
      </c>
      <c r="E128" s="67" t="s">
        <v>61</v>
      </c>
      <c r="F128" s="65"/>
      <c r="G128" s="24">
        <f t="shared" si="1"/>
        <v>0</v>
      </c>
      <c r="H128" s="40"/>
      <c r="I128" s="67"/>
      <c r="K128" s="246"/>
    </row>
    <row r="129" spans="1:11">
      <c r="A129" s="67"/>
      <c r="B129" s="40" t="s">
        <v>364</v>
      </c>
      <c r="C129" s="67" t="s">
        <v>60</v>
      </c>
      <c r="D129" s="7">
        <v>1</v>
      </c>
      <c r="E129" s="67" t="s">
        <v>61</v>
      </c>
      <c r="F129" s="65"/>
      <c r="G129" s="24">
        <f t="shared" si="1"/>
        <v>0</v>
      </c>
      <c r="H129" s="40"/>
      <c r="I129" s="67"/>
      <c r="K129" s="246"/>
    </row>
    <row r="130" spans="1:11">
      <c r="A130" s="297">
        <v>44280</v>
      </c>
      <c r="B130" s="70" t="s">
        <v>380</v>
      </c>
      <c r="C130" s="71" t="s">
        <v>277</v>
      </c>
      <c r="D130" s="298">
        <v>6</v>
      </c>
      <c r="E130" s="71" t="s">
        <v>134</v>
      </c>
      <c r="F130" s="72">
        <v>9000</v>
      </c>
      <c r="G130" s="68">
        <f t="shared" si="1"/>
        <v>54000</v>
      </c>
      <c r="H130" s="719">
        <f>SUM(G130:G132)</f>
        <v>5403000</v>
      </c>
      <c r="I130" s="722" t="s">
        <v>151</v>
      </c>
      <c r="J130" s="772" t="s">
        <v>506</v>
      </c>
      <c r="K130" s="444"/>
    </row>
    <row r="131" spans="1:11">
      <c r="A131" s="71"/>
      <c r="B131" s="70" t="s">
        <v>381</v>
      </c>
      <c r="C131" s="71" t="s">
        <v>277</v>
      </c>
      <c r="D131" s="298">
        <v>11</v>
      </c>
      <c r="E131" s="71" t="s">
        <v>134</v>
      </c>
      <c r="F131" s="72">
        <v>9000</v>
      </c>
      <c r="G131" s="68">
        <f t="shared" si="1"/>
        <v>99000</v>
      </c>
      <c r="H131" s="720"/>
      <c r="I131" s="723"/>
      <c r="J131" s="772"/>
      <c r="K131" s="444"/>
    </row>
    <row r="132" spans="1:11">
      <c r="A132" s="71"/>
      <c r="B132" s="70" t="s">
        <v>382</v>
      </c>
      <c r="C132" s="71" t="s">
        <v>277</v>
      </c>
      <c r="D132" s="298">
        <v>50</v>
      </c>
      <c r="E132" s="71" t="s">
        <v>26</v>
      </c>
      <c r="F132" s="72">
        <v>105000</v>
      </c>
      <c r="G132" s="68">
        <f t="shared" si="1"/>
        <v>5250000</v>
      </c>
      <c r="H132" s="721"/>
      <c r="I132" s="724"/>
      <c r="J132" s="772"/>
      <c r="K132" s="444"/>
    </row>
    <row r="133" spans="1:11">
      <c r="A133" s="310">
        <v>44281</v>
      </c>
      <c r="B133" s="103" t="s">
        <v>383</v>
      </c>
      <c r="C133" s="104" t="s">
        <v>328</v>
      </c>
      <c r="D133" s="321">
        <v>15</v>
      </c>
      <c r="E133" s="104" t="s">
        <v>26</v>
      </c>
      <c r="F133" s="105">
        <v>18000</v>
      </c>
      <c r="G133" s="250">
        <f t="shared" si="1"/>
        <v>270000</v>
      </c>
      <c r="H133" s="775">
        <f>SUM(G133:G141)</f>
        <v>2250000</v>
      </c>
      <c r="I133" s="778" t="s">
        <v>360</v>
      </c>
      <c r="J133" s="771" t="s">
        <v>645</v>
      </c>
      <c r="K133" s="426"/>
    </row>
    <row r="134" spans="1:11">
      <c r="A134" s="104"/>
      <c r="B134" s="103" t="s">
        <v>384</v>
      </c>
      <c r="C134" s="104" t="s">
        <v>328</v>
      </c>
      <c r="D134" s="321">
        <v>15</v>
      </c>
      <c r="E134" s="104" t="s">
        <v>26</v>
      </c>
      <c r="F134" s="105">
        <v>18000</v>
      </c>
      <c r="G134" s="250">
        <f t="shared" si="1"/>
        <v>270000</v>
      </c>
      <c r="H134" s="776"/>
      <c r="I134" s="779"/>
      <c r="J134" s="771"/>
      <c r="K134" s="426"/>
    </row>
    <row r="135" spans="1:11">
      <c r="A135" s="104"/>
      <c r="B135" s="103" t="s">
        <v>385</v>
      </c>
      <c r="C135" s="104" t="s">
        <v>328</v>
      </c>
      <c r="D135" s="321">
        <v>15</v>
      </c>
      <c r="E135" s="104" t="s">
        <v>26</v>
      </c>
      <c r="F135" s="105">
        <v>18000</v>
      </c>
      <c r="G135" s="250">
        <f t="shared" si="1"/>
        <v>270000</v>
      </c>
      <c r="H135" s="776"/>
      <c r="I135" s="779"/>
      <c r="J135" s="771"/>
      <c r="K135" s="426"/>
    </row>
    <row r="136" spans="1:11">
      <c r="A136" s="104"/>
      <c r="B136" s="103" t="s">
        <v>386</v>
      </c>
      <c r="C136" s="104" t="s">
        <v>328</v>
      </c>
      <c r="D136" s="321">
        <v>15</v>
      </c>
      <c r="E136" s="104" t="s">
        <v>26</v>
      </c>
      <c r="F136" s="105">
        <v>18000</v>
      </c>
      <c r="G136" s="250">
        <f t="shared" si="1"/>
        <v>270000</v>
      </c>
      <c r="H136" s="776"/>
      <c r="I136" s="779"/>
      <c r="J136" s="771"/>
      <c r="K136" s="426"/>
    </row>
    <row r="137" spans="1:11">
      <c r="A137" s="104"/>
      <c r="B137" s="103" t="s">
        <v>387</v>
      </c>
      <c r="C137" s="104" t="s">
        <v>328</v>
      </c>
      <c r="D137" s="321">
        <v>15</v>
      </c>
      <c r="E137" s="104" t="s">
        <v>26</v>
      </c>
      <c r="F137" s="105">
        <v>18000</v>
      </c>
      <c r="G137" s="250">
        <f t="shared" si="1"/>
        <v>270000</v>
      </c>
      <c r="H137" s="776"/>
      <c r="I137" s="779"/>
      <c r="J137" s="771"/>
      <c r="K137" s="426"/>
    </row>
    <row r="138" spans="1:11">
      <c r="A138" s="104"/>
      <c r="B138" s="103" t="s">
        <v>388</v>
      </c>
      <c r="C138" s="104" t="s">
        <v>328</v>
      </c>
      <c r="D138" s="321">
        <v>10</v>
      </c>
      <c r="E138" s="104" t="s">
        <v>26</v>
      </c>
      <c r="F138" s="105">
        <v>18000</v>
      </c>
      <c r="G138" s="250">
        <f t="shared" si="1"/>
        <v>180000</v>
      </c>
      <c r="H138" s="776"/>
      <c r="I138" s="779"/>
      <c r="J138" s="771"/>
      <c r="K138" s="426"/>
    </row>
    <row r="139" spans="1:11">
      <c r="A139" s="104"/>
      <c r="B139" s="103" t="s">
        <v>389</v>
      </c>
      <c r="C139" s="104" t="s">
        <v>328</v>
      </c>
      <c r="D139" s="321">
        <v>15</v>
      </c>
      <c r="E139" s="104" t="s">
        <v>26</v>
      </c>
      <c r="F139" s="105">
        <v>18000</v>
      </c>
      <c r="G139" s="250">
        <f t="shared" si="1"/>
        <v>270000</v>
      </c>
      <c r="H139" s="776"/>
      <c r="I139" s="779"/>
      <c r="J139" s="771"/>
      <c r="K139" s="426"/>
    </row>
    <row r="140" spans="1:11">
      <c r="A140" s="104"/>
      <c r="B140" s="103" t="s">
        <v>390</v>
      </c>
      <c r="C140" s="104" t="s">
        <v>328</v>
      </c>
      <c r="D140" s="321">
        <v>10</v>
      </c>
      <c r="E140" s="104" t="s">
        <v>26</v>
      </c>
      <c r="F140" s="105">
        <v>18000</v>
      </c>
      <c r="G140" s="250">
        <f t="shared" si="1"/>
        <v>180000</v>
      </c>
      <c r="H140" s="776"/>
      <c r="I140" s="779"/>
      <c r="J140" s="771"/>
      <c r="K140" s="426"/>
    </row>
    <row r="141" spans="1:11">
      <c r="A141" s="104"/>
      <c r="B141" s="103" t="s">
        <v>391</v>
      </c>
      <c r="C141" s="104" t="s">
        <v>328</v>
      </c>
      <c r="D141" s="321">
        <v>15</v>
      </c>
      <c r="E141" s="104" t="s">
        <v>26</v>
      </c>
      <c r="F141" s="105">
        <v>18000</v>
      </c>
      <c r="G141" s="250">
        <f t="shared" si="1"/>
        <v>270000</v>
      </c>
      <c r="H141" s="777"/>
      <c r="I141" s="760"/>
      <c r="J141" s="771"/>
      <c r="K141" s="426"/>
    </row>
    <row r="142" spans="1:11">
      <c r="A142" s="233">
        <v>44284</v>
      </c>
      <c r="B142" s="81" t="s">
        <v>392</v>
      </c>
      <c r="C142" s="82" t="s">
        <v>164</v>
      </c>
      <c r="D142" s="234">
        <v>8</v>
      </c>
      <c r="E142" s="82" t="s">
        <v>26</v>
      </c>
      <c r="F142" s="235">
        <v>365000</v>
      </c>
      <c r="G142" s="53">
        <f t="shared" si="1"/>
        <v>2920000</v>
      </c>
      <c r="H142" s="235">
        <f>G142</f>
        <v>2920000</v>
      </c>
      <c r="I142" s="82" t="s">
        <v>451</v>
      </c>
      <c r="J142" s="236"/>
      <c r="K142" s="246"/>
    </row>
    <row r="143" spans="1:11">
      <c r="A143" s="67"/>
      <c r="B143" s="40"/>
      <c r="C143" s="67"/>
      <c r="D143" s="7"/>
      <c r="E143" s="67"/>
      <c r="F143" s="65"/>
      <c r="G143" s="24">
        <f t="shared" ref="G143:G206" si="2">F143*D143</f>
        <v>0</v>
      </c>
      <c r="H143" s="40"/>
      <c r="I143" s="67"/>
      <c r="K143" s="246"/>
    </row>
    <row r="144" spans="1:11">
      <c r="A144" s="67"/>
      <c r="B144" s="40"/>
      <c r="C144" s="67"/>
      <c r="D144" s="7"/>
      <c r="E144" s="67"/>
      <c r="F144" s="65"/>
      <c r="G144" s="24">
        <f t="shared" si="2"/>
        <v>0</v>
      </c>
      <c r="H144" s="40"/>
      <c r="I144" s="67"/>
      <c r="K144" s="246"/>
    </row>
    <row r="145" spans="1:11">
      <c r="A145" s="67"/>
      <c r="B145" s="40"/>
      <c r="C145" s="67"/>
      <c r="D145" s="7"/>
      <c r="E145" s="67"/>
      <c r="F145" s="65"/>
      <c r="G145" s="24">
        <f t="shared" si="2"/>
        <v>0</v>
      </c>
      <c r="H145" s="40"/>
      <c r="I145" s="67"/>
      <c r="K145" s="246"/>
    </row>
    <row r="146" spans="1:11">
      <c r="A146" s="67"/>
      <c r="B146" s="40"/>
      <c r="C146" s="67"/>
      <c r="D146" s="7"/>
      <c r="E146" s="67"/>
      <c r="F146" s="65"/>
      <c r="G146" s="24">
        <f t="shared" si="2"/>
        <v>0</v>
      </c>
      <c r="H146" s="40"/>
      <c r="I146" s="67"/>
      <c r="K146" s="246"/>
    </row>
    <row r="147" spans="1:11">
      <c r="A147" s="67"/>
      <c r="B147" s="40"/>
      <c r="C147" s="67"/>
      <c r="D147" s="7"/>
      <c r="E147" s="67"/>
      <c r="F147" s="65"/>
      <c r="G147" s="24">
        <f t="shared" si="2"/>
        <v>0</v>
      </c>
      <c r="H147" s="40"/>
      <c r="I147" s="67"/>
      <c r="K147" s="246"/>
    </row>
    <row r="148" spans="1:11">
      <c r="A148" s="67"/>
      <c r="B148" s="40"/>
      <c r="C148" s="67"/>
      <c r="D148" s="7"/>
      <c r="E148" s="67"/>
      <c r="F148" s="65"/>
      <c r="G148" s="24">
        <f t="shared" si="2"/>
        <v>0</v>
      </c>
      <c r="H148" s="40"/>
      <c r="I148" s="67"/>
      <c r="K148" s="246"/>
    </row>
    <row r="149" spans="1:11">
      <c r="A149" s="67"/>
      <c r="B149" s="40"/>
      <c r="C149" s="67"/>
      <c r="D149" s="7"/>
      <c r="E149" s="67"/>
      <c r="F149" s="65"/>
      <c r="G149" s="24">
        <f t="shared" si="2"/>
        <v>0</v>
      </c>
      <c r="H149" s="40"/>
      <c r="I149" s="67"/>
      <c r="K149" s="246"/>
    </row>
    <row r="150" spans="1:11">
      <c r="A150" s="67"/>
      <c r="B150" s="40"/>
      <c r="C150" s="67"/>
      <c r="D150" s="7"/>
      <c r="E150" s="67"/>
      <c r="F150" s="65"/>
      <c r="G150" s="24">
        <f t="shared" si="2"/>
        <v>0</v>
      </c>
      <c r="H150" s="40"/>
      <c r="I150" s="67"/>
      <c r="K150" s="246"/>
    </row>
    <row r="151" spans="1:11">
      <c r="A151" s="67"/>
      <c r="B151" s="40"/>
      <c r="C151" s="67"/>
      <c r="D151" s="7"/>
      <c r="E151" s="67"/>
      <c r="F151" s="65"/>
      <c r="G151" s="24">
        <f t="shared" si="2"/>
        <v>0</v>
      </c>
      <c r="H151" s="40"/>
      <c r="I151" s="67"/>
      <c r="K151" s="246"/>
    </row>
    <row r="152" spans="1:11">
      <c r="A152" s="67"/>
      <c r="B152" s="40"/>
      <c r="C152" s="67"/>
      <c r="D152" s="7"/>
      <c r="E152" s="67"/>
      <c r="F152" s="65"/>
      <c r="G152" s="24">
        <f t="shared" si="2"/>
        <v>0</v>
      </c>
      <c r="H152" s="40"/>
      <c r="I152" s="67"/>
      <c r="K152" s="246"/>
    </row>
    <row r="153" spans="1:11">
      <c r="A153" s="67"/>
      <c r="B153" s="40"/>
      <c r="C153" s="67"/>
      <c r="D153" s="7"/>
      <c r="E153" s="67"/>
      <c r="F153" s="65"/>
      <c r="G153" s="24">
        <f t="shared" si="2"/>
        <v>0</v>
      </c>
      <c r="H153" s="40"/>
      <c r="I153" s="67"/>
      <c r="K153" s="246"/>
    </row>
    <row r="154" spans="1:11">
      <c r="A154" s="67"/>
      <c r="B154" s="40"/>
      <c r="C154" s="67"/>
      <c r="D154" s="7"/>
      <c r="E154" s="67"/>
      <c r="F154" s="65"/>
      <c r="G154" s="24">
        <f t="shared" si="2"/>
        <v>0</v>
      </c>
      <c r="H154" s="40"/>
      <c r="I154" s="67"/>
      <c r="K154" s="246"/>
    </row>
    <row r="155" spans="1:11">
      <c r="A155" s="67"/>
      <c r="B155" s="40"/>
      <c r="C155" s="67"/>
      <c r="D155" s="7"/>
      <c r="E155" s="67"/>
      <c r="F155" s="65"/>
      <c r="G155" s="24">
        <f t="shared" si="2"/>
        <v>0</v>
      </c>
      <c r="H155" s="40"/>
      <c r="I155" s="67"/>
      <c r="K155" s="246"/>
    </row>
    <row r="156" spans="1:11">
      <c r="A156" s="67"/>
      <c r="B156" s="40"/>
      <c r="C156" s="67"/>
      <c r="D156" s="7"/>
      <c r="E156" s="67"/>
      <c r="F156" s="65"/>
      <c r="G156" s="24">
        <f t="shared" si="2"/>
        <v>0</v>
      </c>
      <c r="H156" s="40"/>
      <c r="I156" s="67"/>
      <c r="K156" s="246"/>
    </row>
    <row r="157" spans="1:11">
      <c r="A157" s="67"/>
      <c r="B157" s="40"/>
      <c r="C157" s="67"/>
      <c r="D157" s="7"/>
      <c r="E157" s="67"/>
      <c r="F157" s="65"/>
      <c r="G157" s="24">
        <f t="shared" si="2"/>
        <v>0</v>
      </c>
      <c r="H157" s="40"/>
      <c r="I157" s="67"/>
      <c r="K157" s="246"/>
    </row>
    <row r="158" spans="1:11">
      <c r="A158" s="67"/>
      <c r="B158" s="40"/>
      <c r="C158" s="67"/>
      <c r="D158" s="7"/>
      <c r="E158" s="67"/>
      <c r="F158" s="65"/>
      <c r="G158" s="24">
        <f t="shared" si="2"/>
        <v>0</v>
      </c>
      <c r="H158" s="40"/>
      <c r="I158" s="67"/>
      <c r="K158" s="246"/>
    </row>
    <row r="159" spans="1:11">
      <c r="A159" s="67"/>
      <c r="B159" s="40"/>
      <c r="C159" s="67"/>
      <c r="D159" s="7"/>
      <c r="E159" s="67"/>
      <c r="F159" s="65"/>
      <c r="G159" s="24">
        <f t="shared" si="2"/>
        <v>0</v>
      </c>
      <c r="H159" s="40"/>
      <c r="I159" s="67"/>
      <c r="K159" s="246"/>
    </row>
    <row r="160" spans="1:11">
      <c r="A160" s="67"/>
      <c r="B160" s="40"/>
      <c r="C160" s="67"/>
      <c r="D160" s="7"/>
      <c r="E160" s="67"/>
      <c r="F160" s="65"/>
      <c r="G160" s="24">
        <f t="shared" si="2"/>
        <v>0</v>
      </c>
      <c r="H160" s="40"/>
      <c r="I160" s="67"/>
      <c r="K160" s="246"/>
    </row>
    <row r="161" spans="1:11">
      <c r="A161" s="67"/>
      <c r="B161" s="40"/>
      <c r="C161" s="67"/>
      <c r="D161" s="7"/>
      <c r="E161" s="67"/>
      <c r="F161" s="65"/>
      <c r="G161" s="24">
        <f t="shared" si="2"/>
        <v>0</v>
      </c>
      <c r="H161" s="40"/>
      <c r="I161" s="67"/>
      <c r="K161" s="246"/>
    </row>
    <row r="162" spans="1:11">
      <c r="A162" s="67"/>
      <c r="B162" s="40"/>
      <c r="C162" s="67"/>
      <c r="D162" s="7"/>
      <c r="E162" s="67"/>
      <c r="F162" s="65"/>
      <c r="G162" s="24">
        <f t="shared" si="2"/>
        <v>0</v>
      </c>
      <c r="H162" s="40"/>
      <c r="I162" s="67"/>
      <c r="K162" s="246"/>
    </row>
    <row r="163" spans="1:11">
      <c r="A163" s="67"/>
      <c r="B163" s="40"/>
      <c r="C163" s="67"/>
      <c r="D163" s="7"/>
      <c r="E163" s="67"/>
      <c r="F163" s="65"/>
      <c r="G163" s="24">
        <f t="shared" si="2"/>
        <v>0</v>
      </c>
      <c r="H163" s="40"/>
      <c r="I163" s="67"/>
      <c r="K163" s="246"/>
    </row>
    <row r="164" spans="1:11">
      <c r="A164" s="67"/>
      <c r="B164" s="40"/>
      <c r="C164" s="67"/>
      <c r="D164" s="7"/>
      <c r="E164" s="67"/>
      <c r="F164" s="65"/>
      <c r="G164" s="24">
        <f t="shared" si="2"/>
        <v>0</v>
      </c>
      <c r="H164" s="40"/>
      <c r="I164" s="67"/>
      <c r="K164" s="246"/>
    </row>
    <row r="165" spans="1:11">
      <c r="A165" s="67"/>
      <c r="B165" s="40"/>
      <c r="C165" s="67"/>
      <c r="D165" s="7"/>
      <c r="E165" s="67"/>
      <c r="F165" s="65"/>
      <c r="G165" s="24">
        <f t="shared" si="2"/>
        <v>0</v>
      </c>
      <c r="H165" s="40"/>
      <c r="I165" s="67"/>
    </row>
    <row r="166" spans="1:11">
      <c r="A166" s="67"/>
      <c r="B166" s="40"/>
      <c r="C166" s="67"/>
      <c r="D166" s="7"/>
      <c r="E166" s="67"/>
      <c r="F166" s="65"/>
      <c r="G166" s="24">
        <f t="shared" si="2"/>
        <v>0</v>
      </c>
      <c r="H166" s="40"/>
      <c r="I166" s="67"/>
    </row>
    <row r="167" spans="1:11">
      <c r="A167" s="67"/>
      <c r="B167" s="40"/>
      <c r="C167" s="67"/>
      <c r="D167" s="7"/>
      <c r="E167" s="67"/>
      <c r="F167" s="65"/>
      <c r="G167" s="24">
        <f t="shared" si="2"/>
        <v>0</v>
      </c>
      <c r="H167" s="40"/>
      <c r="I167" s="67"/>
    </row>
    <row r="168" spans="1:11">
      <c r="A168" s="67"/>
      <c r="B168" s="40"/>
      <c r="C168" s="67"/>
      <c r="D168" s="7"/>
      <c r="E168" s="67"/>
      <c r="F168" s="65"/>
      <c r="G168" s="24">
        <f t="shared" si="2"/>
        <v>0</v>
      </c>
      <c r="H168" s="40"/>
      <c r="I168" s="67"/>
    </row>
    <row r="169" spans="1:11">
      <c r="A169" s="67"/>
      <c r="B169" s="40"/>
      <c r="C169" s="67"/>
      <c r="D169" s="7"/>
      <c r="E169" s="67"/>
      <c r="F169" s="65"/>
      <c r="G169" s="24">
        <f t="shared" si="2"/>
        <v>0</v>
      </c>
      <c r="H169" s="40"/>
      <c r="I169" s="67"/>
    </row>
    <row r="170" spans="1:11">
      <c r="A170" s="67"/>
      <c r="B170" s="40"/>
      <c r="C170" s="67"/>
      <c r="D170" s="7"/>
      <c r="E170" s="67"/>
      <c r="F170" s="65"/>
      <c r="G170" s="24">
        <f t="shared" si="2"/>
        <v>0</v>
      </c>
      <c r="H170" s="40"/>
      <c r="I170" s="67"/>
    </row>
    <row r="171" spans="1:11">
      <c r="A171" s="67"/>
      <c r="B171" s="40"/>
      <c r="C171" s="67"/>
      <c r="D171" s="7"/>
      <c r="E171" s="67"/>
      <c r="F171" s="65"/>
      <c r="G171" s="24">
        <f t="shared" si="2"/>
        <v>0</v>
      </c>
      <c r="H171" s="40"/>
      <c r="I171" s="67"/>
    </row>
    <row r="172" spans="1:11">
      <c r="A172" s="67"/>
      <c r="B172" s="40"/>
      <c r="C172" s="67"/>
      <c r="D172" s="7"/>
      <c r="E172" s="67"/>
      <c r="F172" s="65"/>
      <c r="G172" s="24">
        <f t="shared" si="2"/>
        <v>0</v>
      </c>
      <c r="H172" s="40"/>
      <c r="I172" s="67"/>
    </row>
    <row r="173" spans="1:11">
      <c r="A173" s="67"/>
      <c r="B173" s="40"/>
      <c r="C173" s="67"/>
      <c r="D173" s="7"/>
      <c r="E173" s="67"/>
      <c r="F173" s="65"/>
      <c r="G173" s="24">
        <f t="shared" si="2"/>
        <v>0</v>
      </c>
      <c r="H173" s="40"/>
      <c r="I173" s="67"/>
    </row>
    <row r="174" spans="1:11">
      <c r="A174" s="67"/>
      <c r="B174" s="40"/>
      <c r="C174" s="67"/>
      <c r="D174" s="7"/>
      <c r="E174" s="67"/>
      <c r="F174" s="65"/>
      <c r="G174" s="24">
        <f t="shared" si="2"/>
        <v>0</v>
      </c>
      <c r="H174" s="40"/>
      <c r="I174" s="67"/>
    </row>
    <row r="175" spans="1:11">
      <c r="A175" s="67"/>
      <c r="B175" s="40"/>
      <c r="C175" s="67"/>
      <c r="D175" s="7"/>
      <c r="E175" s="67"/>
      <c r="F175" s="65"/>
      <c r="G175" s="24">
        <f t="shared" si="2"/>
        <v>0</v>
      </c>
      <c r="H175" s="40"/>
      <c r="I175" s="67"/>
    </row>
    <row r="176" spans="1:11">
      <c r="A176" s="67"/>
      <c r="B176" s="40"/>
      <c r="C176" s="67"/>
      <c r="D176" s="7"/>
      <c r="E176" s="67"/>
      <c r="F176" s="65"/>
      <c r="G176" s="24">
        <f t="shared" si="2"/>
        <v>0</v>
      </c>
      <c r="H176" s="40"/>
      <c r="I176" s="67"/>
    </row>
    <row r="177" spans="1:9">
      <c r="A177" s="67"/>
      <c r="B177" s="40"/>
      <c r="C177" s="67"/>
      <c r="D177" s="7"/>
      <c r="E177" s="67"/>
      <c r="F177" s="65"/>
      <c r="G177" s="24">
        <f t="shared" si="2"/>
        <v>0</v>
      </c>
      <c r="H177" s="40"/>
      <c r="I177" s="67"/>
    </row>
    <row r="178" spans="1:9">
      <c r="A178" s="67"/>
      <c r="B178" s="40"/>
      <c r="C178" s="67"/>
      <c r="D178" s="7"/>
      <c r="E178" s="67"/>
      <c r="F178" s="65"/>
      <c r="G178" s="24">
        <f t="shared" si="2"/>
        <v>0</v>
      </c>
      <c r="H178" s="40"/>
      <c r="I178" s="67"/>
    </row>
    <row r="179" spans="1:9">
      <c r="A179" s="67"/>
      <c r="B179" s="40"/>
      <c r="C179" s="67"/>
      <c r="D179" s="7"/>
      <c r="E179" s="67"/>
      <c r="F179" s="65"/>
      <c r="G179" s="24">
        <f t="shared" si="2"/>
        <v>0</v>
      </c>
      <c r="H179" s="40"/>
      <c r="I179" s="67"/>
    </row>
    <row r="180" spans="1:9">
      <c r="A180" s="67"/>
      <c r="B180" s="40"/>
      <c r="C180" s="67"/>
      <c r="D180" s="7"/>
      <c r="E180" s="67"/>
      <c r="F180" s="65"/>
      <c r="G180" s="24">
        <f t="shared" si="2"/>
        <v>0</v>
      </c>
      <c r="H180" s="40"/>
      <c r="I180" s="67"/>
    </row>
    <row r="181" spans="1:9">
      <c r="A181" s="67"/>
      <c r="B181" s="40"/>
      <c r="C181" s="67"/>
      <c r="D181" s="7"/>
      <c r="E181" s="67"/>
      <c r="F181" s="65"/>
      <c r="G181" s="24">
        <f t="shared" si="2"/>
        <v>0</v>
      </c>
      <c r="H181" s="40"/>
      <c r="I181" s="67"/>
    </row>
    <row r="182" spans="1:9">
      <c r="A182" s="67"/>
      <c r="B182" s="40"/>
      <c r="C182" s="67"/>
      <c r="D182" s="7"/>
      <c r="E182" s="67"/>
      <c r="F182" s="65"/>
      <c r="G182" s="24">
        <f t="shared" si="2"/>
        <v>0</v>
      </c>
      <c r="H182" s="40"/>
      <c r="I182" s="67"/>
    </row>
    <row r="183" spans="1:9">
      <c r="A183" s="67"/>
      <c r="B183" s="40"/>
      <c r="C183" s="67"/>
      <c r="D183" s="7"/>
      <c r="E183" s="67"/>
      <c r="F183" s="65"/>
      <c r="G183" s="24">
        <f t="shared" si="2"/>
        <v>0</v>
      </c>
      <c r="H183" s="40"/>
      <c r="I183" s="67"/>
    </row>
    <row r="184" spans="1:9">
      <c r="A184" s="67"/>
      <c r="B184" s="40"/>
      <c r="C184" s="67"/>
      <c r="D184" s="7"/>
      <c r="E184" s="67"/>
      <c r="F184" s="65"/>
      <c r="G184" s="24">
        <f t="shared" si="2"/>
        <v>0</v>
      </c>
      <c r="H184" s="40"/>
      <c r="I184" s="67"/>
    </row>
    <row r="185" spans="1:9">
      <c r="A185" s="67"/>
      <c r="B185" s="40"/>
      <c r="C185" s="67"/>
      <c r="D185" s="7"/>
      <c r="E185" s="67"/>
      <c r="F185" s="65"/>
      <c r="G185" s="24">
        <f t="shared" si="2"/>
        <v>0</v>
      </c>
      <c r="H185" s="40"/>
      <c r="I185" s="67"/>
    </row>
    <row r="186" spans="1:9">
      <c r="A186" s="67"/>
      <c r="B186" s="40"/>
      <c r="C186" s="67"/>
      <c r="D186" s="7"/>
      <c r="E186" s="67"/>
      <c r="F186" s="65"/>
      <c r="G186" s="24">
        <f t="shared" si="2"/>
        <v>0</v>
      </c>
      <c r="H186" s="40"/>
      <c r="I186" s="67"/>
    </row>
    <row r="187" spans="1:9">
      <c r="A187" s="67"/>
      <c r="B187" s="40"/>
      <c r="C187" s="67"/>
      <c r="D187" s="7"/>
      <c r="E187" s="67"/>
      <c r="F187" s="65"/>
      <c r="G187" s="24">
        <f t="shared" si="2"/>
        <v>0</v>
      </c>
      <c r="H187" s="40"/>
      <c r="I187" s="67"/>
    </row>
    <row r="188" spans="1:9">
      <c r="A188" s="67"/>
      <c r="B188" s="40"/>
      <c r="C188" s="67"/>
      <c r="D188" s="7"/>
      <c r="E188" s="67"/>
      <c r="F188" s="65"/>
      <c r="G188" s="24">
        <f t="shared" si="2"/>
        <v>0</v>
      </c>
      <c r="H188" s="40"/>
      <c r="I188" s="67"/>
    </row>
    <row r="189" spans="1:9">
      <c r="A189" s="67"/>
      <c r="B189" s="40"/>
      <c r="C189" s="67"/>
      <c r="D189" s="7"/>
      <c r="E189" s="67"/>
      <c r="F189" s="65"/>
      <c r="G189" s="24">
        <f t="shared" si="2"/>
        <v>0</v>
      </c>
      <c r="H189" s="40"/>
      <c r="I189" s="67"/>
    </row>
    <row r="190" spans="1:9">
      <c r="A190" s="67"/>
      <c r="B190" s="40"/>
      <c r="C190" s="67"/>
      <c r="D190" s="7"/>
      <c r="E190" s="67"/>
      <c r="F190" s="65"/>
      <c r="G190" s="24">
        <f t="shared" si="2"/>
        <v>0</v>
      </c>
      <c r="H190" s="40"/>
      <c r="I190" s="67"/>
    </row>
    <row r="191" spans="1:9">
      <c r="A191" s="67"/>
      <c r="B191" s="40"/>
      <c r="C191" s="67"/>
      <c r="D191" s="7"/>
      <c r="E191" s="67"/>
      <c r="F191" s="65"/>
      <c r="G191" s="24">
        <f t="shared" si="2"/>
        <v>0</v>
      </c>
      <c r="H191" s="40"/>
      <c r="I191" s="67"/>
    </row>
    <row r="192" spans="1:9">
      <c r="A192" s="67"/>
      <c r="B192" s="40"/>
      <c r="C192" s="67"/>
      <c r="D192" s="7"/>
      <c r="E192" s="67"/>
      <c r="F192" s="65"/>
      <c r="G192" s="24">
        <f t="shared" si="2"/>
        <v>0</v>
      </c>
      <c r="H192" s="40"/>
      <c r="I192" s="67"/>
    </row>
    <row r="193" spans="1:9">
      <c r="A193" s="67"/>
      <c r="B193" s="40"/>
      <c r="C193" s="67"/>
      <c r="D193" s="7"/>
      <c r="E193" s="67"/>
      <c r="F193" s="65"/>
      <c r="G193" s="24">
        <f t="shared" si="2"/>
        <v>0</v>
      </c>
      <c r="H193" s="40"/>
      <c r="I193" s="67"/>
    </row>
    <row r="194" spans="1:9">
      <c r="A194" s="67"/>
      <c r="B194" s="40"/>
      <c r="C194" s="67"/>
      <c r="D194" s="7"/>
      <c r="E194" s="67"/>
      <c r="F194" s="65"/>
      <c r="G194" s="24">
        <f t="shared" si="2"/>
        <v>0</v>
      </c>
      <c r="H194" s="40"/>
      <c r="I194" s="67"/>
    </row>
    <row r="195" spans="1:9">
      <c r="A195" s="67"/>
      <c r="B195" s="40"/>
      <c r="C195" s="67"/>
      <c r="D195" s="7"/>
      <c r="E195" s="67"/>
      <c r="F195" s="65"/>
      <c r="G195" s="24">
        <f t="shared" si="2"/>
        <v>0</v>
      </c>
      <c r="H195" s="40"/>
      <c r="I195" s="67"/>
    </row>
    <row r="196" spans="1:9">
      <c r="A196" s="67"/>
      <c r="B196" s="40"/>
      <c r="C196" s="67"/>
      <c r="D196" s="7"/>
      <c r="E196" s="67"/>
      <c r="F196" s="65"/>
      <c r="G196" s="24">
        <f t="shared" si="2"/>
        <v>0</v>
      </c>
      <c r="H196" s="40"/>
      <c r="I196" s="67"/>
    </row>
    <row r="197" spans="1:9">
      <c r="A197" s="67"/>
      <c r="B197" s="40"/>
      <c r="C197" s="67"/>
      <c r="D197" s="7"/>
      <c r="E197" s="67"/>
      <c r="F197" s="65"/>
      <c r="G197" s="24">
        <f t="shared" si="2"/>
        <v>0</v>
      </c>
      <c r="H197" s="40"/>
      <c r="I197" s="67"/>
    </row>
    <row r="198" spans="1:9">
      <c r="A198" s="67"/>
      <c r="B198" s="40"/>
      <c r="C198" s="67"/>
      <c r="D198" s="7"/>
      <c r="E198" s="67"/>
      <c r="F198" s="65"/>
      <c r="G198" s="24">
        <f t="shared" si="2"/>
        <v>0</v>
      </c>
      <c r="H198" s="40"/>
      <c r="I198" s="67"/>
    </row>
    <row r="199" spans="1:9">
      <c r="A199" s="67"/>
      <c r="B199" s="40"/>
      <c r="C199" s="67"/>
      <c r="D199" s="7"/>
      <c r="E199" s="67"/>
      <c r="F199" s="65"/>
      <c r="G199" s="24">
        <f t="shared" si="2"/>
        <v>0</v>
      </c>
      <c r="H199" s="40"/>
      <c r="I199" s="67"/>
    </row>
    <row r="200" spans="1:9">
      <c r="A200" s="67"/>
      <c r="B200" s="40"/>
      <c r="C200" s="67"/>
      <c r="D200" s="7"/>
      <c r="E200" s="67"/>
      <c r="F200" s="65"/>
      <c r="G200" s="24">
        <f t="shared" si="2"/>
        <v>0</v>
      </c>
      <c r="H200" s="40"/>
      <c r="I200" s="67"/>
    </row>
    <row r="201" spans="1:9">
      <c r="A201" s="67"/>
      <c r="B201" s="40"/>
      <c r="C201" s="67"/>
      <c r="D201" s="7"/>
      <c r="E201" s="67"/>
      <c r="F201" s="65"/>
      <c r="G201" s="24">
        <f t="shared" si="2"/>
        <v>0</v>
      </c>
      <c r="H201" s="40"/>
      <c r="I201" s="67"/>
    </row>
    <row r="202" spans="1:9">
      <c r="A202" s="67"/>
      <c r="B202" s="40"/>
      <c r="C202" s="67"/>
      <c r="D202" s="7"/>
      <c r="E202" s="67"/>
      <c r="F202" s="65"/>
      <c r="G202" s="24">
        <f t="shared" si="2"/>
        <v>0</v>
      </c>
      <c r="H202" s="40"/>
      <c r="I202" s="67"/>
    </row>
    <row r="203" spans="1:9">
      <c r="A203" s="67"/>
      <c r="B203" s="40"/>
      <c r="C203" s="67"/>
      <c r="D203" s="7"/>
      <c r="E203" s="67"/>
      <c r="F203" s="65"/>
      <c r="G203" s="24">
        <f t="shared" si="2"/>
        <v>0</v>
      </c>
      <c r="H203" s="40"/>
      <c r="I203" s="67"/>
    </row>
    <row r="204" spans="1:9">
      <c r="A204" s="67"/>
      <c r="B204" s="40"/>
      <c r="C204" s="67"/>
      <c r="D204" s="7"/>
      <c r="E204" s="67"/>
      <c r="F204" s="65"/>
      <c r="G204" s="24">
        <f t="shared" si="2"/>
        <v>0</v>
      </c>
      <c r="H204" s="40"/>
      <c r="I204" s="67"/>
    </row>
    <row r="205" spans="1:9">
      <c r="A205" s="67"/>
      <c r="B205" s="40"/>
      <c r="C205" s="67"/>
      <c r="D205" s="7"/>
      <c r="E205" s="67"/>
      <c r="F205" s="65"/>
      <c r="G205" s="24">
        <f t="shared" si="2"/>
        <v>0</v>
      </c>
      <c r="H205" s="40"/>
      <c r="I205" s="67"/>
    </row>
    <row r="206" spans="1:9">
      <c r="A206" s="67"/>
      <c r="B206" s="40"/>
      <c r="C206" s="67"/>
      <c r="D206" s="7"/>
      <c r="E206" s="67"/>
      <c r="F206" s="65"/>
      <c r="G206" s="24">
        <f t="shared" si="2"/>
        <v>0</v>
      </c>
      <c r="H206" s="40"/>
      <c r="I206" s="67"/>
    </row>
    <row r="207" spans="1:9">
      <c r="A207" s="67"/>
      <c r="B207" s="40"/>
      <c r="C207" s="67"/>
      <c r="D207" s="7"/>
      <c r="E207" s="67"/>
      <c r="F207" s="65"/>
      <c r="G207" s="24">
        <f t="shared" ref="G207:G270" si="3">F207*D207</f>
        <v>0</v>
      </c>
      <c r="H207" s="40"/>
      <c r="I207" s="67"/>
    </row>
    <row r="208" spans="1:9">
      <c r="A208" s="67"/>
      <c r="B208" s="40"/>
      <c r="C208" s="67"/>
      <c r="D208" s="7"/>
      <c r="E208" s="67"/>
      <c r="F208" s="65"/>
      <c r="G208" s="24">
        <f t="shared" si="3"/>
        <v>0</v>
      </c>
      <c r="H208" s="40"/>
      <c r="I208" s="67"/>
    </row>
    <row r="209" spans="1:9">
      <c r="A209" s="67"/>
      <c r="B209" s="40"/>
      <c r="C209" s="67"/>
      <c r="D209" s="7"/>
      <c r="E209" s="67"/>
      <c r="F209" s="65"/>
      <c r="G209" s="24">
        <f t="shared" si="3"/>
        <v>0</v>
      </c>
      <c r="H209" s="40"/>
      <c r="I209" s="67"/>
    </row>
    <row r="210" spans="1:9">
      <c r="A210" s="67"/>
      <c r="B210" s="40"/>
      <c r="C210" s="67"/>
      <c r="D210" s="7"/>
      <c r="E210" s="67"/>
      <c r="F210" s="65"/>
      <c r="G210" s="24">
        <f t="shared" si="3"/>
        <v>0</v>
      </c>
      <c r="H210" s="40"/>
      <c r="I210" s="67"/>
    </row>
    <row r="211" spans="1:9">
      <c r="A211" s="67"/>
      <c r="B211" s="40"/>
      <c r="C211" s="67"/>
      <c r="D211" s="7"/>
      <c r="E211" s="67"/>
      <c r="F211" s="65"/>
      <c r="G211" s="24">
        <f t="shared" si="3"/>
        <v>0</v>
      </c>
      <c r="H211" s="40"/>
      <c r="I211" s="67"/>
    </row>
    <row r="212" spans="1:9">
      <c r="A212" s="67"/>
      <c r="B212" s="40"/>
      <c r="C212" s="67"/>
      <c r="D212" s="7"/>
      <c r="E212" s="67"/>
      <c r="F212" s="65"/>
      <c r="G212" s="24">
        <f t="shared" si="3"/>
        <v>0</v>
      </c>
      <c r="H212" s="40"/>
      <c r="I212" s="67"/>
    </row>
    <row r="213" spans="1:9">
      <c r="A213" s="67"/>
      <c r="B213" s="40"/>
      <c r="C213" s="67"/>
      <c r="D213" s="7"/>
      <c r="E213" s="67"/>
      <c r="F213" s="65"/>
      <c r="G213" s="24">
        <f t="shared" si="3"/>
        <v>0</v>
      </c>
      <c r="H213" s="40"/>
      <c r="I213" s="67"/>
    </row>
    <row r="214" spans="1:9">
      <c r="A214" s="67"/>
      <c r="B214" s="40"/>
      <c r="C214" s="67"/>
      <c r="D214" s="7"/>
      <c r="E214" s="67"/>
      <c r="F214" s="65"/>
      <c r="G214" s="24">
        <f t="shared" si="3"/>
        <v>0</v>
      </c>
      <c r="H214" s="40"/>
      <c r="I214" s="67"/>
    </row>
    <row r="215" spans="1:9">
      <c r="A215" s="67"/>
      <c r="B215" s="40"/>
      <c r="C215" s="67"/>
      <c r="D215" s="7"/>
      <c r="E215" s="67"/>
      <c r="F215" s="65"/>
      <c r="G215" s="24">
        <f t="shared" si="3"/>
        <v>0</v>
      </c>
      <c r="H215" s="40"/>
      <c r="I215" s="67"/>
    </row>
    <row r="216" spans="1:9">
      <c r="A216" s="67"/>
      <c r="B216" s="40"/>
      <c r="C216" s="67"/>
      <c r="D216" s="7"/>
      <c r="E216" s="67"/>
      <c r="F216" s="65"/>
      <c r="G216" s="24">
        <f t="shared" si="3"/>
        <v>0</v>
      </c>
      <c r="H216" s="40"/>
      <c r="I216" s="67"/>
    </row>
    <row r="217" spans="1:9">
      <c r="A217" s="67"/>
      <c r="B217" s="40"/>
      <c r="C217" s="67"/>
      <c r="D217" s="7"/>
      <c r="E217" s="67"/>
      <c r="F217" s="65"/>
      <c r="G217" s="24">
        <f t="shared" si="3"/>
        <v>0</v>
      </c>
      <c r="H217" s="40"/>
      <c r="I217" s="67"/>
    </row>
    <row r="218" spans="1:9">
      <c r="A218" s="67"/>
      <c r="B218" s="40"/>
      <c r="C218" s="67"/>
      <c r="D218" s="7"/>
      <c r="E218" s="67"/>
      <c r="F218" s="65"/>
      <c r="G218" s="24">
        <f t="shared" si="3"/>
        <v>0</v>
      </c>
      <c r="H218" s="40"/>
      <c r="I218" s="67"/>
    </row>
    <row r="219" spans="1:9">
      <c r="A219" s="67"/>
      <c r="B219" s="40"/>
      <c r="C219" s="67"/>
      <c r="D219" s="7"/>
      <c r="E219" s="67"/>
      <c r="F219" s="65"/>
      <c r="G219" s="24">
        <f t="shared" si="3"/>
        <v>0</v>
      </c>
      <c r="H219" s="40"/>
      <c r="I219" s="67"/>
    </row>
    <row r="220" spans="1:9">
      <c r="A220" s="67"/>
      <c r="B220" s="40"/>
      <c r="C220" s="67"/>
      <c r="D220" s="7"/>
      <c r="E220" s="67"/>
      <c r="F220" s="65"/>
      <c r="G220" s="24">
        <f t="shared" si="3"/>
        <v>0</v>
      </c>
      <c r="H220" s="40"/>
      <c r="I220" s="67"/>
    </row>
    <row r="221" spans="1:9">
      <c r="A221" s="67"/>
      <c r="B221" s="40"/>
      <c r="C221" s="67"/>
      <c r="D221" s="7"/>
      <c r="E221" s="67"/>
      <c r="F221" s="65"/>
      <c r="G221" s="24">
        <f t="shared" si="3"/>
        <v>0</v>
      </c>
      <c r="H221" s="40"/>
      <c r="I221" s="67"/>
    </row>
    <row r="222" spans="1:9">
      <c r="A222" s="67"/>
      <c r="B222" s="40"/>
      <c r="C222" s="67"/>
      <c r="D222" s="7"/>
      <c r="E222" s="67"/>
      <c r="F222" s="65"/>
      <c r="G222" s="24">
        <f t="shared" si="3"/>
        <v>0</v>
      </c>
      <c r="H222" s="40"/>
      <c r="I222" s="67"/>
    </row>
    <row r="223" spans="1:9">
      <c r="A223" s="67"/>
      <c r="B223" s="40"/>
      <c r="C223" s="67"/>
      <c r="D223" s="7"/>
      <c r="E223" s="67"/>
      <c r="F223" s="65"/>
      <c r="G223" s="24">
        <f t="shared" si="3"/>
        <v>0</v>
      </c>
      <c r="H223" s="40"/>
      <c r="I223" s="67"/>
    </row>
    <row r="224" spans="1:9">
      <c r="A224" s="67"/>
      <c r="B224" s="40"/>
      <c r="C224" s="67"/>
      <c r="D224" s="7"/>
      <c r="E224" s="67"/>
      <c r="F224" s="65"/>
      <c r="G224" s="24">
        <f t="shared" si="3"/>
        <v>0</v>
      </c>
      <c r="H224" s="40"/>
      <c r="I224" s="67"/>
    </row>
    <row r="225" spans="1:9">
      <c r="A225" s="67"/>
      <c r="B225" s="40"/>
      <c r="C225" s="67"/>
      <c r="D225" s="7"/>
      <c r="E225" s="67"/>
      <c r="F225" s="65"/>
      <c r="G225" s="24">
        <f t="shared" si="3"/>
        <v>0</v>
      </c>
      <c r="H225" s="40"/>
      <c r="I225" s="67"/>
    </row>
    <row r="226" spans="1:9">
      <c r="A226" s="67"/>
      <c r="B226" s="40"/>
      <c r="C226" s="67"/>
      <c r="D226" s="7"/>
      <c r="E226" s="67"/>
      <c r="F226" s="65"/>
      <c r="G226" s="24">
        <f t="shared" si="3"/>
        <v>0</v>
      </c>
      <c r="H226" s="40"/>
      <c r="I226" s="67"/>
    </row>
    <row r="227" spans="1:9">
      <c r="A227" s="67"/>
      <c r="B227" s="40"/>
      <c r="C227" s="67"/>
      <c r="D227" s="7"/>
      <c r="E227" s="67"/>
      <c r="F227" s="65"/>
      <c r="G227" s="24">
        <f t="shared" si="3"/>
        <v>0</v>
      </c>
      <c r="H227" s="40"/>
      <c r="I227" s="67"/>
    </row>
    <row r="228" spans="1:9">
      <c r="A228" s="67"/>
      <c r="B228" s="40"/>
      <c r="C228" s="67"/>
      <c r="D228" s="7"/>
      <c r="E228" s="67"/>
      <c r="F228" s="65"/>
      <c r="G228" s="24">
        <f t="shared" si="3"/>
        <v>0</v>
      </c>
      <c r="H228" s="40"/>
      <c r="I228" s="67"/>
    </row>
    <row r="229" spans="1:9">
      <c r="A229" s="67"/>
      <c r="B229" s="40"/>
      <c r="C229" s="67"/>
      <c r="D229" s="7"/>
      <c r="E229" s="67"/>
      <c r="F229" s="65"/>
      <c r="G229" s="24">
        <f t="shared" si="3"/>
        <v>0</v>
      </c>
      <c r="H229" s="40"/>
      <c r="I229" s="67"/>
    </row>
    <row r="230" spans="1:9">
      <c r="A230" s="67"/>
      <c r="B230" s="40"/>
      <c r="C230" s="67"/>
      <c r="D230" s="7"/>
      <c r="E230" s="67"/>
      <c r="F230" s="65"/>
      <c r="G230" s="24">
        <f t="shared" si="3"/>
        <v>0</v>
      </c>
      <c r="H230" s="40"/>
      <c r="I230" s="67"/>
    </row>
    <row r="231" spans="1:9">
      <c r="A231" s="67"/>
      <c r="B231" s="40"/>
      <c r="C231" s="67"/>
      <c r="D231" s="7"/>
      <c r="E231" s="67"/>
      <c r="F231" s="65"/>
      <c r="G231" s="24">
        <f t="shared" si="3"/>
        <v>0</v>
      </c>
      <c r="H231" s="40"/>
      <c r="I231" s="67"/>
    </row>
    <row r="232" spans="1:9">
      <c r="A232" s="67"/>
      <c r="B232" s="40"/>
      <c r="C232" s="67"/>
      <c r="D232" s="7"/>
      <c r="E232" s="67"/>
      <c r="F232" s="65"/>
      <c r="G232" s="24">
        <f t="shared" si="3"/>
        <v>0</v>
      </c>
      <c r="H232" s="40"/>
      <c r="I232" s="67"/>
    </row>
    <row r="233" spans="1:9">
      <c r="A233" s="67"/>
      <c r="B233" s="40"/>
      <c r="C233" s="67"/>
      <c r="D233" s="7"/>
      <c r="E233" s="67"/>
      <c r="F233" s="65"/>
      <c r="G233" s="24">
        <f t="shared" si="3"/>
        <v>0</v>
      </c>
      <c r="H233" s="40"/>
      <c r="I233" s="67"/>
    </row>
    <row r="234" spans="1:9">
      <c r="A234" s="67"/>
      <c r="B234" s="40"/>
      <c r="C234" s="67"/>
      <c r="D234" s="7"/>
      <c r="E234" s="67"/>
      <c r="F234" s="65"/>
      <c r="G234" s="24">
        <f t="shared" si="3"/>
        <v>0</v>
      </c>
      <c r="H234" s="40"/>
      <c r="I234" s="67"/>
    </row>
    <row r="235" spans="1:9">
      <c r="A235" s="67"/>
      <c r="B235" s="40"/>
      <c r="C235" s="67"/>
      <c r="D235" s="7"/>
      <c r="E235" s="67"/>
      <c r="F235" s="65"/>
      <c r="G235" s="24">
        <f t="shared" si="3"/>
        <v>0</v>
      </c>
      <c r="H235" s="40"/>
      <c r="I235" s="67"/>
    </row>
    <row r="236" spans="1:9">
      <c r="A236" s="67"/>
      <c r="B236" s="40"/>
      <c r="C236" s="67"/>
      <c r="D236" s="7"/>
      <c r="E236" s="67"/>
      <c r="F236" s="65"/>
      <c r="G236" s="24">
        <f t="shared" si="3"/>
        <v>0</v>
      </c>
      <c r="H236" s="40"/>
      <c r="I236" s="67"/>
    </row>
    <row r="237" spans="1:9">
      <c r="A237" s="67"/>
      <c r="B237" s="40"/>
      <c r="C237" s="67"/>
      <c r="D237" s="7"/>
      <c r="E237" s="67"/>
      <c r="F237" s="65"/>
      <c r="G237" s="24">
        <f t="shared" si="3"/>
        <v>0</v>
      </c>
      <c r="H237" s="40"/>
      <c r="I237" s="67"/>
    </row>
    <row r="238" spans="1:9">
      <c r="A238" s="67"/>
      <c r="B238" s="40"/>
      <c r="C238" s="67"/>
      <c r="D238" s="7"/>
      <c r="E238" s="67"/>
      <c r="F238" s="65"/>
      <c r="G238" s="24">
        <f t="shared" si="3"/>
        <v>0</v>
      </c>
      <c r="H238" s="40"/>
      <c r="I238" s="67"/>
    </row>
    <row r="239" spans="1:9">
      <c r="A239" s="67"/>
      <c r="B239" s="40"/>
      <c r="C239" s="67"/>
      <c r="D239" s="7"/>
      <c r="E239" s="67"/>
      <c r="F239" s="65"/>
      <c r="G239" s="24">
        <f t="shared" si="3"/>
        <v>0</v>
      </c>
      <c r="H239" s="40"/>
      <c r="I239" s="67"/>
    </row>
    <row r="240" spans="1:9">
      <c r="A240" s="67"/>
      <c r="B240" s="40"/>
      <c r="C240" s="67"/>
      <c r="D240" s="7"/>
      <c r="E240" s="67"/>
      <c r="F240" s="65"/>
      <c r="G240" s="24">
        <f t="shared" si="3"/>
        <v>0</v>
      </c>
      <c r="H240" s="40"/>
      <c r="I240" s="67"/>
    </row>
    <row r="241" spans="1:9">
      <c r="A241" s="67"/>
      <c r="B241" s="40"/>
      <c r="C241" s="67"/>
      <c r="D241" s="7"/>
      <c r="E241" s="67"/>
      <c r="F241" s="65"/>
      <c r="G241" s="24">
        <f t="shared" si="3"/>
        <v>0</v>
      </c>
      <c r="H241" s="40"/>
      <c r="I241" s="67"/>
    </row>
    <row r="242" spans="1:9">
      <c r="A242" s="67"/>
      <c r="B242" s="40"/>
      <c r="C242" s="67"/>
      <c r="D242" s="7"/>
      <c r="E242" s="67"/>
      <c r="F242" s="65"/>
      <c r="G242" s="24">
        <f t="shared" si="3"/>
        <v>0</v>
      </c>
      <c r="H242" s="40"/>
      <c r="I242" s="67"/>
    </row>
    <row r="243" spans="1:9">
      <c r="A243" s="67"/>
      <c r="B243" s="40"/>
      <c r="C243" s="67"/>
      <c r="D243" s="7"/>
      <c r="E243" s="67"/>
      <c r="F243" s="65"/>
      <c r="G243" s="24">
        <f t="shared" si="3"/>
        <v>0</v>
      </c>
      <c r="H243" s="40"/>
      <c r="I243" s="67"/>
    </row>
    <row r="244" spans="1:9">
      <c r="A244" s="67"/>
      <c r="B244" s="40"/>
      <c r="C244" s="67"/>
      <c r="D244" s="7"/>
      <c r="E244" s="67"/>
      <c r="F244" s="65"/>
      <c r="G244" s="24">
        <f t="shared" si="3"/>
        <v>0</v>
      </c>
      <c r="H244" s="40"/>
      <c r="I244" s="67"/>
    </row>
    <row r="245" spans="1:9">
      <c r="A245" s="67"/>
      <c r="B245" s="40"/>
      <c r="C245" s="67"/>
      <c r="D245" s="7"/>
      <c r="E245" s="67"/>
      <c r="F245" s="65"/>
      <c r="G245" s="24">
        <f t="shared" si="3"/>
        <v>0</v>
      </c>
      <c r="H245" s="40"/>
      <c r="I245" s="67"/>
    </row>
    <row r="246" spans="1:9">
      <c r="A246" s="67"/>
      <c r="B246" s="40"/>
      <c r="C246" s="67"/>
      <c r="D246" s="7"/>
      <c r="E246" s="67"/>
      <c r="F246" s="65"/>
      <c r="G246" s="24">
        <f t="shared" si="3"/>
        <v>0</v>
      </c>
      <c r="H246" s="40"/>
      <c r="I246" s="67"/>
    </row>
    <row r="247" spans="1:9">
      <c r="A247" s="67"/>
      <c r="B247" s="40"/>
      <c r="C247" s="67"/>
      <c r="D247" s="7"/>
      <c r="E247" s="67"/>
      <c r="F247" s="65"/>
      <c r="G247" s="24">
        <f t="shared" si="3"/>
        <v>0</v>
      </c>
      <c r="H247" s="40"/>
      <c r="I247" s="67"/>
    </row>
    <row r="248" spans="1:9">
      <c r="A248" s="67"/>
      <c r="B248" s="40"/>
      <c r="C248" s="67"/>
      <c r="D248" s="7"/>
      <c r="E248" s="67"/>
      <c r="F248" s="65"/>
      <c r="G248" s="24">
        <f t="shared" si="3"/>
        <v>0</v>
      </c>
      <c r="H248" s="40"/>
      <c r="I248" s="67"/>
    </row>
    <row r="249" spans="1:9">
      <c r="A249" s="67"/>
      <c r="B249" s="40"/>
      <c r="C249" s="67"/>
      <c r="D249" s="7"/>
      <c r="E249" s="67"/>
      <c r="F249" s="65"/>
      <c r="G249" s="24">
        <f t="shared" si="3"/>
        <v>0</v>
      </c>
      <c r="H249" s="40"/>
      <c r="I249" s="67"/>
    </row>
    <row r="250" spans="1:9">
      <c r="A250" s="67"/>
      <c r="B250" s="40"/>
      <c r="C250" s="67"/>
      <c r="D250" s="7"/>
      <c r="E250" s="67"/>
      <c r="F250" s="65"/>
      <c r="G250" s="24">
        <f t="shared" si="3"/>
        <v>0</v>
      </c>
      <c r="H250" s="40"/>
      <c r="I250" s="67"/>
    </row>
    <row r="251" spans="1:9">
      <c r="A251" s="67"/>
      <c r="B251" s="40"/>
      <c r="C251" s="67"/>
      <c r="D251" s="7"/>
      <c r="E251" s="67"/>
      <c r="F251" s="65"/>
      <c r="G251" s="24">
        <f t="shared" si="3"/>
        <v>0</v>
      </c>
      <c r="H251" s="40"/>
      <c r="I251" s="67"/>
    </row>
    <row r="252" spans="1:9">
      <c r="A252" s="67"/>
      <c r="B252" s="40"/>
      <c r="C252" s="67"/>
      <c r="D252" s="7"/>
      <c r="E252" s="67"/>
      <c r="F252" s="65"/>
      <c r="G252" s="24">
        <f t="shared" si="3"/>
        <v>0</v>
      </c>
      <c r="H252" s="40"/>
      <c r="I252" s="67"/>
    </row>
    <row r="253" spans="1:9">
      <c r="A253" s="67"/>
      <c r="B253" s="40"/>
      <c r="C253" s="67"/>
      <c r="D253" s="7"/>
      <c r="E253" s="67"/>
      <c r="F253" s="65"/>
      <c r="G253" s="24">
        <f t="shared" si="3"/>
        <v>0</v>
      </c>
      <c r="H253" s="40"/>
      <c r="I253" s="67"/>
    </row>
    <row r="254" spans="1:9">
      <c r="A254" s="67"/>
      <c r="B254" s="40"/>
      <c r="C254" s="67"/>
      <c r="D254" s="7"/>
      <c r="E254" s="67"/>
      <c r="F254" s="65"/>
      <c r="G254" s="24">
        <f t="shared" si="3"/>
        <v>0</v>
      </c>
      <c r="H254" s="40"/>
      <c r="I254" s="67"/>
    </row>
    <row r="255" spans="1:9">
      <c r="A255" s="67"/>
      <c r="B255" s="40"/>
      <c r="C255" s="67"/>
      <c r="D255" s="7"/>
      <c r="E255" s="67"/>
      <c r="F255" s="65"/>
      <c r="G255" s="24">
        <f t="shared" si="3"/>
        <v>0</v>
      </c>
      <c r="H255" s="40"/>
      <c r="I255" s="67"/>
    </row>
    <row r="256" spans="1:9">
      <c r="A256" s="67"/>
      <c r="B256" s="40"/>
      <c r="C256" s="67"/>
      <c r="D256" s="7"/>
      <c r="E256" s="67"/>
      <c r="F256" s="65"/>
      <c r="G256" s="24">
        <f t="shared" si="3"/>
        <v>0</v>
      </c>
      <c r="H256" s="40"/>
      <c r="I256" s="67"/>
    </row>
    <row r="257" spans="1:9">
      <c r="A257" s="67"/>
      <c r="B257" s="40"/>
      <c r="C257" s="67"/>
      <c r="D257" s="7"/>
      <c r="E257" s="67"/>
      <c r="F257" s="65"/>
      <c r="G257" s="24">
        <f t="shared" si="3"/>
        <v>0</v>
      </c>
      <c r="H257" s="40"/>
      <c r="I257" s="67"/>
    </row>
    <row r="258" spans="1:9">
      <c r="A258" s="67"/>
      <c r="B258" s="40"/>
      <c r="C258" s="67"/>
      <c r="D258" s="7"/>
      <c r="E258" s="67"/>
      <c r="F258" s="65"/>
      <c r="G258" s="24">
        <f t="shared" si="3"/>
        <v>0</v>
      </c>
      <c r="H258" s="40"/>
      <c r="I258" s="67"/>
    </row>
    <row r="259" spans="1:9">
      <c r="A259" s="67"/>
      <c r="B259" s="40"/>
      <c r="C259" s="67"/>
      <c r="D259" s="7"/>
      <c r="E259" s="67"/>
      <c r="F259" s="65"/>
      <c r="G259" s="24">
        <f t="shared" si="3"/>
        <v>0</v>
      </c>
      <c r="H259" s="40"/>
      <c r="I259" s="67"/>
    </row>
    <row r="260" spans="1:9">
      <c r="A260" s="67"/>
      <c r="B260" s="40"/>
      <c r="C260" s="67"/>
      <c r="D260" s="7"/>
      <c r="E260" s="67"/>
      <c r="F260" s="65"/>
      <c r="G260" s="24">
        <f t="shared" si="3"/>
        <v>0</v>
      </c>
      <c r="H260" s="40"/>
      <c r="I260" s="67"/>
    </row>
    <row r="261" spans="1:9">
      <c r="A261" s="67"/>
      <c r="B261" s="40"/>
      <c r="C261" s="67"/>
      <c r="D261" s="7"/>
      <c r="E261" s="67"/>
      <c r="F261" s="65"/>
      <c r="G261" s="24">
        <f t="shared" si="3"/>
        <v>0</v>
      </c>
      <c r="H261" s="40"/>
      <c r="I261" s="67"/>
    </row>
    <row r="262" spans="1:9">
      <c r="A262" s="67"/>
      <c r="B262" s="40"/>
      <c r="C262" s="67"/>
      <c r="D262" s="7"/>
      <c r="E262" s="67"/>
      <c r="F262" s="65"/>
      <c r="G262" s="24">
        <f t="shared" si="3"/>
        <v>0</v>
      </c>
      <c r="H262" s="40"/>
      <c r="I262" s="67"/>
    </row>
    <row r="263" spans="1:9">
      <c r="A263" s="67"/>
      <c r="B263" s="40"/>
      <c r="C263" s="67"/>
      <c r="D263" s="7"/>
      <c r="E263" s="67"/>
      <c r="F263" s="65"/>
      <c r="G263" s="24">
        <f t="shared" si="3"/>
        <v>0</v>
      </c>
      <c r="H263" s="40"/>
      <c r="I263" s="67"/>
    </row>
    <row r="264" spans="1:9">
      <c r="A264" s="67"/>
      <c r="B264" s="40"/>
      <c r="C264" s="67"/>
      <c r="D264" s="7"/>
      <c r="E264" s="67"/>
      <c r="F264" s="65"/>
      <c r="G264" s="24">
        <f t="shared" si="3"/>
        <v>0</v>
      </c>
      <c r="H264" s="40"/>
      <c r="I264" s="67"/>
    </row>
    <row r="265" spans="1:9">
      <c r="A265" s="67"/>
      <c r="B265" s="40"/>
      <c r="C265" s="67"/>
      <c r="D265" s="7"/>
      <c r="E265" s="67"/>
      <c r="F265" s="65"/>
      <c r="G265" s="24">
        <f t="shared" si="3"/>
        <v>0</v>
      </c>
      <c r="H265" s="40"/>
      <c r="I265" s="67"/>
    </row>
    <row r="266" spans="1:9">
      <c r="A266" s="67"/>
      <c r="B266" s="40"/>
      <c r="C266" s="67"/>
      <c r="D266" s="7"/>
      <c r="E266" s="67"/>
      <c r="F266" s="65"/>
      <c r="G266" s="24">
        <f t="shared" si="3"/>
        <v>0</v>
      </c>
      <c r="H266" s="40"/>
      <c r="I266" s="67"/>
    </row>
    <row r="267" spans="1:9">
      <c r="A267" s="67"/>
      <c r="B267" s="40"/>
      <c r="C267" s="67"/>
      <c r="D267" s="7"/>
      <c r="E267" s="67"/>
      <c r="F267" s="65"/>
      <c r="G267" s="24">
        <f t="shared" si="3"/>
        <v>0</v>
      </c>
      <c r="H267" s="40"/>
      <c r="I267" s="67"/>
    </row>
    <row r="268" spans="1:9">
      <c r="A268" s="67"/>
      <c r="B268" s="40"/>
      <c r="C268" s="67"/>
      <c r="D268" s="7"/>
      <c r="E268" s="67"/>
      <c r="F268" s="65"/>
      <c r="G268" s="24">
        <f t="shared" si="3"/>
        <v>0</v>
      </c>
      <c r="H268" s="40"/>
      <c r="I268" s="67"/>
    </row>
    <row r="269" spans="1:9">
      <c r="A269" s="67"/>
      <c r="B269" s="40"/>
      <c r="C269" s="67"/>
      <c r="D269" s="7"/>
      <c r="E269" s="67"/>
      <c r="F269" s="65"/>
      <c r="G269" s="24">
        <f t="shared" si="3"/>
        <v>0</v>
      </c>
      <c r="H269" s="40"/>
      <c r="I269" s="67"/>
    </row>
    <row r="270" spans="1:9">
      <c r="A270" s="67"/>
      <c r="B270" s="40"/>
      <c r="C270" s="67"/>
      <c r="D270" s="7"/>
      <c r="E270" s="67"/>
      <c r="F270" s="65"/>
      <c r="G270" s="24">
        <f t="shared" si="3"/>
        <v>0</v>
      </c>
      <c r="H270" s="40"/>
      <c r="I270" s="67"/>
    </row>
    <row r="271" spans="1:9">
      <c r="A271" s="67"/>
      <c r="B271" s="40"/>
      <c r="C271" s="67"/>
      <c r="D271" s="7"/>
      <c r="E271" s="67"/>
      <c r="F271" s="65"/>
      <c r="G271" s="24">
        <f t="shared" ref="G271:G300" si="4">F271*D271</f>
        <v>0</v>
      </c>
      <c r="H271" s="40"/>
      <c r="I271" s="67"/>
    </row>
    <row r="272" spans="1:9">
      <c r="A272" s="67"/>
      <c r="B272" s="40"/>
      <c r="C272" s="67"/>
      <c r="D272" s="7"/>
      <c r="E272" s="67"/>
      <c r="F272" s="65"/>
      <c r="G272" s="24">
        <f t="shared" si="4"/>
        <v>0</v>
      </c>
      <c r="H272" s="40"/>
      <c r="I272" s="67"/>
    </row>
    <row r="273" spans="1:9">
      <c r="A273" s="67"/>
      <c r="B273" s="40"/>
      <c r="C273" s="67"/>
      <c r="D273" s="7"/>
      <c r="E273" s="67"/>
      <c r="F273" s="65"/>
      <c r="G273" s="24">
        <f t="shared" si="4"/>
        <v>0</v>
      </c>
      <c r="H273" s="40"/>
      <c r="I273" s="67"/>
    </row>
    <row r="274" spans="1:9">
      <c r="A274" s="67"/>
      <c r="B274" s="40"/>
      <c r="C274" s="67"/>
      <c r="D274" s="7"/>
      <c r="E274" s="67"/>
      <c r="F274" s="65"/>
      <c r="G274" s="24">
        <f t="shared" si="4"/>
        <v>0</v>
      </c>
      <c r="H274" s="40"/>
      <c r="I274" s="67"/>
    </row>
    <row r="275" spans="1:9">
      <c r="A275" s="67"/>
      <c r="B275" s="40"/>
      <c r="C275" s="67"/>
      <c r="D275" s="7"/>
      <c r="E275" s="67"/>
      <c r="F275" s="65"/>
      <c r="G275" s="24">
        <f t="shared" si="4"/>
        <v>0</v>
      </c>
      <c r="H275" s="40"/>
      <c r="I275" s="67"/>
    </row>
    <row r="276" spans="1:9">
      <c r="A276" s="67"/>
      <c r="B276" s="40"/>
      <c r="C276" s="67"/>
      <c r="D276" s="7"/>
      <c r="E276" s="67"/>
      <c r="F276" s="65"/>
      <c r="G276" s="24">
        <f t="shared" si="4"/>
        <v>0</v>
      </c>
      <c r="H276" s="40"/>
      <c r="I276" s="67"/>
    </row>
    <row r="277" spans="1:9">
      <c r="A277" s="67"/>
      <c r="B277" s="40"/>
      <c r="C277" s="67"/>
      <c r="D277" s="7"/>
      <c r="E277" s="67"/>
      <c r="F277" s="65"/>
      <c r="G277" s="24">
        <f t="shared" si="4"/>
        <v>0</v>
      </c>
      <c r="H277" s="40"/>
      <c r="I277" s="67"/>
    </row>
    <row r="278" spans="1:9">
      <c r="A278" s="67"/>
      <c r="B278" s="40"/>
      <c r="C278" s="67"/>
      <c r="D278" s="7"/>
      <c r="E278" s="67"/>
      <c r="F278" s="65"/>
      <c r="G278" s="24">
        <f t="shared" si="4"/>
        <v>0</v>
      </c>
      <c r="H278" s="40"/>
      <c r="I278" s="67"/>
    </row>
    <row r="279" spans="1:9">
      <c r="A279" s="67"/>
      <c r="B279" s="40"/>
      <c r="C279" s="67"/>
      <c r="D279" s="7"/>
      <c r="E279" s="67"/>
      <c r="F279" s="65"/>
      <c r="G279" s="24">
        <f t="shared" si="4"/>
        <v>0</v>
      </c>
      <c r="H279" s="40"/>
      <c r="I279" s="67"/>
    </row>
    <row r="280" spans="1:9">
      <c r="A280" s="67"/>
      <c r="B280" s="40"/>
      <c r="C280" s="67"/>
      <c r="D280" s="7"/>
      <c r="E280" s="67"/>
      <c r="F280" s="65"/>
      <c r="G280" s="24">
        <f t="shared" si="4"/>
        <v>0</v>
      </c>
      <c r="H280" s="40"/>
      <c r="I280" s="67"/>
    </row>
    <row r="281" spans="1:9">
      <c r="A281" s="67"/>
      <c r="B281" s="40"/>
      <c r="C281" s="67"/>
      <c r="D281" s="7"/>
      <c r="E281" s="67"/>
      <c r="F281" s="65"/>
      <c r="G281" s="24">
        <f t="shared" si="4"/>
        <v>0</v>
      </c>
      <c r="H281" s="40"/>
      <c r="I281" s="67"/>
    </row>
    <row r="282" spans="1:9">
      <c r="A282" s="67"/>
      <c r="B282" s="40"/>
      <c r="C282" s="67"/>
      <c r="D282" s="7"/>
      <c r="E282" s="67"/>
      <c r="F282" s="65"/>
      <c r="G282" s="24">
        <f t="shared" si="4"/>
        <v>0</v>
      </c>
      <c r="H282" s="40"/>
      <c r="I282" s="67"/>
    </row>
    <row r="283" spans="1:9">
      <c r="A283" s="67"/>
      <c r="B283" s="40"/>
      <c r="C283" s="67"/>
      <c r="D283" s="7"/>
      <c r="E283" s="67"/>
      <c r="F283" s="65"/>
      <c r="G283" s="24">
        <f t="shared" si="4"/>
        <v>0</v>
      </c>
      <c r="H283" s="40"/>
      <c r="I283" s="67"/>
    </row>
    <row r="284" spans="1:9">
      <c r="A284" s="67"/>
      <c r="B284" s="40"/>
      <c r="C284" s="67"/>
      <c r="D284" s="7"/>
      <c r="E284" s="67"/>
      <c r="F284" s="65"/>
      <c r="G284" s="24">
        <f t="shared" si="4"/>
        <v>0</v>
      </c>
      <c r="H284" s="40"/>
      <c r="I284" s="67"/>
    </row>
    <row r="285" spans="1:9">
      <c r="A285" s="67"/>
      <c r="B285" s="40"/>
      <c r="C285" s="67"/>
      <c r="D285" s="7"/>
      <c r="E285" s="67"/>
      <c r="F285" s="65"/>
      <c r="G285" s="24">
        <f t="shared" si="4"/>
        <v>0</v>
      </c>
      <c r="H285" s="40"/>
      <c r="I285" s="67"/>
    </row>
    <row r="286" spans="1:9">
      <c r="A286" s="67"/>
      <c r="B286" s="40"/>
      <c r="C286" s="67"/>
      <c r="D286" s="7"/>
      <c r="E286" s="67"/>
      <c r="F286" s="65"/>
      <c r="G286" s="24">
        <f t="shared" si="4"/>
        <v>0</v>
      </c>
      <c r="H286" s="40"/>
      <c r="I286" s="67"/>
    </row>
    <row r="287" spans="1:9">
      <c r="A287" s="67"/>
      <c r="B287" s="40"/>
      <c r="C287" s="67"/>
      <c r="D287" s="7"/>
      <c r="E287" s="67"/>
      <c r="F287" s="65"/>
      <c r="G287" s="24">
        <f t="shared" si="4"/>
        <v>0</v>
      </c>
      <c r="H287" s="40"/>
      <c r="I287" s="67"/>
    </row>
    <row r="288" spans="1:9">
      <c r="A288" s="67"/>
      <c r="B288" s="40"/>
      <c r="C288" s="67"/>
      <c r="D288" s="7"/>
      <c r="E288" s="67"/>
      <c r="F288" s="65"/>
      <c r="G288" s="24">
        <f t="shared" si="4"/>
        <v>0</v>
      </c>
      <c r="H288" s="40"/>
      <c r="I288" s="67"/>
    </row>
    <row r="289" spans="1:9">
      <c r="A289" s="67"/>
      <c r="B289" s="40"/>
      <c r="C289" s="67"/>
      <c r="D289" s="7"/>
      <c r="E289" s="67"/>
      <c r="F289" s="65"/>
      <c r="G289" s="24">
        <f t="shared" si="4"/>
        <v>0</v>
      </c>
      <c r="H289" s="40"/>
      <c r="I289" s="67"/>
    </row>
    <row r="290" spans="1:9">
      <c r="A290" s="67"/>
      <c r="B290" s="40"/>
      <c r="C290" s="67"/>
      <c r="D290" s="7"/>
      <c r="E290" s="67"/>
      <c r="F290" s="65"/>
      <c r="G290" s="24">
        <f t="shared" si="4"/>
        <v>0</v>
      </c>
      <c r="H290" s="40"/>
      <c r="I290" s="67"/>
    </row>
    <row r="291" spans="1:9">
      <c r="A291" s="67"/>
      <c r="B291" s="40"/>
      <c r="C291" s="67"/>
      <c r="D291" s="7"/>
      <c r="E291" s="67"/>
      <c r="F291" s="65"/>
      <c r="G291" s="24">
        <f t="shared" si="4"/>
        <v>0</v>
      </c>
      <c r="H291" s="40"/>
      <c r="I291" s="67"/>
    </row>
    <row r="292" spans="1:9">
      <c r="A292" s="67"/>
      <c r="B292" s="40"/>
      <c r="C292" s="67"/>
      <c r="D292" s="7"/>
      <c r="E292" s="67"/>
      <c r="F292" s="65"/>
      <c r="G292" s="24">
        <f t="shared" si="4"/>
        <v>0</v>
      </c>
      <c r="H292" s="40"/>
      <c r="I292" s="67"/>
    </row>
    <row r="293" spans="1:9">
      <c r="A293" s="67"/>
      <c r="B293" s="40"/>
      <c r="C293" s="67"/>
      <c r="D293" s="7"/>
      <c r="E293" s="67"/>
      <c r="F293" s="65"/>
      <c r="G293" s="24">
        <f t="shared" si="4"/>
        <v>0</v>
      </c>
      <c r="H293" s="40"/>
      <c r="I293" s="67"/>
    </row>
    <row r="294" spans="1:9">
      <c r="A294" s="67"/>
      <c r="B294" s="40"/>
      <c r="C294" s="67"/>
      <c r="D294" s="7"/>
      <c r="E294" s="67"/>
      <c r="F294" s="65"/>
      <c r="G294" s="24">
        <f t="shared" si="4"/>
        <v>0</v>
      </c>
      <c r="H294" s="40"/>
      <c r="I294" s="67"/>
    </row>
    <row r="295" spans="1:9">
      <c r="A295" s="67"/>
      <c r="B295" s="40"/>
      <c r="C295" s="67"/>
      <c r="D295" s="7"/>
      <c r="E295" s="67"/>
      <c r="F295" s="65"/>
      <c r="G295" s="24">
        <f t="shared" si="4"/>
        <v>0</v>
      </c>
      <c r="H295" s="40"/>
      <c r="I295" s="67"/>
    </row>
    <row r="296" spans="1:9">
      <c r="A296" s="67"/>
      <c r="B296" s="40"/>
      <c r="C296" s="67"/>
      <c r="D296" s="7"/>
      <c r="E296" s="67"/>
      <c r="F296" s="65"/>
      <c r="G296" s="24">
        <f t="shared" si="4"/>
        <v>0</v>
      </c>
      <c r="H296" s="40"/>
      <c r="I296" s="67"/>
    </row>
    <row r="297" spans="1:9">
      <c r="A297" s="67"/>
      <c r="B297" s="40"/>
      <c r="C297" s="67"/>
      <c r="D297" s="7"/>
      <c r="E297" s="67"/>
      <c r="F297" s="65"/>
      <c r="G297" s="24">
        <f t="shared" si="4"/>
        <v>0</v>
      </c>
      <c r="H297" s="40"/>
      <c r="I297" s="67"/>
    </row>
    <row r="298" spans="1:9">
      <c r="A298" s="67"/>
      <c r="B298" s="40"/>
      <c r="C298" s="67"/>
      <c r="D298" s="7"/>
      <c r="E298" s="67"/>
      <c r="F298" s="65"/>
      <c r="G298" s="24">
        <f t="shared" si="4"/>
        <v>0</v>
      </c>
      <c r="H298" s="40"/>
      <c r="I298" s="67"/>
    </row>
    <row r="299" spans="1:9">
      <c r="A299" s="67"/>
      <c r="B299" s="40"/>
      <c r="C299" s="67"/>
      <c r="D299" s="7"/>
      <c r="E299" s="67"/>
      <c r="F299" s="65"/>
      <c r="G299" s="24">
        <f t="shared" si="4"/>
        <v>0</v>
      </c>
      <c r="H299" s="40"/>
      <c r="I299" s="67"/>
    </row>
    <row r="300" spans="1:9">
      <c r="A300" s="67"/>
      <c r="B300" s="40"/>
      <c r="C300" s="67"/>
      <c r="D300" s="7"/>
      <c r="E300" s="67"/>
      <c r="F300" s="65"/>
      <c r="G300" s="24">
        <f t="shared" si="4"/>
        <v>0</v>
      </c>
      <c r="H300" s="40"/>
      <c r="I300" s="67"/>
    </row>
  </sheetData>
  <mergeCells count="40">
    <mergeCell ref="J18:J28"/>
    <mergeCell ref="J53:J60"/>
    <mergeCell ref="H44:H45"/>
    <mergeCell ref="I44:I45"/>
    <mergeCell ref="H31:H35"/>
    <mergeCell ref="I31:I35"/>
    <mergeCell ref="H47:H52"/>
    <mergeCell ref="I47:I52"/>
    <mergeCell ref="H17:H28"/>
    <mergeCell ref="I17:I28"/>
    <mergeCell ref="H29:H30"/>
    <mergeCell ref="I29:I30"/>
    <mergeCell ref="J133:J141"/>
    <mergeCell ref="J31:J35"/>
    <mergeCell ref="J130:J132"/>
    <mergeCell ref="H66:H67"/>
    <mergeCell ref="I66:I67"/>
    <mergeCell ref="H133:H141"/>
    <mergeCell ref="I133:I141"/>
    <mergeCell ref="H75:H80"/>
    <mergeCell ref="I68:I74"/>
    <mergeCell ref="I75:I80"/>
    <mergeCell ref="H130:H132"/>
    <mergeCell ref="I130:I132"/>
    <mergeCell ref="H115:H125"/>
    <mergeCell ref="H85:H95"/>
    <mergeCell ref="H96:H107"/>
    <mergeCell ref="H108:H114"/>
    <mergeCell ref="H68:H74"/>
    <mergeCell ref="I108:I114"/>
    <mergeCell ref="H61:H65"/>
    <mergeCell ref="I61:I65"/>
    <mergeCell ref="H53:H60"/>
    <mergeCell ref="I53:I60"/>
    <mergeCell ref="H3:H7"/>
    <mergeCell ref="I3:I7"/>
    <mergeCell ref="H8:H12"/>
    <mergeCell ref="I8:I12"/>
    <mergeCell ref="H14:H15"/>
    <mergeCell ref="I14:I15"/>
  </mergeCells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T120"/>
  <sheetViews>
    <sheetView topLeftCell="J1" workbookViewId="0">
      <selection activeCell="B101" sqref="B101"/>
    </sheetView>
  </sheetViews>
  <sheetFormatPr defaultRowHeight="15"/>
  <cols>
    <col min="2" max="2" width="60.28515625" customWidth="1"/>
    <col min="3" max="3" width="18.140625" customWidth="1"/>
    <col min="6" max="6" width="16.140625" customWidth="1"/>
    <col min="7" max="7" width="17.42578125" customWidth="1"/>
    <col min="8" max="8" width="16.85546875" customWidth="1"/>
    <col min="9" max="9" width="20.28515625" customWidth="1"/>
    <col min="10" max="10" width="19" customWidth="1"/>
    <col min="11" max="11" width="22" customWidth="1"/>
    <col min="12" max="12" width="5.5703125" customWidth="1"/>
    <col min="14" max="14" width="22.7109375" style="5" customWidth="1"/>
    <col min="15" max="15" width="16.28515625" customWidth="1"/>
    <col min="16" max="16" width="27.7109375" customWidth="1"/>
    <col min="17" max="17" width="7.140625" customWidth="1"/>
    <col min="18" max="18" width="17.140625" customWidth="1"/>
    <col min="19" max="19" width="14" bestFit="1" customWidth="1"/>
    <col min="20" max="20" width="15.42578125" customWidth="1"/>
  </cols>
  <sheetData>
    <row r="1" spans="1:20">
      <c r="A1" s="1" t="s">
        <v>0</v>
      </c>
      <c r="C1" s="2"/>
      <c r="D1" s="2"/>
      <c r="E1" s="2"/>
      <c r="F1" s="3"/>
      <c r="G1" s="3"/>
      <c r="H1" s="3"/>
      <c r="K1" s="246"/>
      <c r="L1" s="4" t="s">
        <v>254</v>
      </c>
      <c r="M1" s="5"/>
      <c r="O1" s="3"/>
    </row>
    <row r="2" spans="1:20" ht="45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9" t="s">
        <v>7</v>
      </c>
      <c r="H2" s="8" t="s">
        <v>8</v>
      </c>
      <c r="I2" s="7" t="s">
        <v>9</v>
      </c>
      <c r="K2" s="246"/>
      <c r="L2" s="10" t="s">
        <v>10</v>
      </c>
      <c r="M2" s="11" t="s">
        <v>11</v>
      </c>
      <c r="N2" s="6" t="s">
        <v>12</v>
      </c>
      <c r="O2" s="9" t="s">
        <v>13</v>
      </c>
      <c r="P2" s="7" t="s">
        <v>9</v>
      </c>
      <c r="Q2" s="426"/>
    </row>
    <row r="3" spans="1:20">
      <c r="A3" s="66">
        <v>44287</v>
      </c>
      <c r="B3" s="40" t="s">
        <v>393</v>
      </c>
      <c r="C3" s="67" t="s">
        <v>394</v>
      </c>
      <c r="D3" s="67">
        <v>6</v>
      </c>
      <c r="E3" s="67" t="s">
        <v>26</v>
      </c>
      <c r="F3" s="65">
        <v>385000</v>
      </c>
      <c r="G3" s="65">
        <f>F3*D3</f>
        <v>2310000</v>
      </c>
      <c r="H3" s="124">
        <f>SUM(G3)</f>
        <v>2310000</v>
      </c>
      <c r="I3" s="60" t="s">
        <v>324</v>
      </c>
      <c r="J3" s="18"/>
      <c r="K3" s="423"/>
      <c r="L3" s="30">
        <v>1</v>
      </c>
      <c r="M3" s="177">
        <v>44257</v>
      </c>
      <c r="N3" s="174" t="s">
        <v>33</v>
      </c>
      <c r="O3" s="178">
        <v>2400000</v>
      </c>
      <c r="P3" s="253" t="s">
        <v>746</v>
      </c>
      <c r="Q3" s="448"/>
      <c r="R3" s="14"/>
      <c r="S3">
        <v>2400</v>
      </c>
    </row>
    <row r="4" spans="1:20">
      <c r="A4" s="292">
        <v>44287</v>
      </c>
      <c r="B4" s="259" t="s">
        <v>395</v>
      </c>
      <c r="C4" s="260" t="s">
        <v>63</v>
      </c>
      <c r="D4" s="260">
        <v>4</v>
      </c>
      <c r="E4" s="260" t="s">
        <v>26</v>
      </c>
      <c r="F4" s="262">
        <v>1250000</v>
      </c>
      <c r="G4" s="262">
        <f t="shared" ref="G4:G67" si="0">F4*D4</f>
        <v>5000000</v>
      </c>
      <c r="H4" s="293">
        <f>G4</f>
        <v>5000000</v>
      </c>
      <c r="I4" s="300" t="s">
        <v>253</v>
      </c>
      <c r="J4" s="299" t="s">
        <v>566</v>
      </c>
      <c r="K4" s="19"/>
      <c r="L4" s="30">
        <v>2</v>
      </c>
      <c r="M4" s="55">
        <v>44258</v>
      </c>
      <c r="N4" s="52" t="s">
        <v>164</v>
      </c>
      <c r="O4" s="56">
        <v>1710000</v>
      </c>
      <c r="P4" s="245" t="s">
        <v>748</v>
      </c>
      <c r="Q4" s="448"/>
      <c r="R4" s="22">
        <f>O4+O8+O9+O11+O12+O13+O15+O16+O17</f>
        <v>59030000</v>
      </c>
      <c r="S4">
        <v>4930</v>
      </c>
    </row>
    <row r="5" spans="1:20">
      <c r="A5" s="329">
        <v>44288</v>
      </c>
      <c r="B5" s="330" t="s">
        <v>396</v>
      </c>
      <c r="C5" s="331" t="s">
        <v>33</v>
      </c>
      <c r="D5" s="331">
        <v>5</v>
      </c>
      <c r="E5" s="331" t="s">
        <v>26</v>
      </c>
      <c r="F5" s="332">
        <v>110000</v>
      </c>
      <c r="G5" s="332">
        <f t="shared" si="0"/>
        <v>550000</v>
      </c>
      <c r="H5" s="817">
        <f>SUM(G5:G13)</f>
        <v>6425000</v>
      </c>
      <c r="I5" s="817" t="s">
        <v>360</v>
      </c>
      <c r="J5" s="841" t="s">
        <v>651</v>
      </c>
      <c r="K5" s="424"/>
      <c r="L5" s="30">
        <v>3</v>
      </c>
      <c r="M5" s="467">
        <v>44258</v>
      </c>
      <c r="N5" s="271" t="s">
        <v>21</v>
      </c>
      <c r="O5" s="466">
        <v>2200000</v>
      </c>
      <c r="P5" s="468" t="s">
        <v>902</v>
      </c>
      <c r="Q5" s="449"/>
      <c r="R5" s="14" t="s">
        <v>649</v>
      </c>
      <c r="S5">
        <v>36626</v>
      </c>
    </row>
    <row r="6" spans="1:20">
      <c r="A6" s="330"/>
      <c r="B6" s="330" t="s">
        <v>397</v>
      </c>
      <c r="C6" s="331" t="s">
        <v>33</v>
      </c>
      <c r="D6" s="331">
        <v>5</v>
      </c>
      <c r="E6" s="331" t="s">
        <v>26</v>
      </c>
      <c r="F6" s="332">
        <v>100000</v>
      </c>
      <c r="G6" s="332">
        <f t="shared" si="0"/>
        <v>500000</v>
      </c>
      <c r="H6" s="818"/>
      <c r="I6" s="818"/>
      <c r="J6" s="841"/>
      <c r="K6" s="424"/>
      <c r="L6" s="30">
        <v>4</v>
      </c>
      <c r="M6" s="456">
        <v>44259</v>
      </c>
      <c r="N6" s="218" t="s">
        <v>18</v>
      </c>
      <c r="O6" s="219">
        <v>4225000</v>
      </c>
      <c r="P6" s="853" t="s">
        <v>747</v>
      </c>
      <c r="Q6" s="795"/>
      <c r="R6" s="22">
        <f>SUM(O5+O10)</f>
        <v>3256000</v>
      </c>
      <c r="S6">
        <v>11700</v>
      </c>
      <c r="T6" s="349">
        <f>O4+O8+O9+O11+O12+O13+O15+O16+O17</f>
        <v>59030000</v>
      </c>
    </row>
    <row r="7" spans="1:20">
      <c r="A7" s="330"/>
      <c r="B7" s="330" t="s">
        <v>398</v>
      </c>
      <c r="C7" s="331" t="s">
        <v>33</v>
      </c>
      <c r="D7" s="331">
        <v>5</v>
      </c>
      <c r="E7" s="331" t="s">
        <v>26</v>
      </c>
      <c r="F7" s="332">
        <v>125000</v>
      </c>
      <c r="G7" s="332">
        <f t="shared" si="0"/>
        <v>625000</v>
      </c>
      <c r="H7" s="818"/>
      <c r="I7" s="818"/>
      <c r="J7" s="841"/>
      <c r="K7" s="424"/>
      <c r="L7" s="30">
        <v>5</v>
      </c>
      <c r="M7" s="456">
        <v>44259</v>
      </c>
      <c r="N7" s="218" t="s">
        <v>18</v>
      </c>
      <c r="O7" s="220">
        <v>5820000</v>
      </c>
      <c r="P7" s="854"/>
      <c r="Q7" s="795"/>
      <c r="R7" s="14"/>
    </row>
    <row r="8" spans="1:20">
      <c r="A8" s="329"/>
      <c r="B8" s="330" t="s">
        <v>399</v>
      </c>
      <c r="C8" s="331" t="s">
        <v>33</v>
      </c>
      <c r="D8" s="331">
        <v>5</v>
      </c>
      <c r="E8" s="331" t="s">
        <v>26</v>
      </c>
      <c r="F8" s="332">
        <v>110000</v>
      </c>
      <c r="G8" s="332">
        <f t="shared" si="0"/>
        <v>550000</v>
      </c>
      <c r="H8" s="818"/>
      <c r="I8" s="818"/>
      <c r="J8" s="841"/>
      <c r="K8" s="424"/>
      <c r="L8" s="30">
        <v>6</v>
      </c>
      <c r="M8" s="55">
        <v>44260</v>
      </c>
      <c r="N8" s="52" t="s">
        <v>164</v>
      </c>
      <c r="O8" s="53">
        <v>3750000</v>
      </c>
      <c r="P8" s="245" t="s">
        <v>748</v>
      </c>
      <c r="Q8" s="448"/>
      <c r="R8" s="22">
        <f>SUM(O6:O7)</f>
        <v>10045000</v>
      </c>
      <c r="S8">
        <f>SUM(S3:S7)</f>
        <v>55656</v>
      </c>
    </row>
    <row r="9" spans="1:20">
      <c r="A9" s="330"/>
      <c r="B9" s="330" t="s">
        <v>400</v>
      </c>
      <c r="C9" s="331" t="s">
        <v>33</v>
      </c>
      <c r="D9" s="331">
        <v>5</v>
      </c>
      <c r="E9" s="331" t="s">
        <v>26</v>
      </c>
      <c r="F9" s="332">
        <v>110000</v>
      </c>
      <c r="G9" s="332">
        <f t="shared" si="0"/>
        <v>550000</v>
      </c>
      <c r="H9" s="818"/>
      <c r="I9" s="818"/>
      <c r="J9" s="841"/>
      <c r="K9" s="424"/>
      <c r="L9" s="30">
        <v>7</v>
      </c>
      <c r="M9" s="55">
        <v>44261</v>
      </c>
      <c r="N9" s="52" t="s">
        <v>164</v>
      </c>
      <c r="O9" s="53">
        <v>3750000</v>
      </c>
      <c r="P9" s="245" t="s">
        <v>748</v>
      </c>
      <c r="Q9" s="448"/>
      <c r="R9" s="33"/>
    </row>
    <row r="10" spans="1:20">
      <c r="A10" s="334"/>
      <c r="B10" s="330" t="s">
        <v>401</v>
      </c>
      <c r="C10" s="331" t="s">
        <v>33</v>
      </c>
      <c r="D10" s="331">
        <v>5</v>
      </c>
      <c r="E10" s="331" t="s">
        <v>26</v>
      </c>
      <c r="F10" s="332">
        <v>125000</v>
      </c>
      <c r="G10" s="332">
        <f t="shared" si="0"/>
        <v>625000</v>
      </c>
      <c r="H10" s="818"/>
      <c r="I10" s="818"/>
      <c r="J10" s="841"/>
      <c r="K10" s="424"/>
      <c r="L10" s="30">
        <v>8</v>
      </c>
      <c r="M10" s="467">
        <v>44263</v>
      </c>
      <c r="N10" s="271" t="s">
        <v>21</v>
      </c>
      <c r="O10" s="273">
        <v>1056000</v>
      </c>
      <c r="P10" s="468" t="s">
        <v>902</v>
      </c>
      <c r="Q10" s="440"/>
      <c r="R10" s="34"/>
    </row>
    <row r="11" spans="1:20">
      <c r="A11" s="334"/>
      <c r="B11" s="334" t="s">
        <v>402</v>
      </c>
      <c r="C11" s="331" t="s">
        <v>33</v>
      </c>
      <c r="D11" s="335">
        <v>10</v>
      </c>
      <c r="E11" s="331" t="s">
        <v>26</v>
      </c>
      <c r="F11" s="332">
        <v>85000</v>
      </c>
      <c r="G11" s="332">
        <f t="shared" si="0"/>
        <v>850000</v>
      </c>
      <c r="H11" s="818"/>
      <c r="I11" s="818"/>
      <c r="J11" s="841"/>
      <c r="K11" s="424"/>
      <c r="L11" s="30">
        <v>9</v>
      </c>
      <c r="M11" s="55">
        <v>44263</v>
      </c>
      <c r="N11" s="52" t="s">
        <v>164</v>
      </c>
      <c r="O11" s="53">
        <v>2960000</v>
      </c>
      <c r="P11" s="245" t="s">
        <v>748</v>
      </c>
      <c r="Q11" s="448"/>
      <c r="R11" s="397">
        <f>O4+O8+O9+O11+O12+O13+O15+O16+O17</f>
        <v>59030000</v>
      </c>
    </row>
    <row r="12" spans="1:20">
      <c r="A12" s="334"/>
      <c r="B12" s="334" t="s">
        <v>403</v>
      </c>
      <c r="C12" s="331" t="s">
        <v>33</v>
      </c>
      <c r="D12" s="335">
        <v>5</v>
      </c>
      <c r="E12" s="331" t="s">
        <v>26</v>
      </c>
      <c r="F12" s="308">
        <v>35000</v>
      </c>
      <c r="G12" s="332">
        <f t="shared" si="0"/>
        <v>175000</v>
      </c>
      <c r="H12" s="818"/>
      <c r="I12" s="818"/>
      <c r="J12" s="841"/>
      <c r="K12" s="424"/>
      <c r="L12" s="30">
        <v>10</v>
      </c>
      <c r="M12" s="55">
        <v>44263</v>
      </c>
      <c r="N12" s="52" t="s">
        <v>164</v>
      </c>
      <c r="O12" s="53">
        <v>11630000</v>
      </c>
      <c r="P12" s="245" t="s">
        <v>748</v>
      </c>
      <c r="Q12" s="448"/>
      <c r="R12" s="33"/>
    </row>
    <row r="13" spans="1:20">
      <c r="A13" s="333"/>
      <c r="B13" s="334" t="s">
        <v>404</v>
      </c>
      <c r="C13" s="331" t="s">
        <v>33</v>
      </c>
      <c r="D13" s="335">
        <v>10</v>
      </c>
      <c r="E13" s="331" t="s">
        <v>26</v>
      </c>
      <c r="F13" s="308">
        <v>200000</v>
      </c>
      <c r="G13" s="332">
        <f t="shared" si="0"/>
        <v>2000000</v>
      </c>
      <c r="H13" s="819"/>
      <c r="I13" s="819"/>
      <c r="J13" s="841"/>
      <c r="K13" s="424"/>
      <c r="L13" s="30">
        <v>11</v>
      </c>
      <c r="M13" s="55">
        <v>44264</v>
      </c>
      <c r="N13" s="52" t="s">
        <v>164</v>
      </c>
      <c r="O13" s="53">
        <v>9310000</v>
      </c>
      <c r="P13" s="245" t="s">
        <v>748</v>
      </c>
      <c r="Q13" s="448"/>
      <c r="R13" s="397">
        <f>O4+O8+O9+O11+O12</f>
        <v>23800000</v>
      </c>
    </row>
    <row r="14" spans="1:20">
      <c r="A14" s="333">
        <v>44288</v>
      </c>
      <c r="B14" s="334" t="s">
        <v>405</v>
      </c>
      <c r="C14" s="331" t="s">
        <v>33</v>
      </c>
      <c r="D14" s="335">
        <v>10</v>
      </c>
      <c r="E14" s="331" t="s">
        <v>26</v>
      </c>
      <c r="F14" s="308">
        <v>118000</v>
      </c>
      <c r="G14" s="332">
        <f t="shared" si="0"/>
        <v>1180000</v>
      </c>
      <c r="H14" s="308">
        <f>SUM(G14)</f>
        <v>1180000</v>
      </c>
      <c r="I14" s="307" t="s">
        <v>360</v>
      </c>
      <c r="J14" s="841"/>
      <c r="K14" s="424"/>
      <c r="L14" s="30">
        <v>12</v>
      </c>
      <c r="M14" s="457">
        <v>44264</v>
      </c>
      <c r="N14" s="195" t="s">
        <v>49</v>
      </c>
      <c r="O14" s="184">
        <v>24960000</v>
      </c>
      <c r="P14" s="302" t="s">
        <v>566</v>
      </c>
      <c r="Q14" s="448"/>
      <c r="R14" s="34"/>
    </row>
    <row r="15" spans="1:20">
      <c r="A15" s="23">
        <v>44289</v>
      </c>
      <c r="B15" s="21" t="s">
        <v>406</v>
      </c>
      <c r="C15" s="25" t="s">
        <v>25</v>
      </c>
      <c r="D15" s="41">
        <v>1</v>
      </c>
      <c r="E15" s="41" t="s">
        <v>26</v>
      </c>
      <c r="F15" s="24">
        <v>0</v>
      </c>
      <c r="G15" s="65">
        <f t="shared" si="0"/>
        <v>0</v>
      </c>
      <c r="H15" s="24"/>
      <c r="I15" s="21"/>
      <c r="J15" s="14"/>
      <c r="K15" s="34"/>
      <c r="L15" s="30">
        <v>13</v>
      </c>
      <c r="M15" s="55">
        <v>44268</v>
      </c>
      <c r="N15" s="52" t="s">
        <v>164</v>
      </c>
      <c r="O15" s="53">
        <v>12060000</v>
      </c>
      <c r="P15" s="245" t="s">
        <v>748</v>
      </c>
      <c r="Q15" s="448"/>
      <c r="R15" s="14"/>
    </row>
    <row r="16" spans="1:20">
      <c r="A16" s="333">
        <v>44289</v>
      </c>
      <c r="B16" s="334" t="s">
        <v>407</v>
      </c>
      <c r="C16" s="307" t="s">
        <v>33</v>
      </c>
      <c r="D16" s="335">
        <v>10</v>
      </c>
      <c r="E16" s="335" t="s">
        <v>26</v>
      </c>
      <c r="F16" s="308">
        <v>85000</v>
      </c>
      <c r="G16" s="332">
        <f t="shared" si="0"/>
        <v>850000</v>
      </c>
      <c r="H16" s="837">
        <f>SUM(G16:G18)</f>
        <v>1825000</v>
      </c>
      <c r="I16" s="840" t="s">
        <v>360</v>
      </c>
      <c r="J16" s="841" t="s">
        <v>651</v>
      </c>
      <c r="K16" s="424"/>
      <c r="L16" s="30">
        <v>14</v>
      </c>
      <c r="M16" s="55">
        <v>44268</v>
      </c>
      <c r="N16" s="52" t="s">
        <v>164</v>
      </c>
      <c r="O16" s="53">
        <v>6970000</v>
      </c>
      <c r="P16" s="245" t="s">
        <v>748</v>
      </c>
      <c r="Q16" s="448"/>
      <c r="R16" s="14"/>
      <c r="T16" s="142">
        <f>SUM(MARET!O21+MARET!O22)</f>
        <v>10150000</v>
      </c>
    </row>
    <row r="17" spans="1:18">
      <c r="A17" s="334"/>
      <c r="B17" s="334" t="s">
        <v>408</v>
      </c>
      <c r="C17" s="307" t="s">
        <v>33</v>
      </c>
      <c r="D17" s="335">
        <v>5</v>
      </c>
      <c r="E17" s="335" t="s">
        <v>26</v>
      </c>
      <c r="F17" s="308">
        <v>125000</v>
      </c>
      <c r="G17" s="332">
        <f t="shared" si="0"/>
        <v>625000</v>
      </c>
      <c r="H17" s="838"/>
      <c r="I17" s="841"/>
      <c r="J17" s="841"/>
      <c r="K17" s="424"/>
      <c r="L17" s="30">
        <v>15</v>
      </c>
      <c r="M17" s="55">
        <v>44274</v>
      </c>
      <c r="N17" s="52" t="s">
        <v>164</v>
      </c>
      <c r="O17" s="53">
        <v>6890000</v>
      </c>
      <c r="P17" s="245" t="s">
        <v>748</v>
      </c>
      <c r="Q17" s="448"/>
      <c r="R17" s="14"/>
    </row>
    <row r="18" spans="1:18">
      <c r="A18" s="334"/>
      <c r="B18" s="334" t="s">
        <v>409</v>
      </c>
      <c r="C18" s="307" t="s">
        <v>33</v>
      </c>
      <c r="D18" s="335">
        <v>10</v>
      </c>
      <c r="E18" s="335" t="s">
        <v>26</v>
      </c>
      <c r="F18" s="308">
        <v>35000</v>
      </c>
      <c r="G18" s="332">
        <f t="shared" si="0"/>
        <v>350000</v>
      </c>
      <c r="H18" s="839"/>
      <c r="I18" s="842"/>
      <c r="J18" s="841"/>
      <c r="K18" s="424"/>
      <c r="L18" s="30">
        <v>16</v>
      </c>
      <c r="M18" s="458">
        <v>44274</v>
      </c>
      <c r="N18" s="249" t="s">
        <v>328</v>
      </c>
      <c r="O18" s="250">
        <v>4010000</v>
      </c>
      <c r="P18" s="338" t="s">
        <v>566</v>
      </c>
      <c r="Q18" s="450"/>
      <c r="R18" s="14"/>
    </row>
    <row r="19" spans="1:18">
      <c r="A19" s="248">
        <v>44289</v>
      </c>
      <c r="B19" s="247" t="s">
        <v>410</v>
      </c>
      <c r="C19" s="249" t="s">
        <v>328</v>
      </c>
      <c r="D19" s="322">
        <v>5</v>
      </c>
      <c r="E19" s="322" t="s">
        <v>26</v>
      </c>
      <c r="F19" s="250">
        <v>2000000</v>
      </c>
      <c r="G19" s="105">
        <f t="shared" si="0"/>
        <v>10000000</v>
      </c>
      <c r="H19" s="250">
        <f>SUM(G19)</f>
        <v>10000000</v>
      </c>
      <c r="I19" s="323" t="s">
        <v>360</v>
      </c>
      <c r="J19" s="247" t="s">
        <v>645</v>
      </c>
      <c r="K19" s="34"/>
      <c r="L19" s="30">
        <v>17</v>
      </c>
      <c r="M19" s="459">
        <v>44287</v>
      </c>
      <c r="N19" s="289" t="s">
        <v>63</v>
      </c>
      <c r="O19" s="263">
        <v>5000000</v>
      </c>
      <c r="P19" s="848" t="s">
        <v>566</v>
      </c>
      <c r="Q19" s="796"/>
      <c r="R19" s="14"/>
    </row>
    <row r="20" spans="1:18">
      <c r="A20" s="121">
        <v>44294</v>
      </c>
      <c r="B20" s="115" t="s">
        <v>412</v>
      </c>
      <c r="C20" s="122" t="s">
        <v>164</v>
      </c>
      <c r="D20" s="116">
        <v>12</v>
      </c>
      <c r="E20" s="116" t="s">
        <v>26</v>
      </c>
      <c r="F20" s="117">
        <v>175000</v>
      </c>
      <c r="G20" s="419">
        <f t="shared" si="0"/>
        <v>2100000</v>
      </c>
      <c r="H20" s="117">
        <f>SUM(G20)</f>
        <v>2100000</v>
      </c>
      <c r="I20" s="119" t="s">
        <v>360</v>
      </c>
      <c r="J20" s="115" t="s">
        <v>567</v>
      </c>
      <c r="K20" s="34"/>
      <c r="L20" s="30">
        <v>18</v>
      </c>
      <c r="M20" s="459">
        <v>44301</v>
      </c>
      <c r="N20" s="289" t="s">
        <v>28</v>
      </c>
      <c r="O20" s="263">
        <v>6350000</v>
      </c>
      <c r="P20" s="849"/>
      <c r="Q20" s="796"/>
      <c r="R20" s="36">
        <f>SUM(O19+O20)</f>
        <v>11350000</v>
      </c>
    </row>
    <row r="21" spans="1:18">
      <c r="A21" s="265">
        <v>44295</v>
      </c>
      <c r="B21" s="407" t="s">
        <v>413</v>
      </c>
      <c r="C21" s="266" t="s">
        <v>28</v>
      </c>
      <c r="D21" s="408">
        <v>1</v>
      </c>
      <c r="E21" s="408" t="s">
        <v>26</v>
      </c>
      <c r="F21" s="267">
        <v>2150000</v>
      </c>
      <c r="G21" s="243">
        <f t="shared" si="0"/>
        <v>2150000</v>
      </c>
      <c r="H21" s="843">
        <f>SUM(G21:G22)</f>
        <v>4300000</v>
      </c>
      <c r="I21" s="845" t="s">
        <v>151</v>
      </c>
      <c r="J21" s="855" t="s">
        <v>805</v>
      </c>
      <c r="K21" s="424"/>
      <c r="L21" s="30">
        <v>19</v>
      </c>
      <c r="M21" s="460">
        <v>44312</v>
      </c>
      <c r="N21" s="389" t="s">
        <v>18</v>
      </c>
      <c r="O21" s="404">
        <v>2550000</v>
      </c>
      <c r="P21" s="435" t="s">
        <v>821</v>
      </c>
      <c r="Q21" s="450"/>
      <c r="R21" s="14"/>
    </row>
    <row r="22" spans="1:18">
      <c r="A22" s="407"/>
      <c r="B22" s="407" t="s">
        <v>414</v>
      </c>
      <c r="C22" s="266" t="s">
        <v>28</v>
      </c>
      <c r="D22" s="408">
        <v>1</v>
      </c>
      <c r="E22" s="408" t="s">
        <v>26</v>
      </c>
      <c r="F22" s="267">
        <v>2150000</v>
      </c>
      <c r="G22" s="243">
        <f t="shared" si="0"/>
        <v>2150000</v>
      </c>
      <c r="H22" s="844"/>
      <c r="I22" s="846"/>
      <c r="J22" s="855"/>
      <c r="K22" s="424"/>
      <c r="L22" s="30">
        <v>20</v>
      </c>
      <c r="M22" s="461">
        <v>44366</v>
      </c>
      <c r="N22" s="393" t="s">
        <v>97</v>
      </c>
      <c r="O22" s="211">
        <v>5790000</v>
      </c>
      <c r="P22" s="436" t="s">
        <v>854</v>
      </c>
      <c r="Q22" s="440"/>
      <c r="R22" s="14"/>
    </row>
    <row r="23" spans="1:18">
      <c r="A23" s="333">
        <v>44296</v>
      </c>
      <c r="B23" s="334" t="s">
        <v>416</v>
      </c>
      <c r="C23" s="307" t="s">
        <v>33</v>
      </c>
      <c r="D23" s="335">
        <v>5</v>
      </c>
      <c r="E23" s="335" t="s">
        <v>26</v>
      </c>
      <c r="F23" s="308">
        <v>150000</v>
      </c>
      <c r="G23" s="332">
        <f t="shared" si="0"/>
        <v>750000</v>
      </c>
      <c r="H23" s="837">
        <f>SUM(G23:G26)</f>
        <v>3425000</v>
      </c>
      <c r="I23" s="840" t="s">
        <v>360</v>
      </c>
      <c r="J23" s="851" t="s">
        <v>651</v>
      </c>
      <c r="K23" s="425"/>
      <c r="L23" s="30">
        <v>21</v>
      </c>
      <c r="M23" s="462">
        <v>44410</v>
      </c>
      <c r="N23" s="241" t="s">
        <v>811</v>
      </c>
      <c r="O23" s="267">
        <v>3600000</v>
      </c>
      <c r="P23" s="407" t="s">
        <v>858</v>
      </c>
      <c r="Q23" s="440"/>
      <c r="R23" s="14"/>
    </row>
    <row r="24" spans="1:18">
      <c r="A24" s="334"/>
      <c r="B24" s="334" t="s">
        <v>417</v>
      </c>
      <c r="C24" s="307" t="s">
        <v>33</v>
      </c>
      <c r="D24" s="335">
        <v>5</v>
      </c>
      <c r="E24" s="335" t="s">
        <v>26</v>
      </c>
      <c r="F24" s="308">
        <v>300000</v>
      </c>
      <c r="G24" s="332">
        <f t="shared" si="0"/>
        <v>1500000</v>
      </c>
      <c r="H24" s="838"/>
      <c r="I24" s="841"/>
      <c r="J24" s="851"/>
      <c r="K24" s="425"/>
      <c r="L24" s="30">
        <v>22</v>
      </c>
      <c r="M24" s="463">
        <v>44398</v>
      </c>
      <c r="N24" s="367" t="s">
        <v>818</v>
      </c>
      <c r="O24" s="273">
        <v>4450000</v>
      </c>
      <c r="P24" s="422" t="s">
        <v>819</v>
      </c>
      <c r="Q24" s="450"/>
      <c r="R24" s="14"/>
    </row>
    <row r="25" spans="1:18">
      <c r="A25" s="334"/>
      <c r="B25" s="334" t="s">
        <v>418</v>
      </c>
      <c r="C25" s="307" t="s">
        <v>33</v>
      </c>
      <c r="D25" s="335">
        <v>5</v>
      </c>
      <c r="E25" s="335" t="s">
        <v>26</v>
      </c>
      <c r="F25" s="308">
        <v>125000</v>
      </c>
      <c r="G25" s="332">
        <f t="shared" si="0"/>
        <v>625000</v>
      </c>
      <c r="H25" s="838"/>
      <c r="I25" s="841"/>
      <c r="J25" s="851"/>
      <c r="K25" s="425"/>
      <c r="L25" s="30">
        <v>23</v>
      </c>
      <c r="M25" s="464">
        <v>44302</v>
      </c>
      <c r="N25" s="331" t="s">
        <v>820</v>
      </c>
      <c r="O25" s="308">
        <v>1230000</v>
      </c>
      <c r="P25" s="339" t="s">
        <v>821</v>
      </c>
      <c r="Q25" s="450"/>
      <c r="R25" s="36">
        <f>O25+O26</f>
        <v>2190000</v>
      </c>
    </row>
    <row r="26" spans="1:18">
      <c r="A26" s="334"/>
      <c r="B26" s="334" t="s">
        <v>419</v>
      </c>
      <c r="C26" s="307" t="s">
        <v>33</v>
      </c>
      <c r="D26" s="335">
        <v>5</v>
      </c>
      <c r="E26" s="335" t="s">
        <v>26</v>
      </c>
      <c r="F26" s="308">
        <v>110000</v>
      </c>
      <c r="G26" s="332">
        <f t="shared" si="0"/>
        <v>550000</v>
      </c>
      <c r="H26" s="839"/>
      <c r="I26" s="842"/>
      <c r="J26" s="851"/>
      <c r="K26" s="425"/>
      <c r="L26" s="30">
        <v>24</v>
      </c>
      <c r="M26" s="464">
        <v>44316</v>
      </c>
      <c r="N26" s="331" t="s">
        <v>820</v>
      </c>
      <c r="O26" s="308">
        <v>960000</v>
      </c>
      <c r="P26" s="339" t="s">
        <v>822</v>
      </c>
      <c r="Q26" s="450"/>
      <c r="R26" s="14"/>
    </row>
    <row r="27" spans="1:18">
      <c r="A27" s="23">
        <v>44296</v>
      </c>
      <c r="B27" s="21" t="s">
        <v>420</v>
      </c>
      <c r="C27" s="25" t="s">
        <v>60</v>
      </c>
      <c r="D27" s="41">
        <v>1</v>
      </c>
      <c r="E27" s="41" t="s">
        <v>61</v>
      </c>
      <c r="F27" s="24">
        <v>0</v>
      </c>
      <c r="G27" s="65">
        <f t="shared" si="0"/>
        <v>0</v>
      </c>
      <c r="H27" s="24"/>
      <c r="I27" s="138" t="s">
        <v>205</v>
      </c>
      <c r="J27" s="14"/>
      <c r="K27" s="34"/>
      <c r="L27" s="30">
        <v>25</v>
      </c>
      <c r="M27" s="476">
        <v>44261</v>
      </c>
      <c r="N27" s="203" t="s">
        <v>17</v>
      </c>
      <c r="O27" s="205">
        <v>1500000</v>
      </c>
      <c r="P27" s="383" t="s">
        <v>506</v>
      </c>
      <c r="Q27" s="440"/>
      <c r="R27" s="14"/>
    </row>
    <row r="28" spans="1:18">
      <c r="A28" s="21"/>
      <c r="B28" s="21" t="s">
        <v>421</v>
      </c>
      <c r="C28" s="25" t="s">
        <v>60</v>
      </c>
      <c r="D28" s="41">
        <v>1</v>
      </c>
      <c r="E28" s="41" t="s">
        <v>61</v>
      </c>
      <c r="F28" s="24">
        <v>0</v>
      </c>
      <c r="G28" s="65">
        <f t="shared" si="0"/>
        <v>0</v>
      </c>
      <c r="H28" s="24"/>
      <c r="I28" s="138" t="s">
        <v>205</v>
      </c>
      <c r="J28" s="14"/>
      <c r="K28" s="34"/>
      <c r="L28" s="30">
        <v>26</v>
      </c>
      <c r="M28" s="306">
        <v>44415</v>
      </c>
      <c r="N28" s="307" t="s">
        <v>914</v>
      </c>
      <c r="O28" s="308">
        <v>39600000</v>
      </c>
      <c r="P28" s="495" t="s">
        <v>913</v>
      </c>
      <c r="Q28" s="34"/>
      <c r="R28" s="14"/>
    </row>
    <row r="29" spans="1:18">
      <c r="A29" s="21"/>
      <c r="B29" s="21" t="s">
        <v>422</v>
      </c>
      <c r="C29" s="25" t="s">
        <v>60</v>
      </c>
      <c r="D29" s="41">
        <v>1</v>
      </c>
      <c r="E29" s="41" t="s">
        <v>61</v>
      </c>
      <c r="F29" s="24">
        <v>0</v>
      </c>
      <c r="G29" s="65">
        <f t="shared" si="0"/>
        <v>0</v>
      </c>
      <c r="H29" s="24"/>
      <c r="I29" s="138" t="s">
        <v>205</v>
      </c>
      <c r="J29" s="14"/>
      <c r="K29" s="34"/>
      <c r="L29" s="147"/>
      <c r="M29" s="145"/>
      <c r="N29" s="145"/>
      <c r="O29" s="147"/>
      <c r="P29" s="147"/>
      <c r="Q29" s="34"/>
      <c r="R29" s="14"/>
    </row>
    <row r="30" spans="1:18">
      <c r="A30" s="23">
        <v>44298</v>
      </c>
      <c r="B30" s="21" t="s">
        <v>423</v>
      </c>
      <c r="C30" s="25" t="s">
        <v>280</v>
      </c>
      <c r="D30" s="41">
        <v>1</v>
      </c>
      <c r="E30" s="41" t="s">
        <v>26</v>
      </c>
      <c r="F30" s="24">
        <v>0</v>
      </c>
      <c r="G30" s="65">
        <f t="shared" si="0"/>
        <v>0</v>
      </c>
      <c r="H30" s="24"/>
      <c r="I30" s="21"/>
      <c r="J30" s="14"/>
      <c r="K30" s="34"/>
      <c r="L30" s="14"/>
      <c r="M30" s="39"/>
      <c r="N30" s="39" t="s">
        <v>883</v>
      </c>
      <c r="O30" s="22">
        <f>SUM(O3:O29)</f>
        <v>174731000</v>
      </c>
      <c r="P30" s="14"/>
      <c r="Q30" s="14"/>
    </row>
    <row r="31" spans="1:18">
      <c r="A31" s="21"/>
      <c r="B31" s="21" t="s">
        <v>424</v>
      </c>
      <c r="C31" s="25" t="s">
        <v>280</v>
      </c>
      <c r="D31" s="41">
        <v>1</v>
      </c>
      <c r="E31" s="41" t="s">
        <v>26</v>
      </c>
      <c r="F31" s="24">
        <v>0</v>
      </c>
      <c r="G31" s="65">
        <f t="shared" si="0"/>
        <v>0</v>
      </c>
      <c r="H31" s="24"/>
      <c r="I31" s="21"/>
      <c r="J31" s="14"/>
      <c r="K31" s="34"/>
      <c r="L31" s="14"/>
      <c r="M31" s="39"/>
      <c r="N31" s="39"/>
      <c r="O31" s="14"/>
      <c r="P31" s="14"/>
    </row>
    <row r="32" spans="1:18">
      <c r="A32" s="207">
        <v>44299</v>
      </c>
      <c r="B32" s="208" t="s">
        <v>425</v>
      </c>
      <c r="C32" s="209" t="s">
        <v>18</v>
      </c>
      <c r="D32" s="209">
        <v>5</v>
      </c>
      <c r="E32" s="210" t="s">
        <v>26</v>
      </c>
      <c r="F32" s="211">
        <v>375000</v>
      </c>
      <c r="G32" s="212">
        <f t="shared" si="0"/>
        <v>1875000</v>
      </c>
      <c r="H32" s="833">
        <f>SUM(G32:G33)</f>
        <v>3750000</v>
      </c>
      <c r="I32" s="835" t="s">
        <v>427</v>
      </c>
      <c r="K32" s="246"/>
      <c r="L32" s="14"/>
      <c r="M32" s="39"/>
      <c r="N32" s="14" t="s">
        <v>915</v>
      </c>
      <c r="O32" s="349">
        <f>O5+O10+O22+O23+O28</f>
        <v>52246000</v>
      </c>
    </row>
    <row r="33" spans="1:15">
      <c r="A33" s="208"/>
      <c r="B33" s="208" t="s">
        <v>426</v>
      </c>
      <c r="C33" s="209" t="s">
        <v>18</v>
      </c>
      <c r="D33" s="209">
        <v>5</v>
      </c>
      <c r="E33" s="210" t="s">
        <v>26</v>
      </c>
      <c r="F33" s="211">
        <v>375000</v>
      </c>
      <c r="G33" s="212">
        <f t="shared" si="0"/>
        <v>1875000</v>
      </c>
      <c r="H33" s="834"/>
      <c r="I33" s="836"/>
      <c r="K33" s="246"/>
      <c r="L33" s="14"/>
      <c r="M33" s="39"/>
      <c r="N33" s="14"/>
    </row>
    <row r="34" spans="1:15">
      <c r="A34" s="477">
        <v>44301</v>
      </c>
      <c r="B34" s="481" t="s">
        <v>428</v>
      </c>
      <c r="C34" s="482" t="s">
        <v>429</v>
      </c>
      <c r="D34" s="482">
        <v>50</v>
      </c>
      <c r="E34" s="482" t="s">
        <v>26</v>
      </c>
      <c r="F34" s="483">
        <v>37500</v>
      </c>
      <c r="G34" s="483">
        <f t="shared" si="0"/>
        <v>1875000</v>
      </c>
      <c r="H34" s="480">
        <f>SUM(G34)</f>
        <v>1875000</v>
      </c>
      <c r="I34" s="482" t="s">
        <v>360</v>
      </c>
      <c r="K34" s="246"/>
      <c r="L34" s="14"/>
      <c r="M34" s="39"/>
      <c r="N34" s="14" t="s">
        <v>916</v>
      </c>
      <c r="O34" s="349">
        <f>O3+O4+O6+O7+O8+O9+O11+O12+O13+O14+O15+O16+O17+O18+O19+O20+O21+O24+O25+O26+O27</f>
        <v>122485000</v>
      </c>
    </row>
    <row r="35" spans="1:15">
      <c r="A35" s="292">
        <v>44301</v>
      </c>
      <c r="B35" s="259" t="s">
        <v>430</v>
      </c>
      <c r="C35" s="260" t="s">
        <v>28</v>
      </c>
      <c r="D35" s="261">
        <v>10</v>
      </c>
      <c r="E35" s="260" t="s">
        <v>26</v>
      </c>
      <c r="F35" s="262">
        <v>180000</v>
      </c>
      <c r="G35" s="262">
        <f t="shared" si="0"/>
        <v>1800000</v>
      </c>
      <c r="H35" s="745">
        <f>SUM(G35:G40)</f>
        <v>6350000</v>
      </c>
      <c r="I35" s="748" t="s">
        <v>253</v>
      </c>
      <c r="J35" s="850" t="s">
        <v>566</v>
      </c>
      <c r="K35" s="426"/>
      <c r="L35" s="14"/>
      <c r="M35" s="39"/>
      <c r="N35" s="14"/>
    </row>
    <row r="36" spans="1:15">
      <c r="A36" s="259"/>
      <c r="B36" s="259" t="s">
        <v>273</v>
      </c>
      <c r="C36" s="260" t="s">
        <v>28</v>
      </c>
      <c r="D36" s="261">
        <v>10</v>
      </c>
      <c r="E36" s="260" t="s">
        <v>26</v>
      </c>
      <c r="F36" s="262">
        <v>185000</v>
      </c>
      <c r="G36" s="262">
        <f t="shared" si="0"/>
        <v>1850000</v>
      </c>
      <c r="H36" s="746"/>
      <c r="I36" s="749"/>
      <c r="J36" s="850"/>
      <c r="K36" s="426"/>
    </row>
    <row r="37" spans="1:15">
      <c r="A37" s="259"/>
      <c r="B37" s="259" t="s">
        <v>431</v>
      </c>
      <c r="C37" s="260" t="s">
        <v>28</v>
      </c>
      <c r="D37" s="261">
        <v>5</v>
      </c>
      <c r="E37" s="260" t="s">
        <v>26</v>
      </c>
      <c r="F37" s="262">
        <v>180000</v>
      </c>
      <c r="G37" s="262">
        <f t="shared" si="0"/>
        <v>900000</v>
      </c>
      <c r="H37" s="746"/>
      <c r="I37" s="749"/>
      <c r="J37" s="850"/>
      <c r="K37" s="426"/>
    </row>
    <row r="38" spans="1:15">
      <c r="A38" s="259"/>
      <c r="B38" s="259" t="s">
        <v>432</v>
      </c>
      <c r="C38" s="260" t="s">
        <v>28</v>
      </c>
      <c r="D38" s="261">
        <v>5</v>
      </c>
      <c r="E38" s="260" t="s">
        <v>26</v>
      </c>
      <c r="F38" s="262">
        <v>180000</v>
      </c>
      <c r="G38" s="262">
        <f t="shared" si="0"/>
        <v>900000</v>
      </c>
      <c r="H38" s="746"/>
      <c r="I38" s="749"/>
      <c r="J38" s="850"/>
      <c r="K38" s="426"/>
    </row>
    <row r="39" spans="1:15">
      <c r="A39" s="259"/>
      <c r="B39" s="259" t="s">
        <v>433</v>
      </c>
      <c r="C39" s="260" t="s">
        <v>28</v>
      </c>
      <c r="D39" s="261">
        <v>5</v>
      </c>
      <c r="E39" s="260" t="s">
        <v>26</v>
      </c>
      <c r="F39" s="262">
        <v>180000</v>
      </c>
      <c r="G39" s="262">
        <f t="shared" si="0"/>
        <v>900000</v>
      </c>
      <c r="H39" s="746"/>
      <c r="I39" s="749"/>
      <c r="J39" s="850"/>
      <c r="K39" s="426"/>
    </row>
    <row r="40" spans="1:15">
      <c r="A40" s="259"/>
      <c r="B40" s="259" t="s">
        <v>434</v>
      </c>
      <c r="C40" s="260" t="s">
        <v>28</v>
      </c>
      <c r="D40" s="261">
        <v>4</v>
      </c>
      <c r="E40" s="260" t="s">
        <v>26</v>
      </c>
      <c r="F40" s="262"/>
      <c r="G40" s="262">
        <f t="shared" si="0"/>
        <v>0</v>
      </c>
      <c r="H40" s="747"/>
      <c r="I40" s="750"/>
      <c r="J40" s="850"/>
      <c r="K40" s="426"/>
    </row>
    <row r="41" spans="1:15">
      <c r="A41" s="416">
        <v>44302</v>
      </c>
      <c r="B41" s="417" t="s">
        <v>436</v>
      </c>
      <c r="C41" s="418" t="s">
        <v>437</v>
      </c>
      <c r="D41" s="418">
        <v>10</v>
      </c>
      <c r="E41" s="418" t="s">
        <v>26</v>
      </c>
      <c r="F41" s="419">
        <v>123000</v>
      </c>
      <c r="G41" s="419">
        <f t="shared" si="0"/>
        <v>1230000</v>
      </c>
      <c r="H41" s="419">
        <f>G41</f>
        <v>1230000</v>
      </c>
      <c r="I41" s="418" t="s">
        <v>566</v>
      </c>
      <c r="K41" s="246"/>
    </row>
    <row r="42" spans="1:15">
      <c r="A42" s="329">
        <v>44303</v>
      </c>
      <c r="B42" s="330" t="s">
        <v>438</v>
      </c>
      <c r="C42" s="331" t="s">
        <v>33</v>
      </c>
      <c r="D42" s="331">
        <v>15</v>
      </c>
      <c r="E42" s="331" t="s">
        <v>26</v>
      </c>
      <c r="F42" s="332">
        <v>110000</v>
      </c>
      <c r="G42" s="332">
        <f t="shared" si="0"/>
        <v>1650000</v>
      </c>
      <c r="H42" s="817">
        <f>SUM(G42:G44)</f>
        <v>3550000</v>
      </c>
      <c r="I42" s="820" t="s">
        <v>360</v>
      </c>
      <c r="J42" s="852" t="s">
        <v>884</v>
      </c>
      <c r="K42" s="847" t="s">
        <v>651</v>
      </c>
    </row>
    <row r="43" spans="1:15">
      <c r="A43" s="330"/>
      <c r="B43" s="330" t="s">
        <v>439</v>
      </c>
      <c r="C43" s="331" t="s">
        <v>33</v>
      </c>
      <c r="D43" s="331">
        <v>15</v>
      </c>
      <c r="E43" s="331" t="s">
        <v>26</v>
      </c>
      <c r="F43" s="332">
        <v>100000</v>
      </c>
      <c r="G43" s="332">
        <f t="shared" si="0"/>
        <v>1500000</v>
      </c>
      <c r="H43" s="818"/>
      <c r="I43" s="821"/>
      <c r="J43" s="815"/>
      <c r="K43" s="847"/>
    </row>
    <row r="44" spans="1:15">
      <c r="A44" s="330"/>
      <c r="B44" s="330" t="s">
        <v>440</v>
      </c>
      <c r="C44" s="331" t="s">
        <v>33</v>
      </c>
      <c r="D44" s="331">
        <v>5</v>
      </c>
      <c r="E44" s="331" t="s">
        <v>26</v>
      </c>
      <c r="F44" s="332">
        <v>80000</v>
      </c>
      <c r="G44" s="332">
        <f t="shared" si="0"/>
        <v>400000</v>
      </c>
      <c r="H44" s="819"/>
      <c r="I44" s="822"/>
      <c r="J44" s="815"/>
      <c r="K44" s="847"/>
    </row>
    <row r="45" spans="1:15">
      <c r="A45" s="329">
        <v>44303</v>
      </c>
      <c r="B45" s="330" t="s">
        <v>441</v>
      </c>
      <c r="C45" s="331" t="s">
        <v>33</v>
      </c>
      <c r="D45" s="331">
        <v>10</v>
      </c>
      <c r="E45" s="331" t="s">
        <v>442</v>
      </c>
      <c r="F45" s="332">
        <v>35000</v>
      </c>
      <c r="G45" s="332">
        <f t="shared" si="0"/>
        <v>350000</v>
      </c>
      <c r="H45" s="817">
        <f>SUM(G45:G51)</f>
        <v>1575000</v>
      </c>
      <c r="I45" s="820" t="s">
        <v>360</v>
      </c>
      <c r="J45" s="815"/>
      <c r="K45" s="847"/>
    </row>
    <row r="46" spans="1:15">
      <c r="A46" s="330"/>
      <c r="B46" s="330" t="s">
        <v>443</v>
      </c>
      <c r="C46" s="331" t="s">
        <v>33</v>
      </c>
      <c r="D46" s="331">
        <v>5</v>
      </c>
      <c r="E46" s="331" t="s">
        <v>442</v>
      </c>
      <c r="F46" s="332">
        <v>35000</v>
      </c>
      <c r="G46" s="332">
        <f t="shared" si="0"/>
        <v>175000</v>
      </c>
      <c r="H46" s="818"/>
      <c r="I46" s="821"/>
      <c r="J46" s="815"/>
      <c r="K46" s="847"/>
    </row>
    <row r="47" spans="1:15">
      <c r="A47" s="330"/>
      <c r="B47" s="330" t="s">
        <v>444</v>
      </c>
      <c r="C47" s="331" t="s">
        <v>33</v>
      </c>
      <c r="D47" s="331">
        <v>5</v>
      </c>
      <c r="E47" s="331" t="s">
        <v>26</v>
      </c>
      <c r="F47" s="332">
        <v>30000</v>
      </c>
      <c r="G47" s="332">
        <f t="shared" si="0"/>
        <v>150000</v>
      </c>
      <c r="H47" s="818"/>
      <c r="I47" s="821"/>
      <c r="J47" s="815"/>
      <c r="K47" s="847"/>
    </row>
    <row r="48" spans="1:15">
      <c r="A48" s="330"/>
      <c r="B48" s="330" t="s">
        <v>445</v>
      </c>
      <c r="C48" s="331" t="s">
        <v>33</v>
      </c>
      <c r="D48" s="331">
        <v>5</v>
      </c>
      <c r="E48" s="331" t="s">
        <v>26</v>
      </c>
      <c r="F48" s="332">
        <v>35000</v>
      </c>
      <c r="G48" s="332">
        <f t="shared" si="0"/>
        <v>175000</v>
      </c>
      <c r="H48" s="818"/>
      <c r="I48" s="821"/>
      <c r="J48" s="815"/>
      <c r="K48" s="847"/>
    </row>
    <row r="49" spans="1:11">
      <c r="A49" s="330"/>
      <c r="B49" s="330" t="s">
        <v>649</v>
      </c>
      <c r="C49" s="331" t="s">
        <v>33</v>
      </c>
      <c r="D49" s="331">
        <v>5</v>
      </c>
      <c r="E49" s="331" t="s">
        <v>26</v>
      </c>
      <c r="F49" s="332">
        <v>75000</v>
      </c>
      <c r="G49" s="332">
        <f t="shared" si="0"/>
        <v>375000</v>
      </c>
      <c r="H49" s="818"/>
      <c r="I49" s="821"/>
      <c r="J49" s="815"/>
      <c r="K49" s="847"/>
    </row>
    <row r="50" spans="1:11">
      <c r="A50" s="330"/>
      <c r="B50" s="330" t="s">
        <v>446</v>
      </c>
      <c r="C50" s="331" t="s">
        <v>33</v>
      </c>
      <c r="D50" s="331">
        <v>5</v>
      </c>
      <c r="E50" s="331" t="s">
        <v>442</v>
      </c>
      <c r="F50" s="332">
        <v>35000</v>
      </c>
      <c r="G50" s="332">
        <f t="shared" si="0"/>
        <v>175000</v>
      </c>
      <c r="H50" s="818"/>
      <c r="I50" s="821"/>
      <c r="J50" s="815"/>
      <c r="K50" s="847"/>
    </row>
    <row r="51" spans="1:11">
      <c r="A51" s="330"/>
      <c r="B51" s="330" t="s">
        <v>447</v>
      </c>
      <c r="C51" s="331" t="s">
        <v>33</v>
      </c>
      <c r="D51" s="331">
        <v>5</v>
      </c>
      <c r="E51" s="331" t="s">
        <v>442</v>
      </c>
      <c r="F51" s="332">
        <v>35000</v>
      </c>
      <c r="G51" s="332">
        <f t="shared" si="0"/>
        <v>175000</v>
      </c>
      <c r="H51" s="819"/>
      <c r="I51" s="822"/>
      <c r="J51" s="815"/>
      <c r="K51" s="847"/>
    </row>
    <row r="52" spans="1:11">
      <c r="A52" s="227">
        <v>44305</v>
      </c>
      <c r="B52" s="228" t="s">
        <v>448</v>
      </c>
      <c r="C52" s="229" t="s">
        <v>63</v>
      </c>
      <c r="D52" s="229">
        <v>2</v>
      </c>
      <c r="E52" s="229" t="s">
        <v>26</v>
      </c>
      <c r="F52" s="230">
        <v>700000</v>
      </c>
      <c r="G52" s="230">
        <f t="shared" si="0"/>
        <v>1400000</v>
      </c>
      <c r="H52" s="824">
        <f>SUM(G52:G54)</f>
        <v>4200000</v>
      </c>
      <c r="I52" s="827" t="s">
        <v>360</v>
      </c>
      <c r="J52" s="823" t="s">
        <v>451</v>
      </c>
      <c r="K52" s="426"/>
    </row>
    <row r="53" spans="1:11">
      <c r="A53" s="228"/>
      <c r="B53" s="228" t="s">
        <v>449</v>
      </c>
      <c r="C53" s="229" t="s">
        <v>63</v>
      </c>
      <c r="D53" s="229">
        <v>2</v>
      </c>
      <c r="E53" s="229" t="s">
        <v>26</v>
      </c>
      <c r="F53" s="230">
        <v>700000</v>
      </c>
      <c r="G53" s="230">
        <f t="shared" si="0"/>
        <v>1400000</v>
      </c>
      <c r="H53" s="825"/>
      <c r="I53" s="825"/>
      <c r="J53" s="823"/>
      <c r="K53" s="426"/>
    </row>
    <row r="54" spans="1:11">
      <c r="A54" s="228"/>
      <c r="B54" s="228" t="s">
        <v>450</v>
      </c>
      <c r="C54" s="229" t="s">
        <v>63</v>
      </c>
      <c r="D54" s="229">
        <v>2</v>
      </c>
      <c r="E54" s="229" t="s">
        <v>26</v>
      </c>
      <c r="F54" s="230">
        <v>700000</v>
      </c>
      <c r="G54" s="230">
        <f t="shared" si="0"/>
        <v>1400000</v>
      </c>
      <c r="H54" s="826"/>
      <c r="I54" s="826"/>
      <c r="J54" s="823"/>
      <c r="K54" s="426"/>
    </row>
    <row r="55" spans="1:11">
      <c r="A55" s="66">
        <v>44305</v>
      </c>
      <c r="B55" s="40" t="s">
        <v>460</v>
      </c>
      <c r="C55" s="67" t="s">
        <v>456</v>
      </c>
      <c r="D55" s="67">
        <v>1</v>
      </c>
      <c r="E55" s="67" t="s">
        <v>61</v>
      </c>
      <c r="F55" s="65">
        <v>7700000</v>
      </c>
      <c r="G55" s="65">
        <f t="shared" si="0"/>
        <v>7700000</v>
      </c>
      <c r="H55" s="715">
        <f>SUM(G55)</f>
        <v>7700000</v>
      </c>
      <c r="I55" s="808" t="s">
        <v>454</v>
      </c>
      <c r="K55" s="246"/>
    </row>
    <row r="56" spans="1:11">
      <c r="A56" s="40"/>
      <c r="B56" s="40" t="s">
        <v>452</v>
      </c>
      <c r="C56" s="67" t="s">
        <v>456</v>
      </c>
      <c r="D56" s="67">
        <v>10</v>
      </c>
      <c r="E56" s="67" t="s">
        <v>442</v>
      </c>
      <c r="F56" s="40"/>
      <c r="G56" s="65">
        <f t="shared" si="0"/>
        <v>0</v>
      </c>
      <c r="H56" s="807"/>
      <c r="I56" s="809"/>
      <c r="K56" s="246"/>
    </row>
    <row r="57" spans="1:11">
      <c r="A57" s="40"/>
      <c r="B57" s="40" t="s">
        <v>453</v>
      </c>
      <c r="C57" s="67" t="s">
        <v>456</v>
      </c>
      <c r="D57" s="67">
        <v>41</v>
      </c>
      <c r="E57" s="67" t="s">
        <v>442</v>
      </c>
      <c r="F57" s="40"/>
      <c r="G57" s="65">
        <f t="shared" si="0"/>
        <v>0</v>
      </c>
      <c r="H57" s="716"/>
      <c r="I57" s="810"/>
      <c r="K57" s="246"/>
    </row>
    <row r="58" spans="1:11">
      <c r="A58" s="239">
        <v>44306</v>
      </c>
      <c r="B58" s="240" t="s">
        <v>457</v>
      </c>
      <c r="C58" s="241" t="s">
        <v>158</v>
      </c>
      <c r="D58" s="241">
        <v>5</v>
      </c>
      <c r="E58" s="241" t="s">
        <v>26</v>
      </c>
      <c r="F58" s="242">
        <v>375000</v>
      </c>
      <c r="G58" s="243">
        <f t="shared" si="0"/>
        <v>1875000</v>
      </c>
      <c r="H58" s="829">
        <f>SUM(G58:G59)</f>
        <v>3750000</v>
      </c>
      <c r="I58" s="831" t="s">
        <v>67</v>
      </c>
      <c r="J58" s="800" t="s">
        <v>496</v>
      </c>
      <c r="K58" s="427"/>
    </row>
    <row r="59" spans="1:11">
      <c r="A59" s="240"/>
      <c r="B59" s="240" t="s">
        <v>458</v>
      </c>
      <c r="C59" s="241" t="s">
        <v>158</v>
      </c>
      <c r="D59" s="241">
        <v>5</v>
      </c>
      <c r="E59" s="241" t="s">
        <v>26</v>
      </c>
      <c r="F59" s="242">
        <v>375000</v>
      </c>
      <c r="G59" s="243">
        <f t="shared" si="0"/>
        <v>1875000</v>
      </c>
      <c r="H59" s="830"/>
      <c r="I59" s="832"/>
      <c r="J59" s="800"/>
      <c r="K59" s="427"/>
    </row>
    <row r="60" spans="1:11">
      <c r="A60" s="66">
        <v>44308</v>
      </c>
      <c r="B60" s="40" t="s">
        <v>461</v>
      </c>
      <c r="C60" s="67" t="s">
        <v>280</v>
      </c>
      <c r="D60" s="67">
        <v>1</v>
      </c>
      <c r="E60" s="67" t="s">
        <v>26</v>
      </c>
      <c r="F60" s="65">
        <v>0</v>
      </c>
      <c r="G60" s="65">
        <f t="shared" si="0"/>
        <v>0</v>
      </c>
      <c r="H60" s="65">
        <v>0</v>
      </c>
      <c r="I60" s="40"/>
      <c r="K60" s="246"/>
    </row>
    <row r="61" spans="1:11">
      <c r="A61" s="329">
        <v>44308</v>
      </c>
      <c r="B61" s="330" t="s">
        <v>462</v>
      </c>
      <c r="C61" s="336" t="s">
        <v>33</v>
      </c>
      <c r="D61" s="331">
        <v>8</v>
      </c>
      <c r="E61" s="331" t="s">
        <v>442</v>
      </c>
      <c r="F61" s="332">
        <v>105000</v>
      </c>
      <c r="G61" s="332">
        <f t="shared" si="0"/>
        <v>840000</v>
      </c>
      <c r="H61" s="817">
        <f>SUM(G61:G62)</f>
        <v>1890000</v>
      </c>
      <c r="I61" s="820" t="s">
        <v>360</v>
      </c>
      <c r="J61" s="815" t="s">
        <v>651</v>
      </c>
      <c r="K61" s="426"/>
    </row>
    <row r="62" spans="1:11">
      <c r="A62" s="330"/>
      <c r="B62" s="330" t="s">
        <v>463</v>
      </c>
      <c r="C62" s="336" t="s">
        <v>33</v>
      </c>
      <c r="D62" s="331">
        <v>10</v>
      </c>
      <c r="E62" s="331" t="s">
        <v>442</v>
      </c>
      <c r="F62" s="332">
        <v>105000</v>
      </c>
      <c r="G62" s="332">
        <f t="shared" si="0"/>
        <v>1050000</v>
      </c>
      <c r="H62" s="819"/>
      <c r="I62" s="822"/>
      <c r="J62" s="815"/>
      <c r="K62" s="426"/>
    </row>
    <row r="63" spans="1:11">
      <c r="A63" s="398">
        <v>44308</v>
      </c>
      <c r="B63" s="399" t="s">
        <v>464</v>
      </c>
      <c r="C63" s="400" t="s">
        <v>18</v>
      </c>
      <c r="D63" s="401">
        <v>5</v>
      </c>
      <c r="E63" s="401" t="s">
        <v>26</v>
      </c>
      <c r="F63" s="402">
        <v>140000</v>
      </c>
      <c r="G63" s="402">
        <f t="shared" si="0"/>
        <v>700000</v>
      </c>
      <c r="H63" s="715">
        <f>SUM(G63:G76)</f>
        <v>6950000</v>
      </c>
      <c r="I63" s="808" t="s">
        <v>478</v>
      </c>
      <c r="K63" s="246"/>
    </row>
    <row r="64" spans="1:11">
      <c r="A64" s="399"/>
      <c r="B64" s="399" t="s">
        <v>465</v>
      </c>
      <c r="C64" s="400" t="s">
        <v>18</v>
      </c>
      <c r="D64" s="401">
        <v>5</v>
      </c>
      <c r="E64" s="401" t="s">
        <v>26</v>
      </c>
      <c r="F64" s="402">
        <v>160000</v>
      </c>
      <c r="G64" s="402">
        <f t="shared" si="0"/>
        <v>800000</v>
      </c>
      <c r="H64" s="807"/>
      <c r="I64" s="809"/>
      <c r="K64" s="246"/>
    </row>
    <row r="65" spans="1:11">
      <c r="A65" s="399"/>
      <c r="B65" s="399" t="s">
        <v>466</v>
      </c>
      <c r="C65" s="400" t="s">
        <v>18</v>
      </c>
      <c r="D65" s="401">
        <v>5</v>
      </c>
      <c r="E65" s="401" t="s">
        <v>26</v>
      </c>
      <c r="F65" s="402">
        <v>140000</v>
      </c>
      <c r="G65" s="402">
        <f t="shared" si="0"/>
        <v>700000</v>
      </c>
      <c r="H65" s="807"/>
      <c r="I65" s="809"/>
      <c r="K65" s="246"/>
    </row>
    <row r="66" spans="1:11">
      <c r="A66" s="399"/>
      <c r="B66" s="399" t="s">
        <v>467</v>
      </c>
      <c r="C66" s="400" t="s">
        <v>18</v>
      </c>
      <c r="D66" s="401">
        <v>5</v>
      </c>
      <c r="E66" s="401" t="s">
        <v>26</v>
      </c>
      <c r="F66" s="402">
        <v>160000</v>
      </c>
      <c r="G66" s="402">
        <f t="shared" si="0"/>
        <v>800000</v>
      </c>
      <c r="H66" s="807"/>
      <c r="I66" s="809"/>
      <c r="K66" s="246"/>
    </row>
    <row r="67" spans="1:11">
      <c r="A67" s="399"/>
      <c r="B67" s="399" t="s">
        <v>468</v>
      </c>
      <c r="C67" s="400" t="s">
        <v>18</v>
      </c>
      <c r="D67" s="401">
        <v>3</v>
      </c>
      <c r="E67" s="401" t="s">
        <v>26</v>
      </c>
      <c r="F67" s="402">
        <v>150000</v>
      </c>
      <c r="G67" s="402">
        <f t="shared" si="0"/>
        <v>450000</v>
      </c>
      <c r="H67" s="807"/>
      <c r="I67" s="809"/>
      <c r="K67" s="246"/>
    </row>
    <row r="68" spans="1:11">
      <c r="A68" s="399"/>
      <c r="B68" s="399" t="s">
        <v>469</v>
      </c>
      <c r="C68" s="400" t="s">
        <v>18</v>
      </c>
      <c r="D68" s="401">
        <v>3</v>
      </c>
      <c r="E68" s="401" t="s">
        <v>26</v>
      </c>
      <c r="F68" s="402">
        <v>150000</v>
      </c>
      <c r="G68" s="402">
        <f t="shared" ref="G68:G111" si="1">F68*D68</f>
        <v>450000</v>
      </c>
      <c r="H68" s="807"/>
      <c r="I68" s="809"/>
      <c r="K68" s="246"/>
    </row>
    <row r="69" spans="1:11">
      <c r="A69" s="399"/>
      <c r="B69" s="399" t="s">
        <v>470</v>
      </c>
      <c r="C69" s="400" t="s">
        <v>18</v>
      </c>
      <c r="D69" s="401">
        <v>10</v>
      </c>
      <c r="E69" s="401" t="s">
        <v>26</v>
      </c>
      <c r="F69" s="402">
        <v>125000</v>
      </c>
      <c r="G69" s="402">
        <f t="shared" si="1"/>
        <v>1250000</v>
      </c>
      <c r="H69" s="807"/>
      <c r="I69" s="809"/>
      <c r="K69" s="246"/>
    </row>
    <row r="70" spans="1:11">
      <c r="A70" s="399"/>
      <c r="B70" s="399" t="s">
        <v>471</v>
      </c>
      <c r="C70" s="400" t="s">
        <v>18</v>
      </c>
      <c r="D70" s="401">
        <v>10</v>
      </c>
      <c r="E70" s="401" t="s">
        <v>26</v>
      </c>
      <c r="F70" s="402">
        <v>125000</v>
      </c>
      <c r="G70" s="402">
        <f t="shared" si="1"/>
        <v>1250000</v>
      </c>
      <c r="H70" s="807"/>
      <c r="I70" s="809"/>
      <c r="K70" s="246"/>
    </row>
    <row r="71" spans="1:11">
      <c r="A71" s="399"/>
      <c r="B71" s="399" t="s">
        <v>472</v>
      </c>
      <c r="C71" s="400" t="s">
        <v>18</v>
      </c>
      <c r="D71" s="401">
        <v>5</v>
      </c>
      <c r="E71" s="401" t="s">
        <v>26</v>
      </c>
      <c r="F71" s="402">
        <v>110000</v>
      </c>
      <c r="G71" s="402">
        <f t="shared" si="1"/>
        <v>550000</v>
      </c>
      <c r="H71" s="807"/>
      <c r="I71" s="809"/>
      <c r="K71" s="246"/>
    </row>
    <row r="72" spans="1:11">
      <c r="A72" s="399"/>
      <c r="B72" s="399" t="s">
        <v>473</v>
      </c>
      <c r="C72" s="400" t="s">
        <v>18</v>
      </c>
      <c r="D72" s="401">
        <v>1</v>
      </c>
      <c r="E72" s="401" t="s">
        <v>26</v>
      </c>
      <c r="F72" s="402">
        <v>0</v>
      </c>
      <c r="G72" s="402">
        <f t="shared" si="1"/>
        <v>0</v>
      </c>
      <c r="H72" s="807"/>
      <c r="I72" s="809"/>
      <c r="K72" s="246"/>
    </row>
    <row r="73" spans="1:11">
      <c r="A73" s="399"/>
      <c r="B73" s="399" t="s">
        <v>474</v>
      </c>
      <c r="C73" s="400" t="s">
        <v>18</v>
      </c>
      <c r="D73" s="401">
        <v>1</v>
      </c>
      <c r="E73" s="401" t="s">
        <v>26</v>
      </c>
      <c r="F73" s="402">
        <v>0</v>
      </c>
      <c r="G73" s="402">
        <f t="shared" si="1"/>
        <v>0</v>
      </c>
      <c r="H73" s="807"/>
      <c r="I73" s="809"/>
      <c r="K73" s="246"/>
    </row>
    <row r="74" spans="1:11">
      <c r="A74" s="399"/>
      <c r="B74" s="399" t="s">
        <v>475</v>
      </c>
      <c r="C74" s="400" t="s">
        <v>18</v>
      </c>
      <c r="D74" s="401">
        <v>1</v>
      </c>
      <c r="E74" s="401" t="s">
        <v>26</v>
      </c>
      <c r="F74" s="402">
        <v>0</v>
      </c>
      <c r="G74" s="402">
        <f t="shared" si="1"/>
        <v>0</v>
      </c>
      <c r="H74" s="807"/>
      <c r="I74" s="809"/>
      <c r="K74" s="246"/>
    </row>
    <row r="75" spans="1:11">
      <c r="A75" s="399"/>
      <c r="B75" s="399" t="s">
        <v>476</v>
      </c>
      <c r="C75" s="400" t="s">
        <v>18</v>
      </c>
      <c r="D75" s="401">
        <v>1</v>
      </c>
      <c r="E75" s="401" t="s">
        <v>26</v>
      </c>
      <c r="F75" s="402">
        <v>0</v>
      </c>
      <c r="G75" s="402">
        <f t="shared" si="1"/>
        <v>0</v>
      </c>
      <c r="H75" s="807"/>
      <c r="I75" s="809"/>
      <c r="K75" s="246"/>
    </row>
    <row r="76" spans="1:11">
      <c r="A76" s="399"/>
      <c r="B76" s="399" t="s">
        <v>477</v>
      </c>
      <c r="C76" s="400" t="s">
        <v>18</v>
      </c>
      <c r="D76" s="401">
        <v>1</v>
      </c>
      <c r="E76" s="401" t="s">
        <v>26</v>
      </c>
      <c r="F76" s="402">
        <v>0</v>
      </c>
      <c r="G76" s="402">
        <f t="shared" si="1"/>
        <v>0</v>
      </c>
      <c r="H76" s="716"/>
      <c r="I76" s="810"/>
      <c r="K76" s="246"/>
    </row>
    <row r="77" spans="1:11">
      <c r="A77" s="416">
        <v>44309</v>
      </c>
      <c r="B77" s="417" t="s">
        <v>147</v>
      </c>
      <c r="C77" s="418" t="s">
        <v>164</v>
      </c>
      <c r="D77" s="418">
        <v>50</v>
      </c>
      <c r="E77" s="418" t="s">
        <v>442</v>
      </c>
      <c r="F77" s="419">
        <v>150000</v>
      </c>
      <c r="G77" s="419">
        <f t="shared" si="1"/>
        <v>7500000</v>
      </c>
      <c r="H77" s="798">
        <f>SUM(G77:G79)</f>
        <v>8835000</v>
      </c>
      <c r="I77" s="812" t="s">
        <v>360</v>
      </c>
      <c r="J77" s="828" t="s">
        <v>567</v>
      </c>
      <c r="K77" s="246"/>
    </row>
    <row r="78" spans="1:11">
      <c r="A78" s="417"/>
      <c r="B78" s="417" t="s">
        <v>479</v>
      </c>
      <c r="C78" s="418" t="s">
        <v>164</v>
      </c>
      <c r="D78" s="418">
        <v>2</v>
      </c>
      <c r="E78" s="418" t="s">
        <v>442</v>
      </c>
      <c r="F78" s="419">
        <v>285000</v>
      </c>
      <c r="G78" s="419">
        <f t="shared" si="1"/>
        <v>570000</v>
      </c>
      <c r="H78" s="811"/>
      <c r="I78" s="813"/>
      <c r="J78" s="828"/>
      <c r="K78" s="246"/>
    </row>
    <row r="79" spans="1:11">
      <c r="A79" s="417"/>
      <c r="B79" s="417" t="s">
        <v>480</v>
      </c>
      <c r="C79" s="418" t="s">
        <v>164</v>
      </c>
      <c r="D79" s="418">
        <v>3</v>
      </c>
      <c r="E79" s="418" t="s">
        <v>442</v>
      </c>
      <c r="F79" s="419">
        <v>255000</v>
      </c>
      <c r="G79" s="419">
        <f t="shared" si="1"/>
        <v>765000</v>
      </c>
      <c r="H79" s="799"/>
      <c r="I79" s="814"/>
      <c r="J79" s="828"/>
      <c r="K79" s="246"/>
    </row>
    <row r="80" spans="1:11">
      <c r="A80" s="66">
        <v>44309</v>
      </c>
      <c r="B80" s="40" t="s">
        <v>482</v>
      </c>
      <c r="C80" s="67" t="s">
        <v>481</v>
      </c>
      <c r="D80" s="67">
        <v>14</v>
      </c>
      <c r="E80" s="67" t="s">
        <v>26</v>
      </c>
      <c r="F80" s="65">
        <v>80000</v>
      </c>
      <c r="G80" s="65">
        <f t="shared" si="1"/>
        <v>1120000</v>
      </c>
      <c r="H80" s="65">
        <f>SUM(G80)</f>
        <v>1120000</v>
      </c>
      <c r="I80" s="7" t="s">
        <v>454</v>
      </c>
      <c r="K80" s="246"/>
    </row>
    <row r="81" spans="1:11">
      <c r="A81" s="80">
        <v>44310</v>
      </c>
      <c r="B81" s="81" t="s">
        <v>483</v>
      </c>
      <c r="C81" s="82" t="s">
        <v>158</v>
      </c>
      <c r="D81" s="82">
        <v>6</v>
      </c>
      <c r="E81" s="82" t="s">
        <v>26</v>
      </c>
      <c r="F81" s="235">
        <v>600000</v>
      </c>
      <c r="G81" s="235">
        <f t="shared" si="1"/>
        <v>3600000</v>
      </c>
      <c r="H81" s="235">
        <f>SUM(G81)</f>
        <v>3600000</v>
      </c>
      <c r="I81" s="82" t="s">
        <v>360</v>
      </c>
      <c r="K81" s="246"/>
    </row>
    <row r="82" spans="1:11">
      <c r="A82" s="416">
        <v>44310</v>
      </c>
      <c r="B82" s="417" t="s">
        <v>484</v>
      </c>
      <c r="C82" s="418" t="s">
        <v>164</v>
      </c>
      <c r="D82" s="418">
        <v>10</v>
      </c>
      <c r="E82" s="418" t="s">
        <v>26</v>
      </c>
      <c r="F82" s="419">
        <v>150000</v>
      </c>
      <c r="G82" s="419">
        <f t="shared" si="1"/>
        <v>1500000</v>
      </c>
      <c r="H82" s="419">
        <f>SUM(G82)</f>
        <v>1500000</v>
      </c>
      <c r="I82" s="418" t="s">
        <v>709</v>
      </c>
      <c r="K82" s="246"/>
    </row>
    <row r="83" spans="1:11">
      <c r="A83" s="398">
        <v>44312</v>
      </c>
      <c r="B83" s="399" t="s">
        <v>486</v>
      </c>
      <c r="C83" s="401" t="s">
        <v>18</v>
      </c>
      <c r="D83" s="401">
        <v>3</v>
      </c>
      <c r="E83" s="401" t="s">
        <v>26</v>
      </c>
      <c r="F83" s="402">
        <v>150000</v>
      </c>
      <c r="G83" s="402">
        <f t="shared" si="1"/>
        <v>450000</v>
      </c>
      <c r="H83" s="715">
        <f>SUM(G83:G90)</f>
        <v>2550000</v>
      </c>
      <c r="I83" s="808" t="s">
        <v>253</v>
      </c>
      <c r="K83" s="246"/>
    </row>
    <row r="84" spans="1:11">
      <c r="A84" s="399"/>
      <c r="B84" s="399" t="s">
        <v>487</v>
      </c>
      <c r="C84" s="401" t="s">
        <v>18</v>
      </c>
      <c r="D84" s="401">
        <v>3</v>
      </c>
      <c r="E84" s="401" t="s">
        <v>26</v>
      </c>
      <c r="F84" s="402">
        <v>150000</v>
      </c>
      <c r="G84" s="402">
        <f t="shared" si="1"/>
        <v>450000</v>
      </c>
      <c r="H84" s="807"/>
      <c r="I84" s="809"/>
      <c r="K84" s="246"/>
    </row>
    <row r="85" spans="1:11">
      <c r="A85" s="399"/>
      <c r="B85" s="399" t="s">
        <v>485</v>
      </c>
      <c r="C85" s="401" t="s">
        <v>18</v>
      </c>
      <c r="D85" s="401">
        <v>3</v>
      </c>
      <c r="E85" s="401" t="s">
        <v>26</v>
      </c>
      <c r="F85" s="402">
        <v>125000</v>
      </c>
      <c r="G85" s="402">
        <f t="shared" si="1"/>
        <v>375000</v>
      </c>
      <c r="H85" s="807"/>
      <c r="I85" s="809"/>
      <c r="K85" s="246"/>
    </row>
    <row r="86" spans="1:11">
      <c r="A86" s="399"/>
      <c r="B86" s="399" t="s">
        <v>488</v>
      </c>
      <c r="C86" s="401" t="s">
        <v>18</v>
      </c>
      <c r="D86" s="401">
        <v>3</v>
      </c>
      <c r="E86" s="401" t="s">
        <v>26</v>
      </c>
      <c r="F86" s="402">
        <v>125000</v>
      </c>
      <c r="G86" s="402">
        <f t="shared" si="1"/>
        <v>375000</v>
      </c>
      <c r="H86" s="807"/>
      <c r="I86" s="809"/>
      <c r="K86" s="246"/>
    </row>
    <row r="87" spans="1:11">
      <c r="A87" s="399"/>
      <c r="B87" s="399" t="s">
        <v>489</v>
      </c>
      <c r="C87" s="401" t="s">
        <v>18</v>
      </c>
      <c r="D87" s="401">
        <v>3</v>
      </c>
      <c r="E87" s="401" t="s">
        <v>26</v>
      </c>
      <c r="F87" s="402">
        <v>110000</v>
      </c>
      <c r="G87" s="402">
        <f t="shared" si="1"/>
        <v>330000</v>
      </c>
      <c r="H87" s="807"/>
      <c r="I87" s="809"/>
      <c r="K87" s="246"/>
    </row>
    <row r="88" spans="1:11">
      <c r="A88" s="399"/>
      <c r="B88" s="399" t="s">
        <v>490</v>
      </c>
      <c r="C88" s="401" t="s">
        <v>18</v>
      </c>
      <c r="D88" s="401">
        <v>3</v>
      </c>
      <c r="E88" s="401" t="s">
        <v>26</v>
      </c>
      <c r="F88" s="402">
        <v>110000</v>
      </c>
      <c r="G88" s="402">
        <f t="shared" si="1"/>
        <v>330000</v>
      </c>
      <c r="H88" s="807"/>
      <c r="I88" s="809"/>
      <c r="K88" s="246"/>
    </row>
    <row r="89" spans="1:11">
      <c r="A89" s="399"/>
      <c r="B89" s="399" t="s">
        <v>491</v>
      </c>
      <c r="C89" s="401" t="s">
        <v>18</v>
      </c>
      <c r="D89" s="401">
        <v>3</v>
      </c>
      <c r="E89" s="401" t="s">
        <v>26</v>
      </c>
      <c r="F89" s="402">
        <v>40000</v>
      </c>
      <c r="G89" s="402">
        <f t="shared" si="1"/>
        <v>120000</v>
      </c>
      <c r="H89" s="807"/>
      <c r="I89" s="809"/>
      <c r="K89" s="246"/>
    </row>
    <row r="90" spans="1:11">
      <c r="A90" s="399"/>
      <c r="B90" s="399" t="s">
        <v>492</v>
      </c>
      <c r="C90" s="401" t="s">
        <v>18</v>
      </c>
      <c r="D90" s="401">
        <v>3</v>
      </c>
      <c r="E90" s="401" t="s">
        <v>26</v>
      </c>
      <c r="F90" s="402">
        <v>40000</v>
      </c>
      <c r="G90" s="402">
        <f t="shared" si="1"/>
        <v>120000</v>
      </c>
      <c r="H90" s="716"/>
      <c r="I90" s="810"/>
      <c r="K90" s="246"/>
    </row>
    <row r="91" spans="1:11">
      <c r="A91" s="66">
        <v>44313</v>
      </c>
      <c r="B91" s="40" t="s">
        <v>755</v>
      </c>
      <c r="C91" s="67" t="s">
        <v>21</v>
      </c>
      <c r="D91" s="67">
        <v>2</v>
      </c>
      <c r="E91" s="67" t="s">
        <v>61</v>
      </c>
      <c r="F91" s="65">
        <v>1100000</v>
      </c>
      <c r="G91" s="65">
        <f t="shared" si="1"/>
        <v>2200000</v>
      </c>
      <c r="H91" s="396">
        <f>SUM(G91)</f>
        <v>2200000</v>
      </c>
      <c r="I91" s="395" t="s">
        <v>360</v>
      </c>
      <c r="K91" s="246"/>
    </row>
    <row r="92" spans="1:11">
      <c r="A92" s="80">
        <v>44313</v>
      </c>
      <c r="B92" s="81" t="s">
        <v>493</v>
      </c>
      <c r="C92" s="234" t="s">
        <v>158</v>
      </c>
      <c r="D92" s="234">
        <v>3</v>
      </c>
      <c r="E92" s="234" t="s">
        <v>26</v>
      </c>
      <c r="F92" s="235">
        <v>600000</v>
      </c>
      <c r="G92" s="235">
        <f t="shared" si="1"/>
        <v>1800000</v>
      </c>
      <c r="H92" s="757">
        <f>SUM(G92:G94)</f>
        <v>4200000</v>
      </c>
      <c r="I92" s="762" t="s">
        <v>454</v>
      </c>
      <c r="K92" s="246"/>
    </row>
    <row r="93" spans="1:11">
      <c r="A93" s="81"/>
      <c r="B93" s="81" t="s">
        <v>494</v>
      </c>
      <c r="C93" s="82" t="s">
        <v>158</v>
      </c>
      <c r="D93" s="234">
        <v>2</v>
      </c>
      <c r="E93" s="234" t="s">
        <v>26</v>
      </c>
      <c r="F93" s="235">
        <v>600000</v>
      </c>
      <c r="G93" s="235">
        <f t="shared" si="1"/>
        <v>1200000</v>
      </c>
      <c r="H93" s="758"/>
      <c r="I93" s="763"/>
      <c r="K93" s="246"/>
    </row>
    <row r="94" spans="1:11">
      <c r="A94" s="81"/>
      <c r="B94" s="81" t="s">
        <v>495</v>
      </c>
      <c r="C94" s="82" t="s">
        <v>158</v>
      </c>
      <c r="D94" s="234">
        <v>2</v>
      </c>
      <c r="E94" s="234" t="s">
        <v>26</v>
      </c>
      <c r="F94" s="235">
        <v>600000</v>
      </c>
      <c r="G94" s="235">
        <f t="shared" si="1"/>
        <v>1200000</v>
      </c>
      <c r="H94" s="759"/>
      <c r="I94" s="764"/>
      <c r="K94" s="246"/>
    </row>
    <row r="95" spans="1:11">
      <c r="A95" s="374">
        <v>44315</v>
      </c>
      <c r="B95" s="375" t="s">
        <v>573</v>
      </c>
      <c r="C95" s="372" t="s">
        <v>49</v>
      </c>
      <c r="D95" s="372">
        <v>6</v>
      </c>
      <c r="E95" s="376" t="s">
        <v>26</v>
      </c>
      <c r="F95" s="373">
        <v>1350000</v>
      </c>
      <c r="G95" s="373">
        <f t="shared" si="1"/>
        <v>8100000</v>
      </c>
      <c r="H95" s="801">
        <f>SUM(G95:G107)</f>
        <v>22160000</v>
      </c>
      <c r="I95" s="804" t="s">
        <v>454</v>
      </c>
      <c r="J95" s="816" t="s">
        <v>709</v>
      </c>
      <c r="K95" s="426"/>
    </row>
    <row r="96" spans="1:11">
      <c r="A96" s="375"/>
      <c r="B96" s="375" t="s">
        <v>543</v>
      </c>
      <c r="C96" s="372" t="s">
        <v>49</v>
      </c>
      <c r="D96" s="372">
        <v>2</v>
      </c>
      <c r="E96" s="376" t="s">
        <v>26</v>
      </c>
      <c r="F96" s="373">
        <v>1350000</v>
      </c>
      <c r="G96" s="373">
        <f t="shared" si="1"/>
        <v>2700000</v>
      </c>
      <c r="H96" s="802"/>
      <c r="I96" s="805"/>
      <c r="J96" s="816"/>
      <c r="K96" s="426"/>
    </row>
    <row r="97" spans="1:11">
      <c r="A97" s="375"/>
      <c r="B97" s="375" t="s">
        <v>544</v>
      </c>
      <c r="C97" s="372" t="s">
        <v>49</v>
      </c>
      <c r="D97" s="372">
        <v>2</v>
      </c>
      <c r="E97" s="376" t="s">
        <v>26</v>
      </c>
      <c r="F97" s="373">
        <v>1350000</v>
      </c>
      <c r="G97" s="373">
        <f t="shared" si="1"/>
        <v>2700000</v>
      </c>
      <c r="H97" s="802"/>
      <c r="I97" s="805"/>
      <c r="J97" s="816"/>
      <c r="K97" s="426"/>
    </row>
    <row r="98" spans="1:11">
      <c r="A98" s="375"/>
      <c r="B98" s="375" t="s">
        <v>497</v>
      </c>
      <c r="C98" s="372" t="s">
        <v>49</v>
      </c>
      <c r="D98" s="372">
        <v>5</v>
      </c>
      <c r="E98" s="376" t="s">
        <v>442</v>
      </c>
      <c r="F98" s="373">
        <v>50000</v>
      </c>
      <c r="G98" s="373">
        <f t="shared" si="1"/>
        <v>250000</v>
      </c>
      <c r="H98" s="802"/>
      <c r="I98" s="805"/>
      <c r="J98" s="816"/>
      <c r="K98" s="426"/>
    </row>
    <row r="99" spans="1:11">
      <c r="A99" s="375"/>
      <c r="B99" s="375" t="s">
        <v>498</v>
      </c>
      <c r="C99" s="372" t="s">
        <v>49</v>
      </c>
      <c r="D99" s="372">
        <v>25</v>
      </c>
      <c r="E99" s="376" t="s">
        <v>26</v>
      </c>
      <c r="F99" s="373">
        <v>100000</v>
      </c>
      <c r="G99" s="373">
        <f t="shared" si="1"/>
        <v>2500000</v>
      </c>
      <c r="H99" s="802"/>
      <c r="I99" s="805"/>
      <c r="J99" s="816"/>
      <c r="K99" s="426"/>
    </row>
    <row r="100" spans="1:11">
      <c r="A100" s="375"/>
      <c r="B100" s="375" t="s">
        <v>499</v>
      </c>
      <c r="C100" s="372" t="s">
        <v>49</v>
      </c>
      <c r="D100" s="372">
        <v>15</v>
      </c>
      <c r="E100" s="376" t="s">
        <v>26</v>
      </c>
      <c r="F100" s="373">
        <v>160000</v>
      </c>
      <c r="G100" s="373">
        <f t="shared" si="1"/>
        <v>2400000</v>
      </c>
      <c r="H100" s="802"/>
      <c r="I100" s="805"/>
      <c r="J100" s="816"/>
      <c r="K100" s="426"/>
    </row>
    <row r="101" spans="1:11">
      <c r="A101" s="375"/>
      <c r="B101" s="375" t="s">
        <v>500</v>
      </c>
      <c r="C101" s="372" t="s">
        <v>49</v>
      </c>
      <c r="D101" s="372">
        <v>5</v>
      </c>
      <c r="E101" s="376" t="s">
        <v>26</v>
      </c>
      <c r="F101" s="373">
        <v>130000</v>
      </c>
      <c r="G101" s="373">
        <f t="shared" si="1"/>
        <v>650000</v>
      </c>
      <c r="H101" s="802"/>
      <c r="I101" s="805"/>
      <c r="J101" s="816"/>
      <c r="K101" s="426"/>
    </row>
    <row r="102" spans="1:11">
      <c r="A102" s="375"/>
      <c r="B102" s="375" t="s">
        <v>501</v>
      </c>
      <c r="C102" s="372" t="s">
        <v>49</v>
      </c>
      <c r="D102" s="372">
        <v>5</v>
      </c>
      <c r="E102" s="376" t="s">
        <v>26</v>
      </c>
      <c r="F102" s="373">
        <v>45000</v>
      </c>
      <c r="G102" s="373">
        <f t="shared" si="1"/>
        <v>225000</v>
      </c>
      <c r="H102" s="802"/>
      <c r="I102" s="805"/>
      <c r="J102" s="816"/>
      <c r="K102" s="426"/>
    </row>
    <row r="103" spans="1:11">
      <c r="A103" s="375"/>
      <c r="B103" s="375" t="s">
        <v>502</v>
      </c>
      <c r="C103" s="372" t="s">
        <v>49</v>
      </c>
      <c r="D103" s="372">
        <v>8</v>
      </c>
      <c r="E103" s="376" t="s">
        <v>26</v>
      </c>
      <c r="F103" s="373">
        <v>45000</v>
      </c>
      <c r="G103" s="373">
        <f t="shared" si="1"/>
        <v>360000</v>
      </c>
      <c r="H103" s="802"/>
      <c r="I103" s="805"/>
      <c r="J103" s="816"/>
      <c r="K103" s="426"/>
    </row>
    <row r="104" spans="1:11">
      <c r="A104" s="375"/>
      <c r="B104" s="375" t="s">
        <v>594</v>
      </c>
      <c r="C104" s="372" t="s">
        <v>49</v>
      </c>
      <c r="D104" s="372">
        <v>1</v>
      </c>
      <c r="E104" s="376" t="s">
        <v>26</v>
      </c>
      <c r="F104" s="373">
        <v>900000</v>
      </c>
      <c r="G104" s="373">
        <f t="shared" si="1"/>
        <v>900000</v>
      </c>
      <c r="H104" s="802"/>
      <c r="I104" s="805"/>
      <c r="J104" s="816"/>
      <c r="K104" s="426"/>
    </row>
    <row r="105" spans="1:11">
      <c r="A105" s="375"/>
      <c r="B105" s="375" t="s">
        <v>572</v>
      </c>
      <c r="C105" s="372" t="s">
        <v>49</v>
      </c>
      <c r="D105" s="372">
        <v>11</v>
      </c>
      <c r="E105" s="376" t="s">
        <v>26</v>
      </c>
      <c r="F105" s="373"/>
      <c r="G105" s="373">
        <f t="shared" si="1"/>
        <v>0</v>
      </c>
      <c r="H105" s="802"/>
      <c r="I105" s="805"/>
      <c r="J105" s="816"/>
      <c r="K105" s="426"/>
    </row>
    <row r="106" spans="1:11">
      <c r="A106" s="375"/>
      <c r="B106" s="375" t="s">
        <v>503</v>
      </c>
      <c r="C106" s="372" t="s">
        <v>49</v>
      </c>
      <c r="D106" s="372">
        <v>5</v>
      </c>
      <c r="E106" s="376" t="s">
        <v>26</v>
      </c>
      <c r="F106" s="373">
        <v>125000</v>
      </c>
      <c r="G106" s="373">
        <f t="shared" si="1"/>
        <v>625000</v>
      </c>
      <c r="H106" s="802"/>
      <c r="I106" s="805"/>
      <c r="J106" s="816"/>
      <c r="K106" s="426"/>
    </row>
    <row r="107" spans="1:11">
      <c r="A107" s="375"/>
      <c r="B107" s="375" t="s">
        <v>504</v>
      </c>
      <c r="C107" s="372" t="s">
        <v>49</v>
      </c>
      <c r="D107" s="372">
        <v>6</v>
      </c>
      <c r="E107" s="376" t="s">
        <v>26</v>
      </c>
      <c r="F107" s="373">
        <v>125000</v>
      </c>
      <c r="G107" s="373">
        <f t="shared" si="1"/>
        <v>750000</v>
      </c>
      <c r="H107" s="803"/>
      <c r="I107" s="806"/>
      <c r="J107" s="816"/>
      <c r="K107" s="426"/>
    </row>
    <row r="108" spans="1:11">
      <c r="A108" s="66">
        <v>44316</v>
      </c>
      <c r="B108" s="40" t="s">
        <v>509</v>
      </c>
      <c r="C108" s="67" t="s">
        <v>510</v>
      </c>
      <c r="D108" s="67">
        <v>2</v>
      </c>
      <c r="E108" s="67" t="s">
        <v>442</v>
      </c>
      <c r="F108" s="65">
        <v>3750000</v>
      </c>
      <c r="G108" s="65">
        <f t="shared" si="1"/>
        <v>7500000</v>
      </c>
      <c r="H108" s="65">
        <f>SUM(G108)</f>
        <v>7500000</v>
      </c>
      <c r="I108" s="67" t="s">
        <v>454</v>
      </c>
      <c r="K108" s="246"/>
    </row>
    <row r="109" spans="1:11">
      <c r="A109" s="66">
        <v>44316</v>
      </c>
      <c r="B109" s="40" t="s">
        <v>511</v>
      </c>
      <c r="C109" s="67" t="s">
        <v>510</v>
      </c>
      <c r="D109" s="67">
        <v>1</v>
      </c>
      <c r="E109" s="67" t="s">
        <v>442</v>
      </c>
      <c r="F109" s="65">
        <v>115000</v>
      </c>
      <c r="G109" s="65">
        <f t="shared" si="1"/>
        <v>115000</v>
      </c>
      <c r="H109" s="715">
        <f>SUM(G109:G110)</f>
        <v>365000</v>
      </c>
      <c r="I109" s="773" t="s">
        <v>454</v>
      </c>
      <c r="K109" s="246"/>
    </row>
    <row r="110" spans="1:11">
      <c r="A110" s="40"/>
      <c r="B110" s="40" t="s">
        <v>512</v>
      </c>
      <c r="C110" s="67" t="s">
        <v>510</v>
      </c>
      <c r="D110" s="67">
        <v>1</v>
      </c>
      <c r="E110" s="67" t="s">
        <v>442</v>
      </c>
      <c r="F110" s="65">
        <v>250000</v>
      </c>
      <c r="G110" s="65">
        <f t="shared" si="1"/>
        <v>250000</v>
      </c>
      <c r="H110" s="716"/>
      <c r="I110" s="774"/>
      <c r="K110" s="246"/>
    </row>
    <row r="111" spans="1:11">
      <c r="A111" s="416">
        <v>44316</v>
      </c>
      <c r="B111" s="417" t="s">
        <v>513</v>
      </c>
      <c r="C111" s="418" t="s">
        <v>437</v>
      </c>
      <c r="D111" s="418">
        <v>60</v>
      </c>
      <c r="E111" s="418" t="s">
        <v>26</v>
      </c>
      <c r="F111" s="419">
        <v>16000</v>
      </c>
      <c r="G111" s="419">
        <f t="shared" si="1"/>
        <v>960000</v>
      </c>
      <c r="H111" s="798">
        <f>SUM(G111)</f>
        <v>960000</v>
      </c>
      <c r="I111" s="812" t="s">
        <v>827</v>
      </c>
      <c r="K111" s="246"/>
    </row>
    <row r="112" spans="1:11">
      <c r="A112" s="417"/>
      <c r="B112" s="417" t="s">
        <v>514</v>
      </c>
      <c r="C112" s="418" t="s">
        <v>437</v>
      </c>
      <c r="D112" s="418">
        <v>12</v>
      </c>
      <c r="E112" s="418" t="s">
        <v>26</v>
      </c>
      <c r="F112" s="434" t="s">
        <v>83</v>
      </c>
      <c r="G112" s="419"/>
      <c r="H112" s="799"/>
      <c r="I112" s="814"/>
      <c r="K112" s="246"/>
    </row>
    <row r="113" spans="1:11">
      <c r="A113" s="69">
        <v>44316</v>
      </c>
      <c r="B113" s="70" t="s">
        <v>515</v>
      </c>
      <c r="C113" s="71" t="s">
        <v>60</v>
      </c>
      <c r="D113" s="71">
        <v>1</v>
      </c>
      <c r="E113" s="71" t="s">
        <v>4</v>
      </c>
      <c r="F113" s="72">
        <v>22000000</v>
      </c>
      <c r="G113" s="72">
        <f>F113*D113</f>
        <v>22000000</v>
      </c>
      <c r="H113" s="719">
        <f>SUM(G113:G114)</f>
        <v>30800000</v>
      </c>
      <c r="I113" s="722" t="s">
        <v>36</v>
      </c>
      <c r="J113" s="797" t="s">
        <v>732</v>
      </c>
      <c r="K113" s="427"/>
    </row>
    <row r="114" spans="1:11">
      <c r="A114" s="70"/>
      <c r="B114" s="70" t="s">
        <v>516</v>
      </c>
      <c r="C114" s="71" t="s">
        <v>60</v>
      </c>
      <c r="D114" s="71">
        <v>1</v>
      </c>
      <c r="E114" s="71" t="s">
        <v>4</v>
      </c>
      <c r="F114" s="72">
        <v>8800000</v>
      </c>
      <c r="G114" s="72">
        <f>F114*D114</f>
        <v>8800000</v>
      </c>
      <c r="H114" s="721"/>
      <c r="I114" s="724"/>
      <c r="J114" s="797"/>
      <c r="K114" s="427"/>
    </row>
    <row r="115" spans="1:11">
      <c r="A115" s="40"/>
      <c r="B115" s="40"/>
      <c r="C115" s="40"/>
      <c r="D115" s="40"/>
      <c r="E115" s="40"/>
      <c r="F115" s="65"/>
      <c r="G115" s="65"/>
      <c r="H115" s="65"/>
      <c r="I115" s="40"/>
      <c r="K115" s="246"/>
    </row>
    <row r="116" spans="1:11">
      <c r="A116" s="40"/>
      <c r="B116" s="40"/>
      <c r="C116" s="40"/>
      <c r="D116" s="40"/>
      <c r="E116" s="40"/>
      <c r="F116" s="65"/>
      <c r="G116" s="65"/>
      <c r="H116" s="65"/>
      <c r="I116" s="40"/>
      <c r="K116" s="246"/>
    </row>
    <row r="117" spans="1:11">
      <c r="A117" s="40"/>
      <c r="B117" s="40"/>
      <c r="C117" s="40"/>
      <c r="D117" s="40"/>
      <c r="E117" s="40"/>
      <c r="F117" s="65"/>
      <c r="G117" s="65"/>
      <c r="H117" s="65"/>
      <c r="I117" s="40"/>
      <c r="K117" s="246"/>
    </row>
    <row r="118" spans="1:11">
      <c r="A118" s="40"/>
      <c r="B118" s="40"/>
      <c r="C118" s="40"/>
      <c r="D118" s="40"/>
      <c r="E118" s="40"/>
      <c r="F118" s="65"/>
      <c r="G118" s="65"/>
      <c r="H118" s="65"/>
      <c r="I118" s="40"/>
      <c r="K118" s="246"/>
    </row>
    <row r="119" spans="1:11">
      <c r="F119" s="142"/>
      <c r="G119" s="142"/>
      <c r="H119" s="142"/>
      <c r="K119" s="246"/>
    </row>
    <row r="120" spans="1:11">
      <c r="F120" s="142"/>
      <c r="G120" s="142"/>
      <c r="H120" s="142"/>
      <c r="K120" s="246"/>
    </row>
  </sheetData>
  <mergeCells count="57">
    <mergeCell ref="J5:J14"/>
    <mergeCell ref="J16:J18"/>
    <mergeCell ref="K42:K51"/>
    <mergeCell ref="P19:P20"/>
    <mergeCell ref="J35:J40"/>
    <mergeCell ref="J23:J26"/>
    <mergeCell ref="J42:J51"/>
    <mergeCell ref="P6:P7"/>
    <mergeCell ref="J21:J22"/>
    <mergeCell ref="H5:H13"/>
    <mergeCell ref="I5:I13"/>
    <mergeCell ref="H16:H18"/>
    <mergeCell ref="I16:I18"/>
    <mergeCell ref="H21:H22"/>
    <mergeCell ref="I21:I22"/>
    <mergeCell ref="H32:H33"/>
    <mergeCell ref="I32:I33"/>
    <mergeCell ref="H23:H26"/>
    <mergeCell ref="I23:I26"/>
    <mergeCell ref="H35:H40"/>
    <mergeCell ref="I35:I40"/>
    <mergeCell ref="H109:H110"/>
    <mergeCell ref="I109:I110"/>
    <mergeCell ref="I63:I76"/>
    <mergeCell ref="H58:H59"/>
    <mergeCell ref="I58:I59"/>
    <mergeCell ref="H61:H62"/>
    <mergeCell ref="I61:I62"/>
    <mergeCell ref="H63:H76"/>
    <mergeCell ref="J61:J62"/>
    <mergeCell ref="J95:J107"/>
    <mergeCell ref="H42:H44"/>
    <mergeCell ref="I42:I44"/>
    <mergeCell ref="H45:H51"/>
    <mergeCell ref="I45:I51"/>
    <mergeCell ref="J52:J54"/>
    <mergeCell ref="H52:H54"/>
    <mergeCell ref="I52:I54"/>
    <mergeCell ref="I55:I57"/>
    <mergeCell ref="H55:H57"/>
    <mergeCell ref="J77:J79"/>
    <mergeCell ref="Q6:Q7"/>
    <mergeCell ref="Q19:Q20"/>
    <mergeCell ref="J113:J114"/>
    <mergeCell ref="H111:H112"/>
    <mergeCell ref="H113:H114"/>
    <mergeCell ref="J58:J59"/>
    <mergeCell ref="H95:H107"/>
    <mergeCell ref="I95:I107"/>
    <mergeCell ref="H92:H94"/>
    <mergeCell ref="I92:I94"/>
    <mergeCell ref="H83:H90"/>
    <mergeCell ref="I83:I90"/>
    <mergeCell ref="H77:H79"/>
    <mergeCell ref="I77:I79"/>
    <mergeCell ref="I111:I112"/>
    <mergeCell ref="I113:I114"/>
  </mergeCells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24"/>
  <sheetViews>
    <sheetView topLeftCell="A4" zoomScale="93" zoomScaleNormal="93" workbookViewId="0">
      <selection activeCell="B17" sqref="B17"/>
    </sheetView>
  </sheetViews>
  <sheetFormatPr defaultRowHeight="15"/>
  <cols>
    <col min="2" max="2" width="64.140625" customWidth="1"/>
    <col min="3" max="3" width="15.5703125" customWidth="1"/>
    <col min="6" max="6" width="16.140625" customWidth="1"/>
    <col min="7" max="7" width="17.42578125" customWidth="1"/>
    <col min="8" max="8" width="16.85546875" customWidth="1"/>
    <col min="9" max="9" width="26.42578125" customWidth="1"/>
    <col min="10" max="10" width="13.7109375" bestFit="1" customWidth="1"/>
    <col min="11" max="11" width="13.7109375" customWidth="1"/>
    <col min="13" max="13" width="13.140625" customWidth="1"/>
    <col min="14" max="14" width="17.85546875" style="5" customWidth="1"/>
    <col min="15" max="15" width="18.7109375" customWidth="1"/>
    <col min="16" max="16" width="27.5703125" customWidth="1"/>
    <col min="17" max="17" width="14.85546875" customWidth="1"/>
    <col min="18" max="18" width="16.7109375" customWidth="1"/>
    <col min="19" max="19" width="17.7109375" customWidth="1"/>
    <col min="20" max="20" width="25.42578125" customWidth="1"/>
    <col min="21" max="21" width="23.7109375" customWidth="1"/>
  </cols>
  <sheetData>
    <row r="1" spans="1:21">
      <c r="A1" s="1" t="s">
        <v>0</v>
      </c>
      <c r="C1" s="2"/>
      <c r="D1" s="2"/>
      <c r="E1" s="2"/>
      <c r="F1" s="3"/>
      <c r="G1" s="3"/>
      <c r="H1" s="3"/>
    </row>
    <row r="2" spans="1:21" ht="30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9" t="s">
        <v>7</v>
      </c>
      <c r="H2" s="8" t="s">
        <v>8</v>
      </c>
      <c r="I2" s="7" t="s">
        <v>9</v>
      </c>
      <c r="K2" s="246"/>
      <c r="L2" s="4" t="s">
        <v>361</v>
      </c>
      <c r="M2" s="5"/>
      <c r="O2" s="3"/>
    </row>
    <row r="3" spans="1:21" ht="30">
      <c r="A3" s="66">
        <v>44317</v>
      </c>
      <c r="B3" s="40" t="s">
        <v>517</v>
      </c>
      <c r="C3" s="67" t="s">
        <v>510</v>
      </c>
      <c r="D3" s="67">
        <v>100</v>
      </c>
      <c r="E3" s="67" t="s">
        <v>26</v>
      </c>
      <c r="F3" s="65">
        <v>80000</v>
      </c>
      <c r="G3" s="65">
        <f>F3*D3</f>
        <v>8000000</v>
      </c>
      <c r="H3" s="124">
        <f>SUM(G3)</f>
        <v>8000000</v>
      </c>
      <c r="I3" s="60" t="s">
        <v>454</v>
      </c>
      <c r="J3" s="18"/>
      <c r="K3" s="423"/>
      <c r="L3" s="10" t="s">
        <v>10</v>
      </c>
      <c r="M3" s="11" t="s">
        <v>11</v>
      </c>
      <c r="N3" s="6" t="s">
        <v>12</v>
      </c>
      <c r="O3" s="9" t="s">
        <v>13</v>
      </c>
      <c r="P3" s="564" t="s">
        <v>9</v>
      </c>
      <c r="Q3" s="40"/>
      <c r="R3" s="448"/>
      <c r="S3" s="14"/>
    </row>
    <row r="4" spans="1:21">
      <c r="A4" s="416">
        <v>44317</v>
      </c>
      <c r="B4" s="417" t="s">
        <v>518</v>
      </c>
      <c r="C4" s="418" t="s">
        <v>164</v>
      </c>
      <c r="D4" s="418">
        <v>50</v>
      </c>
      <c r="E4" s="418" t="s">
        <v>26</v>
      </c>
      <c r="F4" s="419">
        <v>30000</v>
      </c>
      <c r="G4" s="419">
        <f t="shared" ref="G4:G35" si="0">F4*D4</f>
        <v>1500000</v>
      </c>
      <c r="H4" s="428">
        <f>SUM(G4)</f>
        <v>1500000</v>
      </c>
      <c r="I4" s="429" t="s">
        <v>709</v>
      </c>
      <c r="J4" s="19"/>
      <c r="K4" s="19"/>
      <c r="L4" s="370">
        <v>1</v>
      </c>
      <c r="M4" s="198">
        <v>44278</v>
      </c>
      <c r="N4" s="195" t="s">
        <v>49</v>
      </c>
      <c r="O4" s="200">
        <v>700000</v>
      </c>
      <c r="P4" s="302" t="s">
        <v>749</v>
      </c>
      <c r="Q4" s="579" t="s">
        <v>667</v>
      </c>
      <c r="R4" s="525"/>
      <c r="S4" s="22"/>
    </row>
    <row r="5" spans="1:21">
      <c r="A5" s="66">
        <v>44319</v>
      </c>
      <c r="B5" s="40" t="s">
        <v>519</v>
      </c>
      <c r="C5" s="67" t="s">
        <v>28</v>
      </c>
      <c r="D5" s="67">
        <v>10</v>
      </c>
      <c r="E5" s="67" t="s">
        <v>26</v>
      </c>
      <c r="F5" s="65">
        <v>180000</v>
      </c>
      <c r="G5" s="65">
        <f t="shared" si="0"/>
        <v>1800000</v>
      </c>
      <c r="H5" s="124">
        <f>SUM(G5)</f>
        <v>1800000</v>
      </c>
      <c r="I5" s="60" t="s">
        <v>360</v>
      </c>
      <c r="J5" s="20"/>
      <c r="K5" s="34"/>
      <c r="L5" s="370">
        <v>2</v>
      </c>
      <c r="M5" s="315">
        <v>44274</v>
      </c>
      <c r="N5" s="249" t="s">
        <v>328</v>
      </c>
      <c r="O5" s="324">
        <v>7890000</v>
      </c>
      <c r="P5" s="338" t="s">
        <v>645</v>
      </c>
      <c r="Q5" s="569" t="s">
        <v>667</v>
      </c>
      <c r="R5" s="525"/>
      <c r="S5" s="14"/>
    </row>
    <row r="6" spans="1:21">
      <c r="A6" s="66">
        <v>44319</v>
      </c>
      <c r="B6" s="40" t="s">
        <v>520</v>
      </c>
      <c r="C6" s="67" t="s">
        <v>25</v>
      </c>
      <c r="D6" s="67">
        <v>1</v>
      </c>
      <c r="E6" s="67" t="s">
        <v>26</v>
      </c>
      <c r="F6" s="65">
        <v>0</v>
      </c>
      <c r="G6" s="65">
        <v>0</v>
      </c>
      <c r="H6" s="124"/>
      <c r="I6" s="124"/>
      <c r="J6" s="14"/>
      <c r="K6" s="424"/>
      <c r="L6" s="370">
        <v>3</v>
      </c>
      <c r="M6" s="315">
        <v>44274</v>
      </c>
      <c r="N6" s="249" t="s">
        <v>328</v>
      </c>
      <c r="O6" s="324">
        <v>10335000</v>
      </c>
      <c r="P6" s="338" t="s">
        <v>645</v>
      </c>
      <c r="Q6" s="569" t="s">
        <v>667</v>
      </c>
      <c r="R6" s="525"/>
      <c r="S6" s="34"/>
      <c r="T6" s="246"/>
      <c r="U6" s="246"/>
    </row>
    <row r="7" spans="1:21">
      <c r="A7" s="329">
        <v>44319</v>
      </c>
      <c r="B7" s="330" t="s">
        <v>521</v>
      </c>
      <c r="C7" s="331" t="s">
        <v>33</v>
      </c>
      <c r="D7" s="331">
        <v>5</v>
      </c>
      <c r="E7" s="331" t="s">
        <v>26</v>
      </c>
      <c r="F7" s="332">
        <v>142000</v>
      </c>
      <c r="G7" s="332">
        <f t="shared" si="0"/>
        <v>710000</v>
      </c>
      <c r="H7" s="817">
        <f>SUM(G7:G11)</f>
        <v>5695000</v>
      </c>
      <c r="I7" s="817" t="s">
        <v>454</v>
      </c>
      <c r="J7" s="841" t="s">
        <v>653</v>
      </c>
      <c r="K7" s="424"/>
      <c r="L7" s="370">
        <v>4</v>
      </c>
      <c r="M7" s="61">
        <v>44274</v>
      </c>
      <c r="N7" s="52" t="s">
        <v>164</v>
      </c>
      <c r="O7" s="53">
        <v>6560000</v>
      </c>
      <c r="P7" s="244" t="s">
        <v>508</v>
      </c>
      <c r="Q7" s="569" t="s">
        <v>667</v>
      </c>
      <c r="R7" s="525"/>
      <c r="S7" s="14"/>
    </row>
    <row r="8" spans="1:21">
      <c r="A8" s="329"/>
      <c r="B8" s="330" t="s">
        <v>522</v>
      </c>
      <c r="C8" s="331" t="s">
        <v>33</v>
      </c>
      <c r="D8" s="331">
        <v>20</v>
      </c>
      <c r="E8" s="331" t="s">
        <v>26</v>
      </c>
      <c r="F8" s="332">
        <v>105000</v>
      </c>
      <c r="G8" s="332">
        <f t="shared" si="0"/>
        <v>2100000</v>
      </c>
      <c r="H8" s="818"/>
      <c r="I8" s="818"/>
      <c r="J8" s="841"/>
      <c r="K8" s="424"/>
      <c r="L8" s="370">
        <v>5</v>
      </c>
      <c r="M8" s="315">
        <v>44281</v>
      </c>
      <c r="N8" s="249" t="s">
        <v>328</v>
      </c>
      <c r="O8" s="250">
        <v>2250000</v>
      </c>
      <c r="P8" s="338" t="s">
        <v>645</v>
      </c>
      <c r="Q8" s="569" t="s">
        <v>667</v>
      </c>
      <c r="R8" s="525"/>
      <c r="S8" s="14"/>
    </row>
    <row r="9" spans="1:21">
      <c r="A9" s="330"/>
      <c r="B9" s="330" t="s">
        <v>523</v>
      </c>
      <c r="C9" s="331" t="s">
        <v>33</v>
      </c>
      <c r="D9" s="331">
        <v>12</v>
      </c>
      <c r="E9" s="331" t="s">
        <v>26</v>
      </c>
      <c r="F9" s="332">
        <v>105000</v>
      </c>
      <c r="G9" s="332">
        <f t="shared" si="0"/>
        <v>1260000</v>
      </c>
      <c r="H9" s="818"/>
      <c r="I9" s="818"/>
      <c r="J9" s="841"/>
      <c r="K9" s="424"/>
      <c r="L9" s="370">
        <v>6</v>
      </c>
      <c r="M9" s="61">
        <v>44284</v>
      </c>
      <c r="N9" s="52" t="s">
        <v>164</v>
      </c>
      <c r="O9" s="53">
        <v>0</v>
      </c>
      <c r="P9" s="244" t="s">
        <v>451</v>
      </c>
      <c r="Q9" s="570"/>
      <c r="R9" s="526"/>
      <c r="S9" s="33"/>
    </row>
    <row r="10" spans="1:21">
      <c r="A10" s="334"/>
      <c r="B10" s="330" t="s">
        <v>524</v>
      </c>
      <c r="C10" s="331" t="s">
        <v>33</v>
      </c>
      <c r="D10" s="335">
        <v>5</v>
      </c>
      <c r="E10" s="331" t="s">
        <v>26</v>
      </c>
      <c r="F10" s="332">
        <v>105000</v>
      </c>
      <c r="G10" s="332">
        <f t="shared" si="0"/>
        <v>525000</v>
      </c>
      <c r="H10" s="818"/>
      <c r="I10" s="818"/>
      <c r="J10" s="841"/>
      <c r="K10" s="424"/>
      <c r="L10" s="370">
        <v>7</v>
      </c>
      <c r="M10" s="306">
        <v>44288</v>
      </c>
      <c r="N10" s="307" t="s">
        <v>33</v>
      </c>
      <c r="O10" s="308">
        <v>6425000</v>
      </c>
      <c r="P10" s="875" t="s">
        <v>651</v>
      </c>
      <c r="Q10" s="872" t="s">
        <v>667</v>
      </c>
      <c r="R10" s="526"/>
      <c r="S10" s="34"/>
    </row>
    <row r="11" spans="1:21">
      <c r="A11" s="334"/>
      <c r="B11" s="330" t="s">
        <v>525</v>
      </c>
      <c r="C11" s="331" t="s">
        <v>33</v>
      </c>
      <c r="D11" s="335">
        <v>10</v>
      </c>
      <c r="E11" s="331" t="s">
        <v>26</v>
      </c>
      <c r="F11" s="332">
        <v>110000</v>
      </c>
      <c r="G11" s="332">
        <f t="shared" si="0"/>
        <v>1100000</v>
      </c>
      <c r="H11" s="819"/>
      <c r="I11" s="819"/>
      <c r="J11" s="841"/>
      <c r="K11" s="424"/>
      <c r="L11" s="370">
        <v>8</v>
      </c>
      <c r="M11" s="306">
        <v>44288</v>
      </c>
      <c r="N11" s="307" t="s">
        <v>33</v>
      </c>
      <c r="O11" s="308">
        <v>1180000</v>
      </c>
      <c r="P11" s="876"/>
      <c r="Q11" s="872"/>
      <c r="R11" s="526"/>
      <c r="S11" s="34"/>
      <c r="U11" s="142"/>
    </row>
    <row r="12" spans="1:21">
      <c r="A12" s="201">
        <v>44319</v>
      </c>
      <c r="B12" s="202" t="s">
        <v>702</v>
      </c>
      <c r="C12" s="372" t="s">
        <v>49</v>
      </c>
      <c r="D12" s="204">
        <v>1</v>
      </c>
      <c r="E12" s="372" t="s">
        <v>26</v>
      </c>
      <c r="F12" s="205">
        <v>1250000</v>
      </c>
      <c r="G12" s="373">
        <f t="shared" si="0"/>
        <v>1250000</v>
      </c>
      <c r="H12" s="801">
        <f>SUM(G12:G18)</f>
        <v>20950000</v>
      </c>
      <c r="I12" s="801" t="s">
        <v>454</v>
      </c>
      <c r="J12" s="887" t="s">
        <v>709</v>
      </c>
      <c r="K12" s="424"/>
      <c r="L12" s="370">
        <v>9</v>
      </c>
      <c r="M12" s="306">
        <v>44289</v>
      </c>
      <c r="N12" s="307" t="s">
        <v>33</v>
      </c>
      <c r="O12" s="308">
        <v>1825000</v>
      </c>
      <c r="P12" s="877"/>
      <c r="Q12" s="872"/>
      <c r="R12" s="525"/>
      <c r="S12" s="33"/>
    </row>
    <row r="13" spans="1:21">
      <c r="A13" s="201"/>
      <c r="B13" s="202" t="s">
        <v>526</v>
      </c>
      <c r="C13" s="372" t="s">
        <v>49</v>
      </c>
      <c r="D13" s="204">
        <v>2</v>
      </c>
      <c r="E13" s="372" t="s">
        <v>26</v>
      </c>
      <c r="F13" s="205">
        <v>700000</v>
      </c>
      <c r="G13" s="373">
        <f t="shared" si="0"/>
        <v>1400000</v>
      </c>
      <c r="H13" s="802"/>
      <c r="I13" s="802"/>
      <c r="J13" s="887"/>
      <c r="K13" s="424"/>
      <c r="L13" s="370">
        <v>10</v>
      </c>
      <c r="M13" s="315">
        <v>44289</v>
      </c>
      <c r="N13" s="249" t="s">
        <v>328</v>
      </c>
      <c r="O13" s="250">
        <v>10000000</v>
      </c>
      <c r="P13" s="338" t="s">
        <v>645</v>
      </c>
      <c r="Q13" s="571" t="s">
        <v>667</v>
      </c>
      <c r="R13" s="525"/>
      <c r="S13" s="34"/>
    </row>
    <row r="14" spans="1:21">
      <c r="A14" s="202"/>
      <c r="B14" s="202" t="s">
        <v>527</v>
      </c>
      <c r="C14" s="372" t="s">
        <v>49</v>
      </c>
      <c r="D14" s="204">
        <v>1</v>
      </c>
      <c r="E14" s="372" t="s">
        <v>26</v>
      </c>
      <c r="F14" s="205">
        <v>1500000</v>
      </c>
      <c r="G14" s="373">
        <f t="shared" si="0"/>
        <v>1500000</v>
      </c>
      <c r="H14" s="802"/>
      <c r="I14" s="802"/>
      <c r="J14" s="887"/>
      <c r="K14" s="424"/>
      <c r="L14" s="370">
        <v>11</v>
      </c>
      <c r="M14" s="123">
        <v>44294</v>
      </c>
      <c r="N14" s="122" t="s">
        <v>164</v>
      </c>
      <c r="O14" s="117">
        <v>2100000</v>
      </c>
      <c r="P14" s="311" t="s">
        <v>823</v>
      </c>
      <c r="Q14" s="571" t="s">
        <v>667</v>
      </c>
      <c r="R14" s="525"/>
      <c r="S14" s="34"/>
    </row>
    <row r="15" spans="1:21">
      <c r="A15" s="202"/>
      <c r="B15" s="202" t="s">
        <v>528</v>
      </c>
      <c r="C15" s="372" t="s">
        <v>49</v>
      </c>
      <c r="D15" s="204">
        <v>150</v>
      </c>
      <c r="E15" s="372" t="s">
        <v>26</v>
      </c>
      <c r="F15" s="205">
        <v>40000</v>
      </c>
      <c r="G15" s="373">
        <f t="shared" si="0"/>
        <v>6000000</v>
      </c>
      <c r="H15" s="802"/>
      <c r="I15" s="802"/>
      <c r="J15" s="887"/>
      <c r="K15" s="424"/>
      <c r="L15" s="370">
        <v>12</v>
      </c>
      <c r="M15" s="306">
        <v>44296</v>
      </c>
      <c r="N15" s="307" t="s">
        <v>33</v>
      </c>
      <c r="O15" s="308">
        <v>3425000</v>
      </c>
      <c r="P15" s="339" t="s">
        <v>651</v>
      </c>
      <c r="Q15" s="569" t="s">
        <v>667</v>
      </c>
      <c r="R15" s="525"/>
      <c r="S15" s="14"/>
      <c r="T15" s="142"/>
    </row>
    <row r="16" spans="1:21">
      <c r="A16" s="202"/>
      <c r="B16" s="202" t="s">
        <v>649</v>
      </c>
      <c r="C16" s="372" t="s">
        <v>49</v>
      </c>
      <c r="D16" s="204">
        <v>12</v>
      </c>
      <c r="E16" s="372" t="s">
        <v>26</v>
      </c>
      <c r="F16" s="205">
        <v>300000</v>
      </c>
      <c r="G16" s="373">
        <f t="shared" si="0"/>
        <v>3600000</v>
      </c>
      <c r="H16" s="802"/>
      <c r="I16" s="802"/>
      <c r="J16" s="887"/>
      <c r="K16" s="424"/>
      <c r="L16" s="370">
        <v>13</v>
      </c>
      <c r="M16" s="175">
        <v>44301</v>
      </c>
      <c r="N16" s="174" t="s">
        <v>429</v>
      </c>
      <c r="O16" s="161">
        <v>1875000</v>
      </c>
      <c r="P16" s="493" t="s">
        <v>907</v>
      </c>
      <c r="Q16" s="569" t="s">
        <v>667</v>
      </c>
      <c r="R16" s="426"/>
      <c r="S16" s="14"/>
    </row>
    <row r="17" spans="1:19">
      <c r="A17" s="202"/>
      <c r="B17" s="202" t="s">
        <v>529</v>
      </c>
      <c r="C17" s="372" t="s">
        <v>49</v>
      </c>
      <c r="D17" s="204">
        <v>5</v>
      </c>
      <c r="E17" s="372" t="s">
        <v>26</v>
      </c>
      <c r="F17" s="205">
        <v>450000</v>
      </c>
      <c r="G17" s="373">
        <f t="shared" si="0"/>
        <v>2250000</v>
      </c>
      <c r="H17" s="802"/>
      <c r="I17" s="802"/>
      <c r="J17" s="887"/>
      <c r="K17" s="424"/>
      <c r="L17" s="370">
        <v>14</v>
      </c>
      <c r="M17" s="337">
        <v>44303</v>
      </c>
      <c r="N17" s="331" t="s">
        <v>33</v>
      </c>
      <c r="O17" s="308">
        <v>5125000</v>
      </c>
      <c r="P17" s="878" t="s">
        <v>652</v>
      </c>
      <c r="Q17" s="874" t="s">
        <v>667</v>
      </c>
      <c r="R17" s="426"/>
      <c r="S17" s="36"/>
    </row>
    <row r="18" spans="1:19">
      <c r="A18" s="202"/>
      <c r="B18" s="202" t="s">
        <v>530</v>
      </c>
      <c r="C18" s="372" t="s">
        <v>49</v>
      </c>
      <c r="D18" s="204">
        <v>11</v>
      </c>
      <c r="E18" s="372" t="s">
        <v>26</v>
      </c>
      <c r="F18" s="205">
        <v>450000</v>
      </c>
      <c r="G18" s="373">
        <f t="shared" si="0"/>
        <v>4950000</v>
      </c>
      <c r="H18" s="803"/>
      <c r="I18" s="803"/>
      <c r="J18" s="887"/>
      <c r="K18" s="34"/>
      <c r="L18" s="370">
        <v>15</v>
      </c>
      <c r="M18" s="306">
        <v>44308</v>
      </c>
      <c r="N18" s="307" t="s">
        <v>33</v>
      </c>
      <c r="O18" s="308">
        <v>1890000</v>
      </c>
      <c r="P18" s="879"/>
      <c r="Q18" s="874"/>
      <c r="R18" s="526"/>
      <c r="S18" s="14"/>
    </row>
    <row r="19" spans="1:19">
      <c r="A19" s="121">
        <v>44319</v>
      </c>
      <c r="B19" s="115" t="s">
        <v>531</v>
      </c>
      <c r="C19" s="122" t="s">
        <v>164</v>
      </c>
      <c r="D19" s="116">
        <v>10</v>
      </c>
      <c r="E19" s="418" t="s">
        <v>26</v>
      </c>
      <c r="F19" s="117">
        <v>15000</v>
      </c>
      <c r="G19" s="419">
        <f t="shared" si="0"/>
        <v>150000</v>
      </c>
      <c r="H19" s="860">
        <f>SUM(G19:G30)</f>
        <v>2875000</v>
      </c>
      <c r="I19" s="863" t="s">
        <v>709</v>
      </c>
      <c r="J19" s="14"/>
      <c r="K19" s="34"/>
      <c r="L19" s="370">
        <v>16</v>
      </c>
      <c r="M19" s="388">
        <v>44308</v>
      </c>
      <c r="N19" s="389" t="s">
        <v>18</v>
      </c>
      <c r="O19" s="404">
        <v>6950000</v>
      </c>
      <c r="P19" s="888" t="s">
        <v>851</v>
      </c>
      <c r="Q19" s="873" t="s">
        <v>667</v>
      </c>
      <c r="R19" s="526"/>
      <c r="S19" s="14"/>
    </row>
    <row r="20" spans="1:19">
      <c r="A20" s="115"/>
      <c r="B20" s="115" t="s">
        <v>532</v>
      </c>
      <c r="C20" s="122" t="s">
        <v>164</v>
      </c>
      <c r="D20" s="116">
        <v>5</v>
      </c>
      <c r="E20" s="418" t="s">
        <v>26</v>
      </c>
      <c r="F20" s="117">
        <v>15000</v>
      </c>
      <c r="G20" s="419">
        <f t="shared" si="0"/>
        <v>75000</v>
      </c>
      <c r="H20" s="861"/>
      <c r="I20" s="864"/>
      <c r="J20" s="14"/>
      <c r="K20" s="34"/>
      <c r="L20" s="370">
        <v>17</v>
      </c>
      <c r="M20" s="388">
        <v>44351</v>
      </c>
      <c r="N20" s="389" t="s">
        <v>18</v>
      </c>
      <c r="O20" s="404">
        <v>1500000</v>
      </c>
      <c r="P20" s="889"/>
      <c r="Q20" s="873"/>
      <c r="R20" s="525"/>
      <c r="S20" s="14"/>
    </row>
    <row r="21" spans="1:19">
      <c r="A21" s="115"/>
      <c r="B21" s="115" t="s">
        <v>533</v>
      </c>
      <c r="C21" s="122" t="s">
        <v>164</v>
      </c>
      <c r="D21" s="116">
        <v>5</v>
      </c>
      <c r="E21" s="418" t="s">
        <v>26</v>
      </c>
      <c r="F21" s="117">
        <v>15000</v>
      </c>
      <c r="G21" s="419">
        <f t="shared" si="0"/>
        <v>75000</v>
      </c>
      <c r="H21" s="861"/>
      <c r="I21" s="864"/>
      <c r="J21" s="14"/>
      <c r="K21" s="34"/>
      <c r="L21" s="370">
        <v>18</v>
      </c>
      <c r="M21" s="123">
        <v>44309</v>
      </c>
      <c r="N21" s="122" t="s">
        <v>164</v>
      </c>
      <c r="O21" s="117">
        <v>8835000</v>
      </c>
      <c r="P21" s="311" t="s">
        <v>823</v>
      </c>
      <c r="Q21" s="571" t="s">
        <v>667</v>
      </c>
      <c r="R21" s="525"/>
      <c r="S21" s="14"/>
    </row>
    <row r="22" spans="1:19">
      <c r="A22" s="115"/>
      <c r="B22" s="115" t="s">
        <v>534</v>
      </c>
      <c r="C22" s="122" t="s">
        <v>164</v>
      </c>
      <c r="D22" s="116">
        <v>10</v>
      </c>
      <c r="E22" s="418" t="s">
        <v>26</v>
      </c>
      <c r="F22" s="117">
        <v>15000</v>
      </c>
      <c r="G22" s="117">
        <f t="shared" si="0"/>
        <v>150000</v>
      </c>
      <c r="H22" s="861"/>
      <c r="I22" s="864"/>
      <c r="J22" s="14"/>
      <c r="K22" s="34"/>
      <c r="L22" s="370">
        <v>19</v>
      </c>
      <c r="M22" s="61">
        <v>44310</v>
      </c>
      <c r="N22" s="52" t="s">
        <v>158</v>
      </c>
      <c r="O22" s="53">
        <v>3600000</v>
      </c>
      <c r="P22" s="244" t="s">
        <v>567</v>
      </c>
      <c r="Q22" s="572" t="s">
        <v>667</v>
      </c>
      <c r="R22" s="525"/>
      <c r="S22" s="14"/>
    </row>
    <row r="23" spans="1:19">
      <c r="A23" s="115"/>
      <c r="B23" s="115" t="s">
        <v>535</v>
      </c>
      <c r="C23" s="122" t="s">
        <v>164</v>
      </c>
      <c r="D23" s="116">
        <v>5</v>
      </c>
      <c r="E23" s="418" t="s">
        <v>26</v>
      </c>
      <c r="F23" s="117">
        <v>15000</v>
      </c>
      <c r="G23" s="117">
        <f t="shared" si="0"/>
        <v>75000</v>
      </c>
      <c r="H23" s="861"/>
      <c r="I23" s="864"/>
      <c r="J23" s="14"/>
      <c r="K23" s="34"/>
      <c r="L23" s="370">
        <v>20</v>
      </c>
      <c r="M23" s="287">
        <v>44319</v>
      </c>
      <c r="N23" s="289" t="s">
        <v>28</v>
      </c>
      <c r="O23" s="263">
        <v>1800000</v>
      </c>
      <c r="P23" s="303" t="s">
        <v>567</v>
      </c>
      <c r="Q23" s="572" t="s">
        <v>667</v>
      </c>
      <c r="R23" s="525"/>
      <c r="S23" s="14"/>
    </row>
    <row r="24" spans="1:19">
      <c r="A24" s="115"/>
      <c r="B24" s="115" t="s">
        <v>536</v>
      </c>
      <c r="C24" s="122" t="s">
        <v>164</v>
      </c>
      <c r="D24" s="116">
        <v>5</v>
      </c>
      <c r="E24" s="418" t="s">
        <v>26</v>
      </c>
      <c r="F24" s="117">
        <v>15000</v>
      </c>
      <c r="G24" s="117">
        <f t="shared" si="0"/>
        <v>75000</v>
      </c>
      <c r="H24" s="861"/>
      <c r="I24" s="864"/>
      <c r="J24" s="14"/>
      <c r="K24" s="34"/>
      <c r="L24" s="370">
        <v>21</v>
      </c>
      <c r="M24" s="544">
        <v>44362</v>
      </c>
      <c r="N24" s="535" t="s">
        <v>437</v>
      </c>
      <c r="O24" s="532">
        <v>2700000</v>
      </c>
      <c r="P24" s="556" t="s">
        <v>823</v>
      </c>
      <c r="Q24" s="572" t="s">
        <v>667</v>
      </c>
      <c r="R24" s="426"/>
      <c r="S24" s="36"/>
    </row>
    <row r="25" spans="1:19">
      <c r="A25" s="115"/>
      <c r="B25" s="115" t="s">
        <v>537</v>
      </c>
      <c r="C25" s="122" t="s">
        <v>164</v>
      </c>
      <c r="D25" s="116">
        <v>5</v>
      </c>
      <c r="E25" s="418" t="s">
        <v>26</v>
      </c>
      <c r="F25" s="117">
        <v>15000</v>
      </c>
      <c r="G25" s="117">
        <f t="shared" si="0"/>
        <v>75000</v>
      </c>
      <c r="H25" s="861"/>
      <c r="I25" s="864"/>
      <c r="J25" s="14"/>
      <c r="K25" s="34"/>
      <c r="L25" s="370">
        <v>23</v>
      </c>
      <c r="M25" s="465">
        <v>44313</v>
      </c>
      <c r="N25" s="414" t="s">
        <v>21</v>
      </c>
      <c r="O25" s="273">
        <v>2200000</v>
      </c>
      <c r="P25" s="474" t="s">
        <v>823</v>
      </c>
      <c r="Q25" s="573" t="s">
        <v>667</v>
      </c>
      <c r="R25" s="525"/>
      <c r="S25" s="14"/>
    </row>
    <row r="26" spans="1:19">
      <c r="A26" s="115"/>
      <c r="B26" s="115" t="s">
        <v>538</v>
      </c>
      <c r="C26" s="122" t="s">
        <v>164</v>
      </c>
      <c r="D26" s="116">
        <v>10</v>
      </c>
      <c r="E26" s="418" t="s">
        <v>26</v>
      </c>
      <c r="F26" s="117">
        <v>15000</v>
      </c>
      <c r="G26" s="117">
        <f t="shared" si="0"/>
        <v>150000</v>
      </c>
      <c r="H26" s="861"/>
      <c r="I26" s="864"/>
      <c r="J26" s="14"/>
      <c r="K26" s="34"/>
      <c r="L26" s="370">
        <v>24</v>
      </c>
      <c r="M26" s="552">
        <v>44396</v>
      </c>
      <c r="N26" s="110" t="s">
        <v>97</v>
      </c>
      <c r="O26" s="111">
        <v>10305000</v>
      </c>
      <c r="P26" s="893" t="s">
        <v>1051</v>
      </c>
      <c r="Q26" s="16"/>
      <c r="R26" s="525"/>
      <c r="S26" s="14"/>
    </row>
    <row r="27" spans="1:19">
      <c r="A27" s="115"/>
      <c r="B27" s="115" t="s">
        <v>539</v>
      </c>
      <c r="C27" s="122" t="s">
        <v>164</v>
      </c>
      <c r="D27" s="116">
        <v>5</v>
      </c>
      <c r="E27" s="418" t="s">
        <v>26</v>
      </c>
      <c r="F27" s="117">
        <v>15000</v>
      </c>
      <c r="G27" s="117">
        <f t="shared" si="0"/>
        <v>75000</v>
      </c>
      <c r="H27" s="861"/>
      <c r="I27" s="864"/>
      <c r="J27" s="14"/>
      <c r="K27" s="34"/>
      <c r="L27" s="370">
        <v>25</v>
      </c>
      <c r="M27" s="552">
        <v>44404</v>
      </c>
      <c r="N27" s="110" t="s">
        <v>97</v>
      </c>
      <c r="O27" s="111">
        <v>2975000</v>
      </c>
      <c r="P27" s="894"/>
      <c r="Q27" s="16"/>
      <c r="R27" s="525"/>
      <c r="S27" s="36"/>
    </row>
    <row r="28" spans="1:19">
      <c r="A28" s="115"/>
      <c r="B28" s="115" t="s">
        <v>540</v>
      </c>
      <c r="C28" s="122" t="s">
        <v>164</v>
      </c>
      <c r="D28" s="116">
        <v>5</v>
      </c>
      <c r="E28" s="418" t="s">
        <v>26</v>
      </c>
      <c r="F28" s="117">
        <v>15000</v>
      </c>
      <c r="G28" s="117">
        <f t="shared" si="0"/>
        <v>75000</v>
      </c>
      <c r="H28" s="861"/>
      <c r="I28" s="864"/>
      <c r="J28" s="14"/>
      <c r="K28" s="34"/>
      <c r="L28" s="370">
        <v>26</v>
      </c>
      <c r="M28" s="371">
        <v>44442</v>
      </c>
      <c r="N28" s="203" t="s">
        <v>60</v>
      </c>
      <c r="O28" s="205">
        <v>19800000</v>
      </c>
      <c r="P28" s="202" t="s">
        <v>1094</v>
      </c>
      <c r="Q28" s="16"/>
      <c r="R28" s="427"/>
      <c r="S28" s="14"/>
    </row>
    <row r="29" spans="1:19">
      <c r="A29" s="115"/>
      <c r="B29" s="115" t="s">
        <v>541</v>
      </c>
      <c r="C29" s="122" t="s">
        <v>164</v>
      </c>
      <c r="D29" s="116">
        <v>10</v>
      </c>
      <c r="E29" s="418" t="s">
        <v>26</v>
      </c>
      <c r="F29" s="117">
        <v>95000</v>
      </c>
      <c r="G29" s="117">
        <f t="shared" si="0"/>
        <v>950000</v>
      </c>
      <c r="H29" s="861"/>
      <c r="I29" s="864"/>
      <c r="J29" s="14"/>
      <c r="K29" s="34"/>
      <c r="L29" s="370">
        <v>27</v>
      </c>
      <c r="M29" s="490">
        <v>44434</v>
      </c>
      <c r="N29" s="486" t="s">
        <v>811</v>
      </c>
      <c r="O29" s="488">
        <v>3600000</v>
      </c>
      <c r="P29" s="481" t="s">
        <v>1058</v>
      </c>
      <c r="Q29" s="251"/>
      <c r="R29" s="14"/>
    </row>
    <row r="30" spans="1:19">
      <c r="A30" s="115"/>
      <c r="B30" s="115" t="s">
        <v>542</v>
      </c>
      <c r="C30" s="122" t="s">
        <v>164</v>
      </c>
      <c r="D30" s="116">
        <v>10</v>
      </c>
      <c r="E30" s="418" t="s">
        <v>26</v>
      </c>
      <c r="F30" s="117">
        <v>95000</v>
      </c>
      <c r="G30" s="117">
        <f t="shared" si="0"/>
        <v>950000</v>
      </c>
      <c r="H30" s="862"/>
      <c r="I30" s="865"/>
      <c r="J30" s="14"/>
      <c r="K30" s="34"/>
      <c r="L30" s="14"/>
      <c r="M30" s="39"/>
      <c r="N30" s="506"/>
      <c r="O30" s="506"/>
      <c r="P30" s="14"/>
      <c r="Q30" s="34"/>
    </row>
    <row r="31" spans="1:19">
      <c r="A31" s="23">
        <v>44319</v>
      </c>
      <c r="B31" s="21" t="s">
        <v>545</v>
      </c>
      <c r="C31" s="25" t="s">
        <v>60</v>
      </c>
      <c r="D31" s="41">
        <v>1</v>
      </c>
      <c r="E31" s="41" t="s">
        <v>546</v>
      </c>
      <c r="F31" s="24">
        <v>0</v>
      </c>
      <c r="G31" s="24">
        <f t="shared" si="0"/>
        <v>0</v>
      </c>
      <c r="H31" s="24" t="s">
        <v>205</v>
      </c>
      <c r="I31" s="21" t="s">
        <v>205</v>
      </c>
      <c r="J31" s="14"/>
      <c r="K31" s="246"/>
      <c r="L31" s="14"/>
      <c r="M31" s="39"/>
      <c r="N31" s="145" t="s">
        <v>883</v>
      </c>
      <c r="O31" s="565">
        <f>SUM(O4:O30)</f>
        <v>125845000</v>
      </c>
      <c r="P31" s="14"/>
      <c r="Q31" s="14"/>
    </row>
    <row r="32" spans="1:19">
      <c r="A32" s="80">
        <v>44322</v>
      </c>
      <c r="B32" s="81" t="s">
        <v>547</v>
      </c>
      <c r="C32" s="234" t="s">
        <v>18</v>
      </c>
      <c r="D32" s="82">
        <v>3</v>
      </c>
      <c r="E32" s="82" t="s">
        <v>26</v>
      </c>
      <c r="F32" s="235">
        <v>375000</v>
      </c>
      <c r="G32" s="235">
        <f t="shared" si="0"/>
        <v>1125000</v>
      </c>
      <c r="H32" s="757">
        <f>SUM(G32:G35)</f>
        <v>3750000</v>
      </c>
      <c r="I32" s="869" t="s">
        <v>552</v>
      </c>
      <c r="J32" s="236"/>
      <c r="K32" s="246"/>
      <c r="L32" s="14"/>
      <c r="M32" s="39"/>
      <c r="N32" s="145"/>
      <c r="O32" s="565"/>
      <c r="P32" s="14"/>
      <c r="Q32" s="14"/>
    </row>
    <row r="33" spans="1:19">
      <c r="A33" s="81"/>
      <c r="B33" s="81" t="s">
        <v>548</v>
      </c>
      <c r="C33" s="234" t="s">
        <v>18</v>
      </c>
      <c r="D33" s="82">
        <v>3</v>
      </c>
      <c r="E33" s="82" t="s">
        <v>26</v>
      </c>
      <c r="F33" s="235">
        <v>375000</v>
      </c>
      <c r="G33" s="235">
        <f t="shared" si="0"/>
        <v>1125000</v>
      </c>
      <c r="H33" s="758"/>
      <c r="I33" s="870"/>
      <c r="J33" s="236"/>
      <c r="K33" s="246"/>
      <c r="L33" s="14"/>
      <c r="M33" s="39"/>
      <c r="N33" s="145" t="s">
        <v>935</v>
      </c>
      <c r="O33" s="566">
        <f>O25+O24+O23+O21+O20+O19+O17+O16+O15+O14+O13+O12+O11+O10+O8+O7+O6+O5+O4+O18+O22</f>
        <v>89165000</v>
      </c>
      <c r="P33" s="147"/>
      <c r="Q33" s="142"/>
    </row>
    <row r="34" spans="1:19">
      <c r="A34" s="81"/>
      <c r="B34" s="81" t="s">
        <v>426</v>
      </c>
      <c r="C34" s="234" t="s">
        <v>18</v>
      </c>
      <c r="D34" s="82">
        <v>2</v>
      </c>
      <c r="E34" s="82" t="s">
        <v>26</v>
      </c>
      <c r="F34" s="235">
        <v>375000</v>
      </c>
      <c r="G34" s="235">
        <f t="shared" si="0"/>
        <v>750000</v>
      </c>
      <c r="H34" s="758"/>
      <c r="I34" s="870"/>
      <c r="J34" s="236"/>
      <c r="K34" s="246"/>
      <c r="L34" s="14"/>
      <c r="M34" s="39"/>
      <c r="N34" s="145" t="s">
        <v>1056</v>
      </c>
      <c r="O34" s="566">
        <f>O5+O6+O7+O8+O10+O11+O12+O15+O16+O17+O18</f>
        <v>48780000</v>
      </c>
      <c r="P34" s="574" t="s">
        <v>667</v>
      </c>
      <c r="R34" s="502"/>
      <c r="S34" s="502"/>
    </row>
    <row r="35" spans="1:19">
      <c r="A35" s="81"/>
      <c r="B35" s="81" t="s">
        <v>549</v>
      </c>
      <c r="C35" s="234" t="s">
        <v>18</v>
      </c>
      <c r="D35" s="82">
        <v>2</v>
      </c>
      <c r="E35" s="82" t="s">
        <v>26</v>
      </c>
      <c r="F35" s="235">
        <v>375000</v>
      </c>
      <c r="G35" s="235">
        <f t="shared" si="0"/>
        <v>750000</v>
      </c>
      <c r="H35" s="759"/>
      <c r="I35" s="871"/>
      <c r="J35" s="236"/>
      <c r="K35" s="246"/>
      <c r="L35" s="14"/>
      <c r="M35" s="39"/>
      <c r="N35" s="145" t="s">
        <v>1057</v>
      </c>
      <c r="O35" s="566">
        <f>O4+O13+O14+O19+O20+O21</f>
        <v>30085000</v>
      </c>
      <c r="P35" s="575" t="s">
        <v>667</v>
      </c>
      <c r="R35" s="502"/>
      <c r="S35" s="142"/>
    </row>
    <row r="36" spans="1:19">
      <c r="A36" s="66">
        <v>44327</v>
      </c>
      <c r="B36" s="40" t="s">
        <v>550</v>
      </c>
      <c r="C36" s="67" t="s">
        <v>60</v>
      </c>
      <c r="D36" s="67">
        <v>1</v>
      </c>
      <c r="E36" s="67" t="s">
        <v>546</v>
      </c>
      <c r="F36" s="213">
        <v>0</v>
      </c>
      <c r="G36" s="65">
        <v>0</v>
      </c>
      <c r="H36" s="65">
        <v>0</v>
      </c>
      <c r="I36" s="40" t="s">
        <v>205</v>
      </c>
      <c r="K36" s="246"/>
      <c r="L36" s="14"/>
      <c r="M36" s="39"/>
      <c r="N36" s="5" t="s">
        <v>1095</v>
      </c>
      <c r="O36" s="142">
        <f>O22+O23+O24+O25</f>
        <v>10300000</v>
      </c>
      <c r="P36" s="580" t="s">
        <v>667</v>
      </c>
      <c r="R36" s="142"/>
    </row>
    <row r="37" spans="1:19">
      <c r="A37" s="477">
        <v>44335</v>
      </c>
      <c r="B37" s="478" t="s">
        <v>561</v>
      </c>
      <c r="C37" s="479" t="s">
        <v>33</v>
      </c>
      <c r="D37" s="479">
        <v>1</v>
      </c>
      <c r="E37" s="479" t="s">
        <v>134</v>
      </c>
      <c r="F37" s="480">
        <v>550000</v>
      </c>
      <c r="G37" s="480">
        <f>SUM(F37*D37)</f>
        <v>550000</v>
      </c>
      <c r="H37" s="866">
        <f>SUM(G37:G40)</f>
        <v>2200000</v>
      </c>
      <c r="I37" s="890" t="s">
        <v>454</v>
      </c>
      <c r="K37" s="246"/>
      <c r="M37" s="39"/>
      <c r="N37" s="145" t="s">
        <v>915</v>
      </c>
      <c r="O37" s="566">
        <f>O29+O27+O26+O28</f>
        <v>36680000</v>
      </c>
      <c r="R37" s="142"/>
      <c r="S37" s="142"/>
    </row>
    <row r="38" spans="1:19">
      <c r="A38" s="478"/>
      <c r="B38" s="478" t="s">
        <v>562</v>
      </c>
      <c r="C38" s="479" t="s">
        <v>33</v>
      </c>
      <c r="D38" s="479">
        <v>1</v>
      </c>
      <c r="E38" s="479" t="s">
        <v>134</v>
      </c>
      <c r="F38" s="480">
        <v>550000</v>
      </c>
      <c r="G38" s="480">
        <f t="shared" ref="G38:G62" si="1">SUM(F38*D38)</f>
        <v>550000</v>
      </c>
      <c r="H38" s="867"/>
      <c r="I38" s="891"/>
      <c r="K38" s="246"/>
      <c r="N38" s="567"/>
      <c r="O38" s="568"/>
      <c r="P38" s="576"/>
    </row>
    <row r="39" spans="1:19">
      <c r="A39" s="478"/>
      <c r="B39" s="478" t="s">
        <v>563</v>
      </c>
      <c r="C39" s="479" t="s">
        <v>33</v>
      </c>
      <c r="D39" s="479">
        <v>1</v>
      </c>
      <c r="E39" s="479" t="s">
        <v>134</v>
      </c>
      <c r="F39" s="480">
        <v>550000</v>
      </c>
      <c r="G39" s="480">
        <f t="shared" si="1"/>
        <v>550000</v>
      </c>
      <c r="H39" s="867"/>
      <c r="I39" s="891"/>
      <c r="K39" s="246"/>
      <c r="N39" s="577"/>
      <c r="O39" s="568"/>
    </row>
    <row r="40" spans="1:19">
      <c r="A40" s="478"/>
      <c r="B40" s="478" t="s">
        <v>564</v>
      </c>
      <c r="C40" s="479" t="s">
        <v>33</v>
      </c>
      <c r="D40" s="479">
        <v>1</v>
      </c>
      <c r="E40" s="479" t="s">
        <v>134</v>
      </c>
      <c r="F40" s="480">
        <v>550000</v>
      </c>
      <c r="G40" s="480">
        <f t="shared" si="1"/>
        <v>550000</v>
      </c>
      <c r="H40" s="868"/>
      <c r="I40" s="892"/>
      <c r="K40" s="246"/>
      <c r="N40"/>
    </row>
    <row r="41" spans="1:19">
      <c r="A41" s="66">
        <v>44340</v>
      </c>
      <c r="B41" s="40" t="s">
        <v>568</v>
      </c>
      <c r="C41" s="7" t="s">
        <v>60</v>
      </c>
      <c r="D41" s="7">
        <v>1</v>
      </c>
      <c r="E41" s="7" t="s">
        <v>546</v>
      </c>
      <c r="F41" s="65">
        <v>0</v>
      </c>
      <c r="G41" s="65">
        <f t="shared" si="1"/>
        <v>0</v>
      </c>
      <c r="H41" s="715" t="s">
        <v>205</v>
      </c>
      <c r="I41" s="808" t="s">
        <v>205</v>
      </c>
      <c r="K41" s="246"/>
      <c r="N41"/>
    </row>
    <row r="42" spans="1:19">
      <c r="A42" s="40"/>
      <c r="B42" s="40" t="s">
        <v>569</v>
      </c>
      <c r="C42" s="7" t="s">
        <v>60</v>
      </c>
      <c r="D42" s="7">
        <v>1</v>
      </c>
      <c r="E42" s="7" t="s">
        <v>546</v>
      </c>
      <c r="F42" s="65">
        <v>0</v>
      </c>
      <c r="G42" s="65">
        <f t="shared" si="1"/>
        <v>0</v>
      </c>
      <c r="H42" s="807"/>
      <c r="I42" s="809"/>
      <c r="K42" s="246"/>
      <c r="N42"/>
    </row>
    <row r="43" spans="1:19">
      <c r="A43" s="40"/>
      <c r="B43" s="40" t="s">
        <v>570</v>
      </c>
      <c r="C43" s="7" t="s">
        <v>60</v>
      </c>
      <c r="D43" s="7">
        <v>1</v>
      </c>
      <c r="E43" s="7" t="s">
        <v>546</v>
      </c>
      <c r="F43" s="65">
        <v>0</v>
      </c>
      <c r="G43" s="65">
        <f t="shared" si="1"/>
        <v>0</v>
      </c>
      <c r="H43" s="807"/>
      <c r="I43" s="809"/>
      <c r="K43" s="246"/>
      <c r="N43"/>
    </row>
    <row r="44" spans="1:19">
      <c r="A44" s="40"/>
      <c r="B44" s="40" t="s">
        <v>571</v>
      </c>
      <c r="C44" s="7" t="s">
        <v>60</v>
      </c>
      <c r="D44" s="7">
        <v>1</v>
      </c>
      <c r="E44" s="7" t="s">
        <v>546</v>
      </c>
      <c r="F44" s="65">
        <v>0</v>
      </c>
      <c r="G44" s="65">
        <f t="shared" si="1"/>
        <v>0</v>
      </c>
      <c r="H44" s="716"/>
      <c r="I44" s="810"/>
      <c r="K44" s="246"/>
      <c r="N44"/>
    </row>
    <row r="45" spans="1:19">
      <c r="A45" s="66">
        <v>44343</v>
      </c>
      <c r="B45" s="40" t="s">
        <v>574</v>
      </c>
      <c r="C45" s="7" t="s">
        <v>161</v>
      </c>
      <c r="D45" s="7">
        <v>30</v>
      </c>
      <c r="E45" s="7" t="s">
        <v>26</v>
      </c>
      <c r="F45" s="65">
        <v>320000</v>
      </c>
      <c r="G45" s="65">
        <f t="shared" si="1"/>
        <v>9600000</v>
      </c>
      <c r="H45" s="65">
        <f>SUM(G45)</f>
        <v>9600000</v>
      </c>
      <c r="I45" s="40" t="s">
        <v>576</v>
      </c>
      <c r="K45" s="426"/>
      <c r="N45"/>
    </row>
    <row r="46" spans="1:19">
      <c r="A46" s="292">
        <v>44343</v>
      </c>
      <c r="B46" s="259" t="s">
        <v>425</v>
      </c>
      <c r="C46" s="261" t="s">
        <v>18</v>
      </c>
      <c r="D46" s="261">
        <v>3</v>
      </c>
      <c r="E46" s="261" t="s">
        <v>26</v>
      </c>
      <c r="F46" s="262">
        <v>375000</v>
      </c>
      <c r="G46" s="262">
        <f t="shared" si="1"/>
        <v>1125000</v>
      </c>
      <c r="H46" s="745">
        <f>SUM(G46:G50)</f>
        <v>3750000</v>
      </c>
      <c r="I46" s="748" t="s">
        <v>577</v>
      </c>
      <c r="J46" s="856" t="s">
        <v>614</v>
      </c>
      <c r="K46" s="426"/>
      <c r="N46"/>
    </row>
    <row r="47" spans="1:19">
      <c r="A47" s="259"/>
      <c r="B47" s="259" t="s">
        <v>548</v>
      </c>
      <c r="C47" s="261" t="s">
        <v>18</v>
      </c>
      <c r="D47" s="261">
        <v>1</v>
      </c>
      <c r="E47" s="261" t="s">
        <v>26</v>
      </c>
      <c r="F47" s="262">
        <v>375000</v>
      </c>
      <c r="G47" s="262">
        <f t="shared" si="1"/>
        <v>375000</v>
      </c>
      <c r="H47" s="746"/>
      <c r="I47" s="749"/>
      <c r="J47" s="856"/>
      <c r="K47" s="426"/>
      <c r="N47"/>
    </row>
    <row r="48" spans="1:19">
      <c r="A48" s="259"/>
      <c r="B48" s="259" t="s">
        <v>575</v>
      </c>
      <c r="C48" s="261" t="s">
        <v>18</v>
      </c>
      <c r="D48" s="261">
        <v>1</v>
      </c>
      <c r="E48" s="261" t="s">
        <v>26</v>
      </c>
      <c r="F48" s="262">
        <v>375000</v>
      </c>
      <c r="G48" s="262">
        <f t="shared" si="1"/>
        <v>375000</v>
      </c>
      <c r="H48" s="746"/>
      <c r="I48" s="749"/>
      <c r="J48" s="856"/>
      <c r="K48" s="426"/>
      <c r="N48"/>
    </row>
    <row r="49" spans="1:14">
      <c r="A49" s="259"/>
      <c r="B49" s="259" t="s">
        <v>426</v>
      </c>
      <c r="C49" s="261" t="s">
        <v>18</v>
      </c>
      <c r="D49" s="261">
        <v>3</v>
      </c>
      <c r="E49" s="261" t="s">
        <v>26</v>
      </c>
      <c r="F49" s="262">
        <v>375000</v>
      </c>
      <c r="G49" s="262">
        <f t="shared" si="1"/>
        <v>1125000</v>
      </c>
      <c r="H49" s="746"/>
      <c r="I49" s="749"/>
      <c r="J49" s="856"/>
      <c r="K49" s="426"/>
      <c r="N49"/>
    </row>
    <row r="50" spans="1:14">
      <c r="A50" s="259"/>
      <c r="B50" s="259" t="s">
        <v>549</v>
      </c>
      <c r="C50" s="261" t="s">
        <v>18</v>
      </c>
      <c r="D50" s="261">
        <v>2</v>
      </c>
      <c r="E50" s="261" t="s">
        <v>26</v>
      </c>
      <c r="F50" s="262">
        <v>375000</v>
      </c>
      <c r="G50" s="262">
        <f t="shared" si="1"/>
        <v>750000</v>
      </c>
      <c r="H50" s="747"/>
      <c r="I50" s="750"/>
      <c r="J50" s="856"/>
      <c r="K50" s="246"/>
      <c r="N50"/>
    </row>
    <row r="51" spans="1:14">
      <c r="A51" s="477">
        <v>44343</v>
      </c>
      <c r="B51" s="478" t="s">
        <v>579</v>
      </c>
      <c r="C51" s="482" t="s">
        <v>33</v>
      </c>
      <c r="D51" s="482">
        <v>5</v>
      </c>
      <c r="E51" s="479" t="s">
        <v>26</v>
      </c>
      <c r="F51" s="480">
        <v>140000</v>
      </c>
      <c r="G51" s="480">
        <f t="shared" si="1"/>
        <v>700000</v>
      </c>
      <c r="H51" s="866">
        <f>SUM(G51:G52)</f>
        <v>1500000</v>
      </c>
      <c r="I51" s="883" t="s">
        <v>454</v>
      </c>
      <c r="K51" s="246"/>
      <c r="N51"/>
    </row>
    <row r="52" spans="1:14">
      <c r="A52" s="478"/>
      <c r="B52" s="478" t="s">
        <v>580</v>
      </c>
      <c r="C52" s="482" t="s">
        <v>33</v>
      </c>
      <c r="D52" s="482">
        <v>5</v>
      </c>
      <c r="E52" s="479" t="s">
        <v>26</v>
      </c>
      <c r="F52" s="480">
        <v>160000</v>
      </c>
      <c r="G52" s="480">
        <f t="shared" si="1"/>
        <v>800000</v>
      </c>
      <c r="H52" s="868"/>
      <c r="I52" s="884"/>
      <c r="K52" s="246"/>
      <c r="N52"/>
    </row>
    <row r="53" spans="1:14">
      <c r="A53" s="66">
        <v>44343</v>
      </c>
      <c r="B53" s="40" t="s">
        <v>581</v>
      </c>
      <c r="C53" s="67" t="s">
        <v>33</v>
      </c>
      <c r="D53" s="67">
        <v>1</v>
      </c>
      <c r="E53" s="67" t="s">
        <v>134</v>
      </c>
      <c r="F53" s="65">
        <v>550000</v>
      </c>
      <c r="G53" s="65">
        <f t="shared" si="1"/>
        <v>550000</v>
      </c>
      <c r="H53" s="885">
        <f>SUM(G53:G54)</f>
        <v>1100000</v>
      </c>
      <c r="I53" s="773" t="s">
        <v>454</v>
      </c>
      <c r="K53" s="246"/>
      <c r="N53"/>
    </row>
    <row r="54" spans="1:14">
      <c r="A54" s="40"/>
      <c r="B54" s="40" t="s">
        <v>582</v>
      </c>
      <c r="C54" s="67" t="s">
        <v>33</v>
      </c>
      <c r="D54" s="67">
        <v>1</v>
      </c>
      <c r="E54" s="67" t="s">
        <v>134</v>
      </c>
      <c r="F54" s="65">
        <v>550000</v>
      </c>
      <c r="G54" s="65">
        <f t="shared" si="1"/>
        <v>550000</v>
      </c>
      <c r="H54" s="886"/>
      <c r="I54" s="774"/>
      <c r="K54" s="246"/>
      <c r="N54"/>
    </row>
    <row r="55" spans="1:14">
      <c r="A55" s="416">
        <v>44344</v>
      </c>
      <c r="B55" s="417" t="s">
        <v>583</v>
      </c>
      <c r="C55" s="430" t="s">
        <v>164</v>
      </c>
      <c r="D55" s="430">
        <v>2</v>
      </c>
      <c r="E55" s="430" t="s">
        <v>26</v>
      </c>
      <c r="F55" s="419">
        <v>740000</v>
      </c>
      <c r="G55" s="419">
        <f t="shared" si="1"/>
        <v>1480000</v>
      </c>
      <c r="H55" s="798">
        <f>SUM(G55:G57)</f>
        <v>5940000</v>
      </c>
      <c r="I55" s="857" t="s">
        <v>711</v>
      </c>
      <c r="K55" s="246"/>
      <c r="N55"/>
    </row>
    <row r="56" spans="1:14">
      <c r="A56" s="417"/>
      <c r="B56" s="417" t="s">
        <v>585</v>
      </c>
      <c r="C56" s="430" t="s">
        <v>164</v>
      </c>
      <c r="D56" s="430">
        <v>4</v>
      </c>
      <c r="E56" s="430" t="s">
        <v>26</v>
      </c>
      <c r="F56" s="419">
        <v>740000</v>
      </c>
      <c r="G56" s="419">
        <f t="shared" si="1"/>
        <v>2960000</v>
      </c>
      <c r="H56" s="811"/>
      <c r="I56" s="858"/>
      <c r="K56" s="246"/>
      <c r="N56"/>
    </row>
    <row r="57" spans="1:14">
      <c r="A57" s="417"/>
      <c r="B57" s="417" t="s">
        <v>584</v>
      </c>
      <c r="C57" s="430" t="s">
        <v>164</v>
      </c>
      <c r="D57" s="430">
        <v>10</v>
      </c>
      <c r="E57" s="430" t="s">
        <v>26</v>
      </c>
      <c r="F57" s="419">
        <v>150000</v>
      </c>
      <c r="G57" s="419">
        <f t="shared" si="1"/>
        <v>1500000</v>
      </c>
      <c r="H57" s="799"/>
      <c r="I57" s="859"/>
      <c r="K57" s="497"/>
      <c r="N57"/>
    </row>
    <row r="58" spans="1:14">
      <c r="A58" s="374">
        <v>44344</v>
      </c>
      <c r="B58" s="375" t="s">
        <v>586</v>
      </c>
      <c r="C58" s="376" t="s">
        <v>49</v>
      </c>
      <c r="D58" s="376">
        <v>55</v>
      </c>
      <c r="E58" s="376" t="s">
        <v>26</v>
      </c>
      <c r="F58" s="373">
        <v>120000</v>
      </c>
      <c r="G58" s="373">
        <f t="shared" si="1"/>
        <v>6600000</v>
      </c>
      <c r="H58" s="801">
        <f>SUM(G58:G65)</f>
        <v>15782500</v>
      </c>
      <c r="I58" s="880" t="s">
        <v>576</v>
      </c>
      <c r="J58" s="381">
        <f>SUM(H58:H68)</f>
        <v>17507500</v>
      </c>
      <c r="K58" s="426"/>
      <c r="N58"/>
    </row>
    <row r="59" spans="1:14">
      <c r="A59" s="375"/>
      <c r="B59" s="375" t="s">
        <v>587</v>
      </c>
      <c r="C59" s="376" t="s">
        <v>49</v>
      </c>
      <c r="D59" s="376">
        <v>5</v>
      </c>
      <c r="E59" s="376" t="s">
        <v>26</v>
      </c>
      <c r="F59" s="373">
        <v>120000</v>
      </c>
      <c r="G59" s="373">
        <f t="shared" si="1"/>
        <v>600000</v>
      </c>
      <c r="H59" s="802"/>
      <c r="I59" s="881"/>
      <c r="J59" s="856" t="s">
        <v>711</v>
      </c>
      <c r="K59" s="426"/>
      <c r="N59"/>
    </row>
    <row r="60" spans="1:14">
      <c r="A60" s="375"/>
      <c r="B60" s="375" t="s">
        <v>187</v>
      </c>
      <c r="C60" s="376" t="s">
        <v>49</v>
      </c>
      <c r="D60" s="376">
        <v>20</v>
      </c>
      <c r="E60" s="376" t="s">
        <v>26</v>
      </c>
      <c r="F60" s="373">
        <v>95000</v>
      </c>
      <c r="G60" s="373">
        <f t="shared" si="1"/>
        <v>1900000</v>
      </c>
      <c r="H60" s="802"/>
      <c r="I60" s="881"/>
      <c r="J60" s="856"/>
      <c r="K60" s="426"/>
      <c r="N60"/>
    </row>
    <row r="61" spans="1:14">
      <c r="A61" s="375"/>
      <c r="B61" s="375" t="s">
        <v>588</v>
      </c>
      <c r="C61" s="376" t="s">
        <v>49</v>
      </c>
      <c r="D61" s="376">
        <v>15</v>
      </c>
      <c r="E61" s="376" t="s">
        <v>26</v>
      </c>
      <c r="F61" s="373">
        <v>95000</v>
      </c>
      <c r="G61" s="373">
        <f t="shared" si="1"/>
        <v>1425000</v>
      </c>
      <c r="H61" s="802"/>
      <c r="I61" s="881"/>
      <c r="J61" s="856"/>
      <c r="K61" s="426"/>
      <c r="N61"/>
    </row>
    <row r="62" spans="1:14">
      <c r="A62" s="375"/>
      <c r="B62" s="375" t="s">
        <v>181</v>
      </c>
      <c r="C62" s="376" t="s">
        <v>49</v>
      </c>
      <c r="D62" s="376">
        <v>20</v>
      </c>
      <c r="E62" s="376" t="s">
        <v>26</v>
      </c>
      <c r="F62" s="373">
        <v>85000</v>
      </c>
      <c r="G62" s="373">
        <f t="shared" si="1"/>
        <v>1700000</v>
      </c>
      <c r="H62" s="802"/>
      <c r="I62" s="881"/>
      <c r="J62" s="856"/>
      <c r="K62" s="496"/>
    </row>
    <row r="63" spans="1:14">
      <c r="A63" s="375"/>
      <c r="B63" s="375" t="s">
        <v>589</v>
      </c>
      <c r="C63" s="376" t="s">
        <v>49</v>
      </c>
      <c r="D63" s="376">
        <v>20</v>
      </c>
      <c r="E63" s="376" t="s">
        <v>26</v>
      </c>
      <c r="F63" s="373">
        <v>45000</v>
      </c>
      <c r="G63" s="373">
        <f t="shared" ref="G63:G71" si="2">SUM(F63*D63)</f>
        <v>900000</v>
      </c>
      <c r="H63" s="802"/>
      <c r="I63" s="881"/>
      <c r="J63" s="856"/>
      <c r="K63" s="496"/>
    </row>
    <row r="64" spans="1:14">
      <c r="A64" s="375"/>
      <c r="B64" s="375" t="s">
        <v>591</v>
      </c>
      <c r="C64" s="376" t="s">
        <v>49</v>
      </c>
      <c r="D64" s="376">
        <v>5</v>
      </c>
      <c r="E64" s="376" t="s">
        <v>26</v>
      </c>
      <c r="F64" s="373">
        <v>27500</v>
      </c>
      <c r="G64" s="373">
        <f t="shared" si="2"/>
        <v>137500</v>
      </c>
      <c r="H64" s="802"/>
      <c r="I64" s="881"/>
      <c r="J64" s="856"/>
      <c r="K64" s="496"/>
    </row>
    <row r="65" spans="1:14">
      <c r="A65" s="375"/>
      <c r="B65" s="375" t="s">
        <v>592</v>
      </c>
      <c r="C65" s="376" t="s">
        <v>49</v>
      </c>
      <c r="D65" s="376">
        <v>3</v>
      </c>
      <c r="E65" s="376" t="s">
        <v>26</v>
      </c>
      <c r="F65" s="373">
        <v>840000</v>
      </c>
      <c r="G65" s="373">
        <f t="shared" si="2"/>
        <v>2520000</v>
      </c>
      <c r="H65" s="803"/>
      <c r="I65" s="882"/>
      <c r="J65" s="856"/>
    </row>
    <row r="66" spans="1:14">
      <c r="A66" s="374">
        <v>44344</v>
      </c>
      <c r="B66" s="375" t="s">
        <v>593</v>
      </c>
      <c r="C66" s="376" t="s">
        <v>49</v>
      </c>
      <c r="D66" s="376">
        <v>1</v>
      </c>
      <c r="E66" s="376" t="s">
        <v>26</v>
      </c>
      <c r="F66" s="373">
        <v>1250000</v>
      </c>
      <c r="G66" s="373">
        <f t="shared" si="2"/>
        <v>1250000</v>
      </c>
      <c r="H66" s="801">
        <f>SUM(G66:G68)</f>
        <v>1725000</v>
      </c>
      <c r="I66" s="880" t="s">
        <v>576</v>
      </c>
    </row>
    <row r="67" spans="1:14">
      <c r="A67" s="375"/>
      <c r="B67" s="375" t="s">
        <v>590</v>
      </c>
      <c r="C67" s="376" t="s">
        <v>49</v>
      </c>
      <c r="D67" s="376">
        <v>11</v>
      </c>
      <c r="E67" s="376" t="s">
        <v>26</v>
      </c>
      <c r="F67" s="373">
        <v>0</v>
      </c>
      <c r="G67" s="373">
        <v>0</v>
      </c>
      <c r="H67" s="802"/>
      <c r="I67" s="881"/>
    </row>
    <row r="68" spans="1:14">
      <c r="A68" s="375"/>
      <c r="B68" s="375" t="s">
        <v>588</v>
      </c>
      <c r="C68" s="376" t="s">
        <v>49</v>
      </c>
      <c r="D68" s="372">
        <v>5</v>
      </c>
      <c r="E68" s="372" t="s">
        <v>26</v>
      </c>
      <c r="F68" s="377">
        <v>95000</v>
      </c>
      <c r="G68" s="373">
        <f t="shared" si="2"/>
        <v>475000</v>
      </c>
      <c r="H68" s="803"/>
      <c r="I68" s="882"/>
    </row>
    <row r="69" spans="1:14">
      <c r="A69" s="66">
        <v>44345</v>
      </c>
      <c r="B69" s="40" t="s">
        <v>602</v>
      </c>
      <c r="C69" s="67" t="s">
        <v>429</v>
      </c>
      <c r="D69" s="67">
        <v>2</v>
      </c>
      <c r="E69" s="67" t="s">
        <v>546</v>
      </c>
      <c r="F69" s="65">
        <v>1950000</v>
      </c>
      <c r="G69" s="65">
        <f t="shared" si="2"/>
        <v>3900000</v>
      </c>
      <c r="H69" s="65">
        <f>SUM(G69)</f>
        <v>3900000</v>
      </c>
      <c r="I69" s="67" t="s">
        <v>603</v>
      </c>
    </row>
    <row r="70" spans="1:14" ht="38.25" customHeight="1">
      <c r="A70" s="513">
        <v>44347</v>
      </c>
      <c r="B70" s="514" t="s">
        <v>604</v>
      </c>
      <c r="C70" s="209" t="s">
        <v>158</v>
      </c>
      <c r="D70" s="209">
        <v>1</v>
      </c>
      <c r="E70" s="209" t="s">
        <v>134</v>
      </c>
      <c r="F70" s="515">
        <v>3700000</v>
      </c>
      <c r="G70" s="515">
        <f t="shared" si="2"/>
        <v>3700000</v>
      </c>
      <c r="H70" s="515">
        <f>SUM(G70)</f>
        <v>3700000</v>
      </c>
      <c r="I70" s="209" t="s">
        <v>934</v>
      </c>
    </row>
    <row r="71" spans="1:14">
      <c r="A71" s="66">
        <v>44347</v>
      </c>
      <c r="B71" s="40" t="s">
        <v>826</v>
      </c>
      <c r="C71" s="67" t="s">
        <v>280</v>
      </c>
      <c r="D71" s="67">
        <v>1</v>
      </c>
      <c r="E71" s="67" t="s">
        <v>26</v>
      </c>
      <c r="F71" s="65">
        <v>0</v>
      </c>
      <c r="G71" s="65">
        <f t="shared" si="2"/>
        <v>0</v>
      </c>
      <c r="H71" s="65">
        <v>0</v>
      </c>
      <c r="I71" s="40"/>
    </row>
    <row r="72" spans="1:14">
      <c r="D72" s="5"/>
    </row>
    <row r="73" spans="1:14">
      <c r="D73" s="5"/>
    </row>
    <row r="74" spans="1:14">
      <c r="D74" s="5"/>
    </row>
    <row r="75" spans="1:14">
      <c r="D75" s="5"/>
    </row>
    <row r="76" spans="1:14">
      <c r="D76" s="5"/>
    </row>
    <row r="77" spans="1:14">
      <c r="D77" s="5"/>
    </row>
    <row r="78" spans="1:14">
      <c r="D78" s="5"/>
      <c r="N78"/>
    </row>
    <row r="79" spans="1:14">
      <c r="D79" s="5"/>
      <c r="N79"/>
    </row>
    <row r="80" spans="1:14">
      <c r="D80" s="5"/>
      <c r="N80"/>
    </row>
    <row r="81" spans="4:14">
      <c r="D81" s="5"/>
      <c r="N81"/>
    </row>
    <row r="82" spans="4:14">
      <c r="D82" s="5"/>
      <c r="N82"/>
    </row>
    <row r="83" spans="4:14">
      <c r="D83" s="5"/>
      <c r="N83"/>
    </row>
    <row r="84" spans="4:14">
      <c r="D84" s="5"/>
      <c r="N84"/>
    </row>
    <row r="85" spans="4:14">
      <c r="D85" s="5"/>
      <c r="N85"/>
    </row>
    <row r="86" spans="4:14">
      <c r="D86" s="5"/>
      <c r="N86"/>
    </row>
    <row r="87" spans="4:14">
      <c r="D87" s="5"/>
      <c r="N87"/>
    </row>
    <row r="88" spans="4:14">
      <c r="D88" s="5"/>
      <c r="N88"/>
    </row>
    <row r="89" spans="4:14">
      <c r="D89" s="5"/>
      <c r="N89"/>
    </row>
    <row r="90" spans="4:14">
      <c r="D90" s="5"/>
      <c r="N90"/>
    </row>
    <row r="91" spans="4:14">
      <c r="D91" s="5"/>
      <c r="N91"/>
    </row>
    <row r="92" spans="4:14">
      <c r="D92" s="5"/>
      <c r="N92"/>
    </row>
    <row r="93" spans="4:14">
      <c r="D93" s="5"/>
      <c r="N93"/>
    </row>
    <row r="94" spans="4:14">
      <c r="D94" s="5"/>
      <c r="N94"/>
    </row>
    <row r="95" spans="4:14">
      <c r="D95" s="5"/>
      <c r="N95"/>
    </row>
    <row r="96" spans="4:14">
      <c r="D96" s="5"/>
      <c r="N96"/>
    </row>
    <row r="97" spans="4:14">
      <c r="D97" s="5"/>
      <c r="N97"/>
    </row>
    <row r="98" spans="4:14">
      <c r="D98" s="5"/>
      <c r="N98"/>
    </row>
    <row r="99" spans="4:14">
      <c r="D99" s="5"/>
      <c r="N99"/>
    </row>
    <row r="100" spans="4:14">
      <c r="D100" s="5"/>
      <c r="N100"/>
    </row>
    <row r="101" spans="4:14">
      <c r="D101" s="5"/>
      <c r="N101"/>
    </row>
    <row r="102" spans="4:14">
      <c r="D102" s="5"/>
      <c r="N102"/>
    </row>
    <row r="103" spans="4:14">
      <c r="D103" s="5"/>
      <c r="N103"/>
    </row>
    <row r="104" spans="4:14">
      <c r="D104" s="5"/>
      <c r="N104"/>
    </row>
    <row r="105" spans="4:14">
      <c r="D105" s="5"/>
      <c r="N105"/>
    </row>
    <row r="106" spans="4:14">
      <c r="D106" s="5"/>
      <c r="N106"/>
    </row>
    <row r="107" spans="4:14">
      <c r="D107" s="5"/>
      <c r="N107"/>
    </row>
    <row r="108" spans="4:14">
      <c r="D108" s="5"/>
      <c r="N108"/>
    </row>
    <row r="109" spans="4:14">
      <c r="D109" s="5"/>
      <c r="N109"/>
    </row>
    <row r="110" spans="4:14">
      <c r="D110" s="5"/>
      <c r="N110"/>
    </row>
    <row r="111" spans="4:14">
      <c r="D111" s="5"/>
      <c r="N111"/>
    </row>
    <row r="112" spans="4:14">
      <c r="D112" s="5"/>
      <c r="N112"/>
    </row>
    <row r="113" spans="4:14">
      <c r="D113" s="5"/>
      <c r="N113"/>
    </row>
    <row r="114" spans="4:14">
      <c r="D114" s="5"/>
      <c r="N114"/>
    </row>
    <row r="115" spans="4:14">
      <c r="D115" s="5"/>
      <c r="N115"/>
    </row>
    <row r="116" spans="4:14">
      <c r="D116" s="5"/>
      <c r="N116"/>
    </row>
    <row r="117" spans="4:14">
      <c r="D117" s="5"/>
      <c r="N117"/>
    </row>
    <row r="118" spans="4:14">
      <c r="D118" s="5"/>
      <c r="N118"/>
    </row>
    <row r="119" spans="4:14">
      <c r="N119"/>
    </row>
    <row r="120" spans="4:14">
      <c r="N120"/>
    </row>
    <row r="121" spans="4:14">
      <c r="N121"/>
    </row>
    <row r="122" spans="4:14">
      <c r="N122"/>
    </row>
    <row r="123" spans="4:14">
      <c r="N123"/>
    </row>
    <row r="124" spans="4:14">
      <c r="N124"/>
    </row>
  </sheetData>
  <mergeCells count="35">
    <mergeCell ref="J46:J50"/>
    <mergeCell ref="H46:H50"/>
    <mergeCell ref="I46:I50"/>
    <mergeCell ref="J12:J18"/>
    <mergeCell ref="P19:P20"/>
    <mergeCell ref="I37:I40"/>
    <mergeCell ref="P26:P27"/>
    <mergeCell ref="H66:H68"/>
    <mergeCell ref="I58:I65"/>
    <mergeCell ref="I66:I68"/>
    <mergeCell ref="H51:H52"/>
    <mergeCell ref="I51:I52"/>
    <mergeCell ref="H53:H54"/>
    <mergeCell ref="I53:I54"/>
    <mergeCell ref="Q10:Q12"/>
    <mergeCell ref="Q19:Q20"/>
    <mergeCell ref="Q17:Q18"/>
    <mergeCell ref="P10:P12"/>
    <mergeCell ref="P17:P18"/>
    <mergeCell ref="J59:J65"/>
    <mergeCell ref="H55:H57"/>
    <mergeCell ref="I55:I57"/>
    <mergeCell ref="H58:H65"/>
    <mergeCell ref="H7:H11"/>
    <mergeCell ref="H12:H18"/>
    <mergeCell ref="H19:H30"/>
    <mergeCell ref="I19:I30"/>
    <mergeCell ref="I12:I18"/>
    <mergeCell ref="I7:I11"/>
    <mergeCell ref="I41:I44"/>
    <mergeCell ref="H41:H44"/>
    <mergeCell ref="H37:H40"/>
    <mergeCell ref="H32:H35"/>
    <mergeCell ref="I32:I35"/>
    <mergeCell ref="J7:J11"/>
  </mergeCells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Q120"/>
  <sheetViews>
    <sheetView topLeftCell="A82" workbookViewId="0">
      <selection activeCell="B96" sqref="B96"/>
    </sheetView>
  </sheetViews>
  <sheetFormatPr defaultRowHeight="15"/>
  <cols>
    <col min="2" max="2" width="66.5703125" customWidth="1"/>
    <col min="3" max="3" width="17.28515625" customWidth="1"/>
    <col min="6" max="6" width="16.140625" customWidth="1"/>
    <col min="7" max="7" width="17.42578125" customWidth="1"/>
    <col min="8" max="8" width="16.85546875" customWidth="1"/>
    <col min="9" max="9" width="27.85546875" customWidth="1"/>
    <col min="10" max="10" width="13.7109375" bestFit="1" customWidth="1"/>
    <col min="12" max="12" width="10.5703125" customWidth="1"/>
    <col min="13" max="13" width="17.85546875" style="5" customWidth="1"/>
    <col min="14" max="14" width="20.28515625" customWidth="1"/>
    <col min="15" max="15" width="25" customWidth="1"/>
    <col min="17" max="17" width="14" bestFit="1" customWidth="1"/>
  </cols>
  <sheetData>
    <row r="1" spans="1:17">
      <c r="A1" s="1" t="s">
        <v>0</v>
      </c>
      <c r="C1" s="2"/>
      <c r="D1" s="2"/>
      <c r="E1" s="2"/>
      <c r="F1" s="3"/>
      <c r="G1" s="3"/>
      <c r="H1" s="3"/>
      <c r="K1" s="4" t="s">
        <v>455</v>
      </c>
      <c r="L1" s="5"/>
      <c r="N1" s="3"/>
    </row>
    <row r="2" spans="1:17" ht="45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9" t="s">
        <v>7</v>
      </c>
      <c r="H2" s="8" t="s">
        <v>8</v>
      </c>
      <c r="I2" s="7" t="s">
        <v>9</v>
      </c>
      <c r="K2" s="10" t="s">
        <v>10</v>
      </c>
      <c r="L2" s="11" t="s">
        <v>11</v>
      </c>
      <c r="M2" s="6" t="s">
        <v>12</v>
      </c>
      <c r="N2" s="9" t="s">
        <v>13</v>
      </c>
      <c r="O2" s="7" t="s">
        <v>9</v>
      </c>
      <c r="P2" s="582" t="s">
        <v>1103</v>
      </c>
    </row>
    <row r="3" spans="1:17">
      <c r="A3" s="66">
        <v>44348</v>
      </c>
      <c r="B3" s="40" t="s">
        <v>605</v>
      </c>
      <c r="C3" s="67" t="s">
        <v>161</v>
      </c>
      <c r="D3" s="67">
        <v>3</v>
      </c>
      <c r="E3" s="7" t="s">
        <v>134</v>
      </c>
      <c r="F3" s="65">
        <v>400000</v>
      </c>
      <c r="G3" s="65">
        <f t="shared" ref="G3:G60" si="0">SUM(F3*D3)</f>
        <v>1200000</v>
      </c>
      <c r="H3" s="715">
        <f>SUM(G3:G8)</f>
        <v>11600000</v>
      </c>
      <c r="I3" s="931" t="s">
        <v>576</v>
      </c>
      <c r="J3" s="18"/>
      <c r="K3" s="370">
        <v>1</v>
      </c>
      <c r="L3" s="409">
        <v>44305</v>
      </c>
      <c r="M3" s="271" t="s">
        <v>21</v>
      </c>
      <c r="N3" s="466">
        <v>7700000</v>
      </c>
      <c r="O3" s="472" t="s">
        <v>824</v>
      </c>
      <c r="P3" s="21"/>
    </row>
    <row r="4" spans="1:17">
      <c r="A4" s="40"/>
      <c r="B4" s="40" t="s">
        <v>606</v>
      </c>
      <c r="C4" s="67" t="s">
        <v>161</v>
      </c>
      <c r="D4" s="313">
        <v>5</v>
      </c>
      <c r="E4" s="7" t="s">
        <v>134</v>
      </c>
      <c r="F4" s="65">
        <v>400000</v>
      </c>
      <c r="G4" s="65">
        <f>SUM(F4*D5)</f>
        <v>2000000</v>
      </c>
      <c r="H4" s="807"/>
      <c r="I4" s="932"/>
      <c r="J4" s="19"/>
      <c r="K4" s="411">
        <v>2</v>
      </c>
      <c r="L4" s="287">
        <v>44309</v>
      </c>
      <c r="M4" s="289" t="s">
        <v>481</v>
      </c>
      <c r="N4" s="471">
        <v>1120000</v>
      </c>
      <c r="O4" s="473" t="s">
        <v>901</v>
      </c>
      <c r="P4" s="21"/>
    </row>
    <row r="5" spans="1:17">
      <c r="A5" s="40"/>
      <c r="B5" s="40" t="s">
        <v>607</v>
      </c>
      <c r="C5" s="67" t="s">
        <v>161</v>
      </c>
      <c r="D5" s="67">
        <v>5</v>
      </c>
      <c r="E5" s="7" t="s">
        <v>134</v>
      </c>
      <c r="F5" s="65">
        <v>400000</v>
      </c>
      <c r="G5" s="65">
        <f>SUM(F5*D6)</f>
        <v>2000000</v>
      </c>
      <c r="H5" s="807"/>
      <c r="I5" s="932"/>
      <c r="J5" s="20"/>
      <c r="K5" s="412">
        <v>3</v>
      </c>
      <c r="L5" s="123">
        <v>44310</v>
      </c>
      <c r="M5" s="122" t="s">
        <v>164</v>
      </c>
      <c r="N5" s="420">
        <v>1500000</v>
      </c>
      <c r="O5" s="311" t="s">
        <v>824</v>
      </c>
      <c r="P5" s="21" t="s">
        <v>667</v>
      </c>
    </row>
    <row r="6" spans="1:17">
      <c r="A6" s="40"/>
      <c r="B6" s="40" t="s">
        <v>608</v>
      </c>
      <c r="C6" s="67" t="s">
        <v>161</v>
      </c>
      <c r="D6" s="67">
        <v>5</v>
      </c>
      <c r="E6" s="7" t="s">
        <v>134</v>
      </c>
      <c r="F6" s="65">
        <v>400000</v>
      </c>
      <c r="G6" s="65">
        <f t="shared" si="0"/>
        <v>2000000</v>
      </c>
      <c r="H6" s="807"/>
      <c r="I6" s="932"/>
      <c r="J6" s="14"/>
      <c r="K6" s="370">
        <v>4</v>
      </c>
      <c r="L6" s="61">
        <v>44313</v>
      </c>
      <c r="M6" s="52" t="s">
        <v>158</v>
      </c>
      <c r="N6" s="53">
        <v>4200000</v>
      </c>
      <c r="O6" s="244" t="s">
        <v>709</v>
      </c>
      <c r="P6" s="21"/>
      <c r="Q6" s="349"/>
    </row>
    <row r="7" spans="1:17">
      <c r="A7" s="40"/>
      <c r="B7" s="40" t="s">
        <v>609</v>
      </c>
      <c r="C7" s="67" t="s">
        <v>161</v>
      </c>
      <c r="D7" s="67">
        <v>6</v>
      </c>
      <c r="E7" s="7" t="s">
        <v>134</v>
      </c>
      <c r="F7" s="65">
        <v>400000</v>
      </c>
      <c r="G7" s="65">
        <f t="shared" si="0"/>
        <v>2400000</v>
      </c>
      <c r="H7" s="807"/>
      <c r="I7" s="932"/>
      <c r="J7" s="14"/>
      <c r="K7" s="411">
        <v>5</v>
      </c>
      <c r="L7" s="371">
        <v>44315</v>
      </c>
      <c r="M7" s="203" t="s">
        <v>49</v>
      </c>
      <c r="N7" s="205">
        <v>22160000</v>
      </c>
      <c r="O7" s="386" t="s">
        <v>709</v>
      </c>
      <c r="P7" s="21"/>
    </row>
    <row r="8" spans="1:17">
      <c r="A8" s="40"/>
      <c r="B8" s="40" t="s">
        <v>610</v>
      </c>
      <c r="C8" s="67" t="s">
        <v>161</v>
      </c>
      <c r="D8" s="67">
        <v>5</v>
      </c>
      <c r="E8" s="7" t="s">
        <v>134</v>
      </c>
      <c r="F8" s="65">
        <v>400000</v>
      </c>
      <c r="G8" s="65">
        <f t="shared" si="0"/>
        <v>2000000</v>
      </c>
      <c r="H8" s="716"/>
      <c r="I8" s="933"/>
      <c r="J8" s="14"/>
      <c r="K8" s="370">
        <v>6</v>
      </c>
      <c r="L8" s="123">
        <v>44317</v>
      </c>
      <c r="M8" s="122" t="s">
        <v>164</v>
      </c>
      <c r="N8" s="117">
        <v>1500000</v>
      </c>
      <c r="O8" s="311" t="s">
        <v>824</v>
      </c>
      <c r="P8" s="21" t="s">
        <v>667</v>
      </c>
      <c r="Q8" s="349">
        <f>N5+N8+N14</f>
        <v>5875000</v>
      </c>
    </row>
    <row r="9" spans="1:17">
      <c r="A9" s="207">
        <v>44348</v>
      </c>
      <c r="B9" s="208" t="s">
        <v>611</v>
      </c>
      <c r="C9" s="394" t="s">
        <v>158</v>
      </c>
      <c r="D9" s="209">
        <v>2</v>
      </c>
      <c r="E9" s="209" t="s">
        <v>26</v>
      </c>
      <c r="F9" s="212">
        <v>2200000</v>
      </c>
      <c r="G9" s="212">
        <f t="shared" si="0"/>
        <v>4400000</v>
      </c>
      <c r="H9" s="212">
        <f>SUM(G9)</f>
        <v>4400000</v>
      </c>
      <c r="I9" s="938" t="s">
        <v>938</v>
      </c>
      <c r="J9" s="14"/>
      <c r="K9" s="411">
        <v>7</v>
      </c>
      <c r="L9" s="287">
        <v>44317</v>
      </c>
      <c r="M9" s="289" t="s">
        <v>510</v>
      </c>
      <c r="N9" s="263">
        <v>8000000</v>
      </c>
      <c r="O9" s="848" t="s">
        <v>901</v>
      </c>
      <c r="P9" s="561"/>
      <c r="Q9" s="349">
        <f>5000000+Q8</f>
        <v>10875000</v>
      </c>
    </row>
    <row r="10" spans="1:17">
      <c r="A10" s="207">
        <v>44348</v>
      </c>
      <c r="B10" s="208" t="s">
        <v>604</v>
      </c>
      <c r="C10" s="394" t="s">
        <v>158</v>
      </c>
      <c r="D10" s="209">
        <v>1</v>
      </c>
      <c r="E10" s="209" t="s">
        <v>134</v>
      </c>
      <c r="F10" s="212">
        <v>3700000</v>
      </c>
      <c r="G10" s="212">
        <f t="shared" si="0"/>
        <v>3700000</v>
      </c>
      <c r="H10" s="212">
        <f>SUM(G10)</f>
        <v>3700000</v>
      </c>
      <c r="I10" s="939"/>
      <c r="J10" s="14"/>
      <c r="K10" s="411">
        <v>8</v>
      </c>
      <c r="L10" s="287">
        <v>44316</v>
      </c>
      <c r="M10" s="289" t="s">
        <v>510</v>
      </c>
      <c r="N10" s="263">
        <v>7500000</v>
      </c>
      <c r="O10" s="903"/>
      <c r="P10" s="32"/>
    </row>
    <row r="11" spans="1:17">
      <c r="A11" s="23">
        <v>44348</v>
      </c>
      <c r="B11" s="21" t="s">
        <v>612</v>
      </c>
      <c r="C11" s="67" t="s">
        <v>161</v>
      </c>
      <c r="D11" s="41">
        <v>5</v>
      </c>
      <c r="E11" s="67" t="s">
        <v>61</v>
      </c>
      <c r="F11" s="65">
        <v>525000</v>
      </c>
      <c r="G11" s="65">
        <f t="shared" si="0"/>
        <v>2625000</v>
      </c>
      <c r="H11" s="715">
        <f>SUM(G11:G12)</f>
        <v>4725000</v>
      </c>
      <c r="I11" s="934" t="s">
        <v>576</v>
      </c>
      <c r="J11" s="14"/>
      <c r="K11" s="370">
        <v>9</v>
      </c>
      <c r="L11" s="287">
        <v>44316</v>
      </c>
      <c r="M11" s="289" t="s">
        <v>510</v>
      </c>
      <c r="N11" s="263">
        <v>365000</v>
      </c>
      <c r="O11" s="849"/>
      <c r="P11" s="32"/>
    </row>
    <row r="12" spans="1:17">
      <c r="A12" s="21"/>
      <c r="B12" s="21" t="s">
        <v>613</v>
      </c>
      <c r="C12" s="67" t="s">
        <v>161</v>
      </c>
      <c r="D12" s="41">
        <v>4</v>
      </c>
      <c r="E12" s="67" t="s">
        <v>61</v>
      </c>
      <c r="F12" s="65">
        <v>525000</v>
      </c>
      <c r="G12" s="65">
        <f t="shared" si="0"/>
        <v>2100000</v>
      </c>
      <c r="H12" s="716"/>
      <c r="I12" s="935"/>
      <c r="J12" s="14"/>
      <c r="K12" s="411">
        <v>10</v>
      </c>
      <c r="L12" s="306">
        <v>44319</v>
      </c>
      <c r="M12" s="307" t="s">
        <v>33</v>
      </c>
      <c r="N12" s="308">
        <v>5695000</v>
      </c>
      <c r="O12" s="339" t="s">
        <v>653</v>
      </c>
      <c r="P12" s="64" t="s">
        <v>667</v>
      </c>
    </row>
    <row r="13" spans="1:17">
      <c r="A13" s="121">
        <v>44350</v>
      </c>
      <c r="B13" s="115" t="s">
        <v>171</v>
      </c>
      <c r="C13" s="418" t="s">
        <v>164</v>
      </c>
      <c r="D13" s="116">
        <v>50</v>
      </c>
      <c r="E13" s="116" t="s">
        <v>26</v>
      </c>
      <c r="F13" s="117">
        <v>150000</v>
      </c>
      <c r="G13" s="431">
        <f t="shared" ref="G13" si="1">F13*D13</f>
        <v>7500000</v>
      </c>
      <c r="H13" s="419">
        <f>SUM(G13)</f>
        <v>7500000</v>
      </c>
      <c r="I13" s="432" t="s">
        <v>711</v>
      </c>
      <c r="J13" s="14"/>
      <c r="K13" s="411">
        <v>11</v>
      </c>
      <c r="L13" s="371">
        <v>44319</v>
      </c>
      <c r="M13" s="203" t="s">
        <v>49</v>
      </c>
      <c r="N13" s="205">
        <v>20950000</v>
      </c>
      <c r="O13" s="386" t="s">
        <v>709</v>
      </c>
      <c r="P13" s="16"/>
    </row>
    <row r="14" spans="1:17">
      <c r="A14" s="23">
        <v>44350</v>
      </c>
      <c r="B14" s="21" t="s">
        <v>618</v>
      </c>
      <c r="C14" s="251" t="s">
        <v>21</v>
      </c>
      <c r="D14" s="67">
        <v>3</v>
      </c>
      <c r="E14" s="67" t="s">
        <v>26</v>
      </c>
      <c r="F14" s="319">
        <v>1100000</v>
      </c>
      <c r="G14" s="318">
        <f>F14*D14</f>
        <v>3300000</v>
      </c>
      <c r="H14" s="320">
        <f>SUM(G14)</f>
        <v>3300000</v>
      </c>
      <c r="I14" s="317" t="s">
        <v>603</v>
      </c>
      <c r="J14" s="14"/>
      <c r="K14" s="370">
        <v>12</v>
      </c>
      <c r="L14" s="123">
        <v>44319</v>
      </c>
      <c r="M14" s="122" t="s">
        <v>164</v>
      </c>
      <c r="N14" s="117">
        <v>2875000</v>
      </c>
      <c r="O14" s="311" t="s">
        <v>824</v>
      </c>
      <c r="P14" s="16"/>
    </row>
    <row r="15" spans="1:17">
      <c r="A15" s="148">
        <v>44351</v>
      </c>
      <c r="B15" s="387" t="s">
        <v>617</v>
      </c>
      <c r="C15" s="389" t="s">
        <v>18</v>
      </c>
      <c r="D15" s="403">
        <v>10</v>
      </c>
      <c r="E15" s="403" t="s">
        <v>26</v>
      </c>
      <c r="F15" s="404">
        <v>150000</v>
      </c>
      <c r="G15" s="404">
        <f t="shared" si="0"/>
        <v>1500000</v>
      </c>
      <c r="H15" s="24">
        <f>SUM(G15)</f>
        <v>1500000</v>
      </c>
      <c r="I15" s="25" t="s">
        <v>454</v>
      </c>
      <c r="J15" s="14"/>
      <c r="K15" s="411">
        <v>13</v>
      </c>
      <c r="L15" s="490">
        <v>44335</v>
      </c>
      <c r="M15" s="486" t="s">
        <v>33</v>
      </c>
      <c r="N15" s="488">
        <v>2200000</v>
      </c>
      <c r="O15" s="900" t="s">
        <v>910</v>
      </c>
      <c r="P15" s="25" t="s">
        <v>667</v>
      </c>
      <c r="Q15" s="142">
        <f>SUM(N15:N17)</f>
        <v>4800000</v>
      </c>
    </row>
    <row r="16" spans="1:17">
      <c r="A16" s="23">
        <v>44352</v>
      </c>
      <c r="B16" s="21" t="s">
        <v>619</v>
      </c>
      <c r="C16" s="25" t="s">
        <v>161</v>
      </c>
      <c r="D16" s="41">
        <v>3</v>
      </c>
      <c r="E16" s="41" t="s">
        <v>26</v>
      </c>
      <c r="F16" s="24">
        <v>325000</v>
      </c>
      <c r="G16" s="24">
        <f t="shared" si="0"/>
        <v>975000</v>
      </c>
      <c r="H16" s="24">
        <f>SUM(G16)</f>
        <v>975000</v>
      </c>
      <c r="I16" s="25" t="s">
        <v>603</v>
      </c>
      <c r="J16" s="14"/>
      <c r="K16" s="411">
        <v>14</v>
      </c>
      <c r="L16" s="489">
        <v>44343</v>
      </c>
      <c r="M16" s="482" t="s">
        <v>33</v>
      </c>
      <c r="N16" s="488">
        <v>1100000</v>
      </c>
      <c r="O16" s="901"/>
      <c r="P16" s="25" t="s">
        <v>667</v>
      </c>
    </row>
    <row r="17" spans="1:17">
      <c r="A17" s="23">
        <v>44352</v>
      </c>
      <c r="B17" s="21" t="s">
        <v>620</v>
      </c>
      <c r="C17" s="25" t="s">
        <v>21</v>
      </c>
      <c r="D17" s="41">
        <v>1</v>
      </c>
      <c r="E17" s="41" t="s">
        <v>61</v>
      </c>
      <c r="F17" s="24">
        <v>5500000</v>
      </c>
      <c r="G17" s="24">
        <f t="shared" si="0"/>
        <v>5500000</v>
      </c>
      <c r="H17" s="24">
        <f>SUM(G17)</f>
        <v>5500000</v>
      </c>
      <c r="I17" s="25" t="s">
        <v>603</v>
      </c>
      <c r="J17" s="14"/>
      <c r="K17" s="370">
        <v>15</v>
      </c>
      <c r="L17" s="490">
        <v>44343</v>
      </c>
      <c r="M17" s="486" t="s">
        <v>33</v>
      </c>
      <c r="N17" s="488">
        <v>1500000</v>
      </c>
      <c r="O17" s="902"/>
      <c r="P17" s="25" t="s">
        <v>667</v>
      </c>
    </row>
    <row r="18" spans="1:17">
      <c r="A18" s="533">
        <v>44354</v>
      </c>
      <c r="B18" s="534" t="s">
        <v>621</v>
      </c>
      <c r="C18" s="535" t="s">
        <v>49</v>
      </c>
      <c r="D18" s="536">
        <v>5</v>
      </c>
      <c r="E18" s="536" t="s">
        <v>26</v>
      </c>
      <c r="F18" s="532">
        <v>1550000</v>
      </c>
      <c r="G18" s="532">
        <f t="shared" si="0"/>
        <v>7750000</v>
      </c>
      <c r="H18" s="936">
        <f>SUM(G18:G19)</f>
        <v>15500000</v>
      </c>
      <c r="I18" s="25" t="s">
        <v>624</v>
      </c>
      <c r="J18" s="14"/>
      <c r="K18" s="411">
        <v>16</v>
      </c>
      <c r="L18" s="409">
        <v>44354</v>
      </c>
      <c r="M18" s="271" t="s">
        <v>63</v>
      </c>
      <c r="N18" s="273">
        <v>7040000</v>
      </c>
      <c r="O18" s="898" t="s">
        <v>824</v>
      </c>
      <c r="P18" s="583" t="s">
        <v>667</v>
      </c>
    </row>
    <row r="19" spans="1:17">
      <c r="A19" s="534"/>
      <c r="B19" s="534" t="s">
        <v>621</v>
      </c>
      <c r="C19" s="535" t="s">
        <v>49</v>
      </c>
      <c r="D19" s="536">
        <v>5</v>
      </c>
      <c r="E19" s="536" t="s">
        <v>26</v>
      </c>
      <c r="F19" s="532">
        <v>1550000</v>
      </c>
      <c r="G19" s="532">
        <f t="shared" si="0"/>
        <v>7750000</v>
      </c>
      <c r="H19" s="937"/>
      <c r="I19" s="25" t="s">
        <v>625</v>
      </c>
      <c r="J19" s="14"/>
      <c r="K19" s="411">
        <v>17</v>
      </c>
      <c r="L19" s="409">
        <v>44361</v>
      </c>
      <c r="M19" s="271" t="s">
        <v>28</v>
      </c>
      <c r="N19" s="273">
        <v>7400000</v>
      </c>
      <c r="O19" s="899"/>
      <c r="P19" s="583" t="s">
        <v>667</v>
      </c>
    </row>
    <row r="20" spans="1:17">
      <c r="A20" s="484">
        <v>44354</v>
      </c>
      <c r="B20" s="485" t="s">
        <v>622</v>
      </c>
      <c r="C20" s="486" t="s">
        <v>429</v>
      </c>
      <c r="D20" s="487">
        <v>2</v>
      </c>
      <c r="E20" s="487" t="s">
        <v>26</v>
      </c>
      <c r="F20" s="488">
        <v>1000000</v>
      </c>
      <c r="G20" s="488">
        <f t="shared" si="0"/>
        <v>2000000</v>
      </c>
      <c r="H20" s="488">
        <f>SUM(G20)</f>
        <v>2000000</v>
      </c>
      <c r="I20" s="486" t="s">
        <v>603</v>
      </c>
      <c r="J20" s="14"/>
      <c r="K20" s="370">
        <v>18</v>
      </c>
      <c r="L20" s="553">
        <v>44424</v>
      </c>
      <c r="M20" s="550" t="s">
        <v>97</v>
      </c>
      <c r="N20" s="554">
        <v>10656000</v>
      </c>
      <c r="O20" s="563" t="s">
        <v>1049</v>
      </c>
      <c r="P20" s="583" t="s">
        <v>667</v>
      </c>
    </row>
    <row r="21" spans="1:17">
      <c r="A21" s="384">
        <v>44354</v>
      </c>
      <c r="B21" s="385" t="s">
        <v>626</v>
      </c>
      <c r="C21" s="25" t="s">
        <v>712</v>
      </c>
      <c r="D21" s="58">
        <v>5</v>
      </c>
      <c r="E21" s="58" t="s">
        <v>26</v>
      </c>
      <c r="F21" s="57">
        <v>1200000</v>
      </c>
      <c r="G21" s="57">
        <f t="shared" si="0"/>
        <v>6000000</v>
      </c>
      <c r="H21" s="711">
        <f>SUM(G21:G22)</f>
        <v>12000000</v>
      </c>
      <c r="I21" s="698" t="s">
        <v>603</v>
      </c>
      <c r="J21" s="14"/>
      <c r="K21" s="411">
        <v>19</v>
      </c>
      <c r="L21" s="392">
        <v>44347</v>
      </c>
      <c r="M21" s="393" t="s">
        <v>158</v>
      </c>
      <c r="N21" s="211">
        <v>3700000</v>
      </c>
      <c r="O21" s="895" t="s">
        <v>939</v>
      </c>
      <c r="P21" s="25" t="s">
        <v>667</v>
      </c>
    </row>
    <row r="22" spans="1:17">
      <c r="A22" s="21"/>
      <c r="B22" s="21" t="s">
        <v>627</v>
      </c>
      <c r="C22" s="25" t="s">
        <v>96</v>
      </c>
      <c r="D22" s="58">
        <v>5</v>
      </c>
      <c r="E22" s="58" t="s">
        <v>26</v>
      </c>
      <c r="F22" s="57">
        <v>1200000</v>
      </c>
      <c r="G22" s="57">
        <f t="shared" si="0"/>
        <v>6000000</v>
      </c>
      <c r="H22" s="713"/>
      <c r="I22" s="700"/>
      <c r="J22" s="14"/>
      <c r="K22" s="411">
        <v>20</v>
      </c>
      <c r="L22" s="392">
        <v>44348</v>
      </c>
      <c r="M22" s="393" t="s">
        <v>158</v>
      </c>
      <c r="N22" s="211">
        <v>4400000</v>
      </c>
      <c r="O22" s="896"/>
      <c r="P22" s="67" t="s">
        <v>667</v>
      </c>
      <c r="Q22" s="14" t="s">
        <v>936</v>
      </c>
    </row>
    <row r="23" spans="1:17">
      <c r="A23" s="269">
        <v>44354</v>
      </c>
      <c r="B23" s="270" t="s">
        <v>628</v>
      </c>
      <c r="C23" s="271" t="s">
        <v>63</v>
      </c>
      <c r="D23" s="272">
        <v>10</v>
      </c>
      <c r="E23" s="272" t="s">
        <v>26</v>
      </c>
      <c r="F23" s="498">
        <v>145000</v>
      </c>
      <c r="G23" s="273">
        <f t="shared" si="0"/>
        <v>1450000</v>
      </c>
      <c r="H23" s="913">
        <f>SUM(G23:G42)</f>
        <v>3640000</v>
      </c>
      <c r="I23" s="918" t="s">
        <v>934</v>
      </c>
      <c r="J23" s="36">
        <f>SUM(H23:H44)</f>
        <v>7040000</v>
      </c>
      <c r="K23" s="370">
        <v>21</v>
      </c>
      <c r="L23" s="392">
        <v>44348</v>
      </c>
      <c r="M23" s="393" t="s">
        <v>158</v>
      </c>
      <c r="N23" s="211">
        <v>3700000</v>
      </c>
      <c r="O23" s="897"/>
      <c r="P23" s="25" t="s">
        <v>667</v>
      </c>
    </row>
    <row r="24" spans="1:17">
      <c r="A24" s="269"/>
      <c r="B24" s="270" t="s">
        <v>643</v>
      </c>
      <c r="C24" s="271" t="s">
        <v>63</v>
      </c>
      <c r="D24" s="272">
        <v>3</v>
      </c>
      <c r="E24" s="272" t="s">
        <v>26</v>
      </c>
      <c r="F24" s="498">
        <v>125000</v>
      </c>
      <c r="G24" s="273">
        <f>SUM(F24*D24)</f>
        <v>375000</v>
      </c>
      <c r="H24" s="914"/>
      <c r="I24" s="919"/>
      <c r="J24" s="14"/>
      <c r="K24" s="411">
        <v>22</v>
      </c>
      <c r="L24" s="503">
        <v>44403</v>
      </c>
      <c r="M24" s="418" t="s">
        <v>164</v>
      </c>
      <c r="N24" s="504">
        <v>5000000</v>
      </c>
      <c r="O24" s="311" t="s">
        <v>824</v>
      </c>
      <c r="P24" s="40"/>
    </row>
    <row r="25" spans="1:17">
      <c r="A25" s="269"/>
      <c r="B25" s="270" t="s">
        <v>629</v>
      </c>
      <c r="C25" s="271" t="s">
        <v>63</v>
      </c>
      <c r="D25" s="272">
        <v>9</v>
      </c>
      <c r="E25" s="272" t="s">
        <v>26</v>
      </c>
      <c r="F25" s="498">
        <v>165000</v>
      </c>
      <c r="G25" s="273">
        <f t="shared" si="0"/>
        <v>1485000</v>
      </c>
      <c r="H25" s="914"/>
      <c r="I25" s="919"/>
      <c r="J25" s="14"/>
      <c r="K25" s="14"/>
      <c r="L25" s="39"/>
      <c r="M25" s="39"/>
      <c r="N25" s="14"/>
      <c r="O25" s="14"/>
      <c r="P25" s="14"/>
    </row>
    <row r="26" spans="1:17">
      <c r="A26" s="269"/>
      <c r="B26" s="270" t="s">
        <v>630</v>
      </c>
      <c r="C26" s="271" t="s">
        <v>63</v>
      </c>
      <c r="D26" s="272">
        <v>1</v>
      </c>
      <c r="E26" s="272" t="s">
        <v>644</v>
      </c>
      <c r="F26" s="498">
        <v>90000</v>
      </c>
      <c r="G26" s="273">
        <f t="shared" si="0"/>
        <v>90000</v>
      </c>
      <c r="H26" s="914"/>
      <c r="I26" s="919"/>
      <c r="J26" s="14"/>
      <c r="K26" s="14"/>
      <c r="L26" s="39"/>
      <c r="M26" s="39"/>
      <c r="N26" s="22">
        <f>SUM(N3:N25)</f>
        <v>130261000</v>
      </c>
      <c r="O26" s="14"/>
      <c r="P26" s="14"/>
    </row>
    <row r="27" spans="1:17">
      <c r="A27" s="269"/>
      <c r="B27" s="270" t="s">
        <v>631</v>
      </c>
      <c r="C27" s="271" t="s">
        <v>63</v>
      </c>
      <c r="D27" s="272">
        <v>1</v>
      </c>
      <c r="E27" s="272" t="s">
        <v>26</v>
      </c>
      <c r="F27" s="498">
        <v>15000</v>
      </c>
      <c r="G27" s="273">
        <f t="shared" si="0"/>
        <v>15000</v>
      </c>
      <c r="H27" s="914"/>
      <c r="I27" s="919"/>
      <c r="J27" s="14"/>
      <c r="K27" s="14"/>
      <c r="L27" s="39"/>
      <c r="M27" s="39"/>
      <c r="N27" s="14"/>
      <c r="O27" s="14"/>
      <c r="P27" s="14"/>
    </row>
    <row r="28" spans="1:17">
      <c r="A28" s="269"/>
      <c r="B28" s="270" t="s">
        <v>632</v>
      </c>
      <c r="C28" s="271" t="s">
        <v>63</v>
      </c>
      <c r="D28" s="272">
        <v>1</v>
      </c>
      <c r="E28" s="272" t="s">
        <v>26</v>
      </c>
      <c r="F28" s="498">
        <v>15000</v>
      </c>
      <c r="G28" s="273">
        <f t="shared" si="0"/>
        <v>15000</v>
      </c>
      <c r="H28" s="914"/>
      <c r="I28" s="919"/>
      <c r="J28" s="14"/>
      <c r="K28" s="14"/>
      <c r="L28" s="39"/>
      <c r="M28" s="39"/>
      <c r="N28" s="22"/>
      <c r="O28" s="14"/>
      <c r="P28" s="14"/>
    </row>
    <row r="29" spans="1:17">
      <c r="A29" s="269"/>
      <c r="B29" s="270" t="s">
        <v>639</v>
      </c>
      <c r="C29" s="271" t="s">
        <v>63</v>
      </c>
      <c r="D29" s="272">
        <v>1</v>
      </c>
      <c r="E29" s="272" t="s">
        <v>26</v>
      </c>
      <c r="F29" s="498">
        <v>15000</v>
      </c>
      <c r="G29" s="273">
        <f t="shared" ref="G29" si="2">SUM(F29*D29)</f>
        <v>15000</v>
      </c>
      <c r="H29" s="914"/>
      <c r="I29" s="919"/>
      <c r="J29" s="14"/>
      <c r="K29" s="14">
        <v>0</v>
      </c>
      <c r="L29" s="39"/>
      <c r="M29" s="39" t="s">
        <v>1102</v>
      </c>
      <c r="N29" s="36">
        <f>N15+N16+N17+N21+N22+N23+N12</f>
        <v>22295000</v>
      </c>
      <c r="O29" s="14"/>
      <c r="P29" s="14"/>
    </row>
    <row r="30" spans="1:17">
      <c r="A30" s="269"/>
      <c r="B30" s="270" t="s">
        <v>633</v>
      </c>
      <c r="C30" s="271" t="s">
        <v>63</v>
      </c>
      <c r="D30" s="272">
        <v>1</v>
      </c>
      <c r="E30" s="272" t="s">
        <v>26</v>
      </c>
      <c r="F30" s="498">
        <v>15000</v>
      </c>
      <c r="G30" s="273">
        <f t="shared" si="0"/>
        <v>15000</v>
      </c>
      <c r="H30" s="914"/>
      <c r="I30" s="919"/>
      <c r="J30" s="14"/>
      <c r="K30" s="14">
        <v>0</v>
      </c>
      <c r="L30" s="39"/>
      <c r="M30" s="39" t="s">
        <v>1159</v>
      </c>
      <c r="N30" s="22">
        <f>N20+N19+N18+N8+N5</f>
        <v>28096000</v>
      </c>
      <c r="O30" s="501"/>
      <c r="P30" s="14"/>
    </row>
    <row r="31" spans="1:17">
      <c r="A31" s="269"/>
      <c r="B31" s="270" t="s">
        <v>634</v>
      </c>
      <c r="C31" s="271" t="s">
        <v>63</v>
      </c>
      <c r="D31" s="272">
        <v>1</v>
      </c>
      <c r="E31" s="272" t="s">
        <v>26</v>
      </c>
      <c r="F31" s="498">
        <v>15000</v>
      </c>
      <c r="G31" s="273">
        <f t="shared" si="0"/>
        <v>15000</v>
      </c>
      <c r="H31" s="914"/>
      <c r="I31" s="919"/>
      <c r="J31" s="14"/>
      <c r="K31" s="14"/>
      <c r="L31" s="39"/>
      <c r="M31" s="39" t="s">
        <v>1223</v>
      </c>
      <c r="N31" s="22">
        <f>N24+N13+N11+N10+N9+N7+N6+N4+N3+N14</f>
        <v>79870000</v>
      </c>
      <c r="O31" s="14"/>
      <c r="P31" s="14"/>
    </row>
    <row r="32" spans="1:17">
      <c r="A32" s="269"/>
      <c r="B32" s="270" t="s">
        <v>635</v>
      </c>
      <c r="C32" s="271" t="s">
        <v>63</v>
      </c>
      <c r="D32" s="272">
        <v>1</v>
      </c>
      <c r="E32" s="272" t="s">
        <v>26</v>
      </c>
      <c r="F32" s="498">
        <v>15000</v>
      </c>
      <c r="G32" s="273">
        <f t="shared" si="0"/>
        <v>15000</v>
      </c>
      <c r="H32" s="914"/>
      <c r="I32" s="919"/>
      <c r="K32" s="14"/>
      <c r="L32" s="39"/>
      <c r="M32" s="39"/>
      <c r="N32" s="14"/>
      <c r="O32" s="14"/>
    </row>
    <row r="33" spans="1:15">
      <c r="A33" s="269"/>
      <c r="B33" s="270" t="s">
        <v>636</v>
      </c>
      <c r="C33" s="271" t="s">
        <v>63</v>
      </c>
      <c r="D33" s="272">
        <v>1</v>
      </c>
      <c r="E33" s="272" t="s">
        <v>26</v>
      </c>
      <c r="F33" s="498">
        <v>15000</v>
      </c>
      <c r="G33" s="273">
        <f t="shared" si="0"/>
        <v>15000</v>
      </c>
      <c r="H33" s="914"/>
      <c r="I33" s="919"/>
      <c r="J33" s="142">
        <f>SUM(H23+H43+H49)</f>
        <v>14440000</v>
      </c>
      <c r="L33" s="39"/>
      <c r="M33" s="39"/>
      <c r="N33" s="501">
        <f>SUM(N29:N32)</f>
        <v>130261000</v>
      </c>
      <c r="O33" s="14"/>
    </row>
    <row r="34" spans="1:15">
      <c r="A34" s="269"/>
      <c r="B34" s="270" t="s">
        <v>637</v>
      </c>
      <c r="C34" s="271" t="s">
        <v>63</v>
      </c>
      <c r="D34" s="272">
        <v>1</v>
      </c>
      <c r="E34" s="272" t="s">
        <v>26</v>
      </c>
      <c r="F34" s="498">
        <v>15000</v>
      </c>
      <c r="G34" s="273">
        <f t="shared" si="0"/>
        <v>15000</v>
      </c>
      <c r="H34" s="914"/>
      <c r="I34" s="919"/>
      <c r="J34" t="s">
        <v>906</v>
      </c>
      <c r="N34" s="349"/>
      <c r="O34" s="14"/>
    </row>
    <row r="35" spans="1:15">
      <c r="A35" s="269"/>
      <c r="B35" s="270" t="s">
        <v>638</v>
      </c>
      <c r="C35" s="271" t="s">
        <v>63</v>
      </c>
      <c r="D35" s="367">
        <v>1</v>
      </c>
      <c r="E35" s="272" t="s">
        <v>26</v>
      </c>
      <c r="F35" s="499">
        <v>15000</v>
      </c>
      <c r="G35" s="368">
        <f t="shared" si="0"/>
        <v>15000</v>
      </c>
      <c r="H35" s="914"/>
      <c r="I35" s="919"/>
    </row>
    <row r="36" spans="1:15">
      <c r="A36" s="269"/>
      <c r="B36" s="270" t="s">
        <v>633</v>
      </c>
      <c r="C36" s="271" t="s">
        <v>63</v>
      </c>
      <c r="D36" s="367">
        <v>1</v>
      </c>
      <c r="E36" s="272" t="s">
        <v>26</v>
      </c>
      <c r="F36" s="499">
        <v>15000</v>
      </c>
      <c r="G36" s="368">
        <f t="shared" si="0"/>
        <v>15000</v>
      </c>
      <c r="H36" s="914"/>
      <c r="I36" s="919"/>
    </row>
    <row r="37" spans="1:15">
      <c r="A37" s="269"/>
      <c r="B37" s="270" t="s">
        <v>639</v>
      </c>
      <c r="C37" s="271" t="s">
        <v>63</v>
      </c>
      <c r="D37" s="367">
        <v>1</v>
      </c>
      <c r="E37" s="272" t="s">
        <v>26</v>
      </c>
      <c r="F37" s="499">
        <v>15000</v>
      </c>
      <c r="G37" s="368">
        <f t="shared" si="0"/>
        <v>15000</v>
      </c>
      <c r="H37" s="914"/>
      <c r="I37" s="919"/>
    </row>
    <row r="38" spans="1:15">
      <c r="A38" s="269"/>
      <c r="B38" s="270" t="s">
        <v>640</v>
      </c>
      <c r="C38" s="271" t="s">
        <v>63</v>
      </c>
      <c r="D38" s="367">
        <v>1</v>
      </c>
      <c r="E38" s="272" t="s">
        <v>26</v>
      </c>
      <c r="F38" s="499">
        <v>15000</v>
      </c>
      <c r="G38" s="368">
        <f t="shared" si="0"/>
        <v>15000</v>
      </c>
      <c r="H38" s="914"/>
      <c r="I38" s="919"/>
    </row>
    <row r="39" spans="1:15">
      <c r="A39" s="269"/>
      <c r="B39" s="270" t="s">
        <v>638</v>
      </c>
      <c r="C39" s="271" t="s">
        <v>63</v>
      </c>
      <c r="D39" s="367">
        <v>1</v>
      </c>
      <c r="E39" s="272" t="s">
        <v>26</v>
      </c>
      <c r="F39" s="499">
        <v>15000</v>
      </c>
      <c r="G39" s="368">
        <f t="shared" si="0"/>
        <v>15000</v>
      </c>
      <c r="H39" s="914"/>
      <c r="I39" s="919"/>
    </row>
    <row r="40" spans="1:15">
      <c r="A40" s="269"/>
      <c r="B40" s="270" t="s">
        <v>633</v>
      </c>
      <c r="C40" s="271" t="s">
        <v>63</v>
      </c>
      <c r="D40" s="367">
        <v>1</v>
      </c>
      <c r="E40" s="272" t="s">
        <v>26</v>
      </c>
      <c r="F40" s="499">
        <v>15000</v>
      </c>
      <c r="G40" s="368">
        <f t="shared" si="0"/>
        <v>15000</v>
      </c>
      <c r="H40" s="914"/>
      <c r="I40" s="919"/>
    </row>
    <row r="41" spans="1:15">
      <c r="A41" s="269"/>
      <c r="B41" s="270" t="s">
        <v>639</v>
      </c>
      <c r="C41" s="271" t="s">
        <v>63</v>
      </c>
      <c r="D41" s="367">
        <v>1</v>
      </c>
      <c r="E41" s="272" t="s">
        <v>26</v>
      </c>
      <c r="F41" s="499">
        <v>15000</v>
      </c>
      <c r="G41" s="368">
        <f t="shared" si="0"/>
        <v>15000</v>
      </c>
      <c r="H41" s="914"/>
      <c r="I41" s="919"/>
    </row>
    <row r="42" spans="1:15">
      <c r="A42" s="269"/>
      <c r="B42" s="270" t="s">
        <v>634</v>
      </c>
      <c r="C42" s="271" t="s">
        <v>63</v>
      </c>
      <c r="D42" s="367">
        <v>1</v>
      </c>
      <c r="E42" s="272" t="s">
        <v>26</v>
      </c>
      <c r="F42" s="499">
        <v>15000</v>
      </c>
      <c r="G42" s="368">
        <f t="shared" si="0"/>
        <v>15000</v>
      </c>
      <c r="H42" s="915"/>
      <c r="I42" s="919"/>
    </row>
    <row r="43" spans="1:15">
      <c r="A43" s="269">
        <v>44354</v>
      </c>
      <c r="B43" s="270" t="s">
        <v>641</v>
      </c>
      <c r="C43" s="271" t="s">
        <v>63</v>
      </c>
      <c r="D43" s="367">
        <v>3</v>
      </c>
      <c r="E43" s="272" t="s">
        <v>26</v>
      </c>
      <c r="F43" s="499">
        <v>425000</v>
      </c>
      <c r="G43" s="368">
        <f t="shared" si="0"/>
        <v>1275000</v>
      </c>
      <c r="H43" s="916">
        <f>SUM(G43:G44)</f>
        <v>3400000</v>
      </c>
      <c r="I43" s="919"/>
    </row>
    <row r="44" spans="1:15">
      <c r="A44" s="413"/>
      <c r="B44" s="270" t="s">
        <v>642</v>
      </c>
      <c r="C44" s="271" t="s">
        <v>63</v>
      </c>
      <c r="D44" s="367">
        <v>5</v>
      </c>
      <c r="E44" s="272" t="s">
        <v>26</v>
      </c>
      <c r="F44" s="499">
        <v>425000</v>
      </c>
      <c r="G44" s="368">
        <f t="shared" si="0"/>
        <v>2125000</v>
      </c>
      <c r="H44" s="917"/>
      <c r="I44" s="920"/>
    </row>
    <row r="45" spans="1:15">
      <c r="A45" s="66">
        <v>44355</v>
      </c>
      <c r="B45" s="40" t="s">
        <v>646</v>
      </c>
      <c r="C45" s="67" t="s">
        <v>161</v>
      </c>
      <c r="D45" s="67">
        <v>2</v>
      </c>
      <c r="E45" s="67" t="s">
        <v>26</v>
      </c>
      <c r="F45" s="65">
        <v>1650000</v>
      </c>
      <c r="G45" s="65">
        <f t="shared" si="0"/>
        <v>3300000</v>
      </c>
      <c r="H45" s="65">
        <f>SUM(G45)</f>
        <v>3300000</v>
      </c>
      <c r="I45" s="67" t="s">
        <v>603</v>
      </c>
      <c r="K45">
        <v>11630000</v>
      </c>
    </row>
    <row r="46" spans="1:15">
      <c r="A46" s="66">
        <v>44355</v>
      </c>
      <c r="B46" s="40" t="s">
        <v>647</v>
      </c>
      <c r="C46" s="67" t="s">
        <v>60</v>
      </c>
      <c r="D46" s="67">
        <v>1</v>
      </c>
      <c r="E46" s="67" t="s">
        <v>61</v>
      </c>
      <c r="F46" s="213">
        <v>0</v>
      </c>
      <c r="G46" s="213">
        <f t="shared" si="0"/>
        <v>0</v>
      </c>
      <c r="H46" s="213">
        <v>0</v>
      </c>
      <c r="I46" s="67" t="s">
        <v>205</v>
      </c>
    </row>
    <row r="47" spans="1:15">
      <c r="A47" s="40"/>
      <c r="B47" s="40" t="s">
        <v>648</v>
      </c>
      <c r="C47" s="67" t="s">
        <v>60</v>
      </c>
      <c r="D47" s="67">
        <v>1</v>
      </c>
      <c r="E47" s="67" t="s">
        <v>61</v>
      </c>
      <c r="F47" s="67">
        <v>0</v>
      </c>
      <c r="G47" s="67">
        <f t="shared" si="0"/>
        <v>0</v>
      </c>
      <c r="H47" s="67">
        <v>0</v>
      </c>
      <c r="I47" s="67" t="s">
        <v>205</v>
      </c>
      <c r="K47" s="328">
        <v>2.5000000000000001E-2</v>
      </c>
    </row>
    <row r="48" spans="1:15">
      <c r="A48" s="207">
        <v>44355</v>
      </c>
      <c r="B48" s="208" t="s">
        <v>650</v>
      </c>
      <c r="C48" s="394" t="s">
        <v>97</v>
      </c>
      <c r="D48" s="394">
        <v>1</v>
      </c>
      <c r="E48" s="394" t="s">
        <v>26</v>
      </c>
      <c r="F48" s="445">
        <v>7999000</v>
      </c>
      <c r="G48" s="212">
        <f t="shared" si="0"/>
        <v>7999000</v>
      </c>
      <c r="H48" s="212">
        <f>SUM(G48)</f>
        <v>7999000</v>
      </c>
      <c r="I48" s="394" t="s">
        <v>151</v>
      </c>
      <c r="J48" s="446" t="s">
        <v>856</v>
      </c>
    </row>
    <row r="49" spans="1:12">
      <c r="A49" s="500">
        <v>44361</v>
      </c>
      <c r="B49" s="413" t="s">
        <v>673</v>
      </c>
      <c r="C49" s="367" t="s">
        <v>28</v>
      </c>
      <c r="D49" s="367">
        <v>10</v>
      </c>
      <c r="E49" s="367" t="s">
        <v>26</v>
      </c>
      <c r="F49" s="499">
        <v>185000</v>
      </c>
      <c r="G49" s="368">
        <f t="shared" si="0"/>
        <v>1850000</v>
      </c>
      <c r="H49" s="916">
        <f>SUM(G49:G55)</f>
        <v>7400000</v>
      </c>
      <c r="I49" s="925" t="s">
        <v>934</v>
      </c>
      <c r="J49" t="s">
        <v>686</v>
      </c>
      <c r="K49">
        <f>K45*K47</f>
        <v>290750</v>
      </c>
    </row>
    <row r="50" spans="1:12">
      <c r="A50" s="413"/>
      <c r="B50" s="413" t="s">
        <v>674</v>
      </c>
      <c r="C50" s="367" t="s">
        <v>28</v>
      </c>
      <c r="D50" s="367">
        <v>10</v>
      </c>
      <c r="E50" s="367" t="s">
        <v>26</v>
      </c>
      <c r="F50" s="499">
        <v>185000</v>
      </c>
      <c r="G50" s="368">
        <f t="shared" si="0"/>
        <v>1850000</v>
      </c>
      <c r="H50" s="924"/>
      <c r="I50" s="926"/>
    </row>
    <row r="51" spans="1:12">
      <c r="A51" s="413"/>
      <c r="B51" s="413" t="s">
        <v>675</v>
      </c>
      <c r="C51" s="367" t="s">
        <v>28</v>
      </c>
      <c r="D51" s="367">
        <v>5</v>
      </c>
      <c r="E51" s="367" t="s">
        <v>26</v>
      </c>
      <c r="F51" s="499">
        <v>185000</v>
      </c>
      <c r="G51" s="368">
        <f t="shared" si="0"/>
        <v>925000</v>
      </c>
      <c r="H51" s="924"/>
      <c r="I51" s="926"/>
    </row>
    <row r="52" spans="1:12">
      <c r="A52" s="413"/>
      <c r="B52" s="413" t="s">
        <v>676</v>
      </c>
      <c r="C52" s="367" t="s">
        <v>28</v>
      </c>
      <c r="D52" s="367">
        <v>5</v>
      </c>
      <c r="E52" s="367" t="s">
        <v>26</v>
      </c>
      <c r="F52" s="499">
        <v>185000</v>
      </c>
      <c r="G52" s="368">
        <f t="shared" si="0"/>
        <v>925000</v>
      </c>
      <c r="H52" s="924"/>
      <c r="I52" s="926"/>
    </row>
    <row r="53" spans="1:12">
      <c r="A53" s="413"/>
      <c r="B53" s="413" t="s">
        <v>677</v>
      </c>
      <c r="C53" s="367" t="s">
        <v>28</v>
      </c>
      <c r="D53" s="367">
        <v>4</v>
      </c>
      <c r="E53" s="367" t="s">
        <v>26</v>
      </c>
      <c r="F53" s="499">
        <v>185000</v>
      </c>
      <c r="G53" s="368">
        <f t="shared" si="0"/>
        <v>740000</v>
      </c>
      <c r="H53" s="924"/>
      <c r="I53" s="926"/>
    </row>
    <row r="54" spans="1:12">
      <c r="A54" s="413"/>
      <c r="B54" s="413" t="s">
        <v>678</v>
      </c>
      <c r="C54" s="367" t="s">
        <v>28</v>
      </c>
      <c r="D54" s="367">
        <v>2</v>
      </c>
      <c r="E54" s="367" t="s">
        <v>26</v>
      </c>
      <c r="F54" s="499">
        <v>185000</v>
      </c>
      <c r="G54" s="368">
        <f t="shared" si="0"/>
        <v>370000</v>
      </c>
      <c r="H54" s="924"/>
      <c r="I54" s="926"/>
    </row>
    <row r="55" spans="1:12">
      <c r="A55" s="413"/>
      <c r="B55" s="413" t="s">
        <v>679</v>
      </c>
      <c r="C55" s="367" t="s">
        <v>28</v>
      </c>
      <c r="D55" s="367">
        <v>4</v>
      </c>
      <c r="E55" s="367" t="s">
        <v>26</v>
      </c>
      <c r="F55" s="499">
        <v>185000</v>
      </c>
      <c r="G55" s="368">
        <f t="shared" si="0"/>
        <v>740000</v>
      </c>
      <c r="H55" s="917"/>
      <c r="I55" s="927"/>
    </row>
    <row r="56" spans="1:12">
      <c r="A56" s="528">
        <v>44361</v>
      </c>
      <c r="B56" s="529" t="s">
        <v>680</v>
      </c>
      <c r="C56" s="538" t="s">
        <v>49</v>
      </c>
      <c r="D56" s="538">
        <v>11</v>
      </c>
      <c r="E56" s="530" t="s">
        <v>26</v>
      </c>
      <c r="F56" s="539">
        <v>120000</v>
      </c>
      <c r="G56" s="539">
        <f t="shared" si="0"/>
        <v>1320000</v>
      </c>
      <c r="H56" s="928">
        <f>SUM(G56:G60)</f>
        <v>7070000</v>
      </c>
      <c r="I56" s="808" t="s">
        <v>685</v>
      </c>
    </row>
    <row r="57" spans="1:12">
      <c r="A57" s="529"/>
      <c r="B57" s="529" t="s">
        <v>681</v>
      </c>
      <c r="C57" s="538" t="s">
        <v>49</v>
      </c>
      <c r="D57" s="538">
        <v>15</v>
      </c>
      <c r="E57" s="530" t="s">
        <v>26</v>
      </c>
      <c r="F57" s="539">
        <v>135000</v>
      </c>
      <c r="G57" s="539">
        <f t="shared" si="0"/>
        <v>2025000</v>
      </c>
      <c r="H57" s="929"/>
      <c r="I57" s="809"/>
    </row>
    <row r="58" spans="1:12">
      <c r="A58" s="529"/>
      <c r="B58" s="529" t="s">
        <v>682</v>
      </c>
      <c r="C58" s="538" t="s">
        <v>49</v>
      </c>
      <c r="D58" s="538">
        <v>15</v>
      </c>
      <c r="E58" s="530" t="s">
        <v>26</v>
      </c>
      <c r="F58" s="539">
        <v>145000</v>
      </c>
      <c r="G58" s="539">
        <f t="shared" si="0"/>
        <v>2175000</v>
      </c>
      <c r="H58" s="929"/>
      <c r="I58" s="809"/>
      <c r="L58" t="s">
        <v>649</v>
      </c>
    </row>
    <row r="59" spans="1:12">
      <c r="A59" s="529"/>
      <c r="B59" s="529" t="s">
        <v>683</v>
      </c>
      <c r="C59" s="538" t="s">
        <v>49</v>
      </c>
      <c r="D59" s="538">
        <v>10</v>
      </c>
      <c r="E59" s="530" t="s">
        <v>26</v>
      </c>
      <c r="F59" s="539">
        <v>95000</v>
      </c>
      <c r="G59" s="539">
        <f t="shared" si="0"/>
        <v>950000</v>
      </c>
      <c r="H59" s="929"/>
      <c r="I59" s="809"/>
    </row>
    <row r="60" spans="1:12">
      <c r="A60" s="529"/>
      <c r="B60" s="529" t="s">
        <v>684</v>
      </c>
      <c r="C60" s="538" t="s">
        <v>49</v>
      </c>
      <c r="D60" s="538">
        <v>10</v>
      </c>
      <c r="E60" s="530" t="s">
        <v>26</v>
      </c>
      <c r="F60" s="539">
        <v>60000</v>
      </c>
      <c r="G60" s="539">
        <f t="shared" si="0"/>
        <v>600000</v>
      </c>
      <c r="H60" s="930"/>
      <c r="I60" s="810"/>
    </row>
    <row r="61" spans="1:12">
      <c r="A61" s="66">
        <v>44361</v>
      </c>
      <c r="B61" s="40" t="s">
        <v>605</v>
      </c>
      <c r="C61" s="67" t="s">
        <v>161</v>
      </c>
      <c r="D61" s="67">
        <v>2</v>
      </c>
      <c r="E61" s="67" t="s">
        <v>134</v>
      </c>
      <c r="F61" s="364">
        <v>400000</v>
      </c>
      <c r="G61" s="364">
        <f>F61*D61</f>
        <v>800000</v>
      </c>
      <c r="H61" s="943">
        <f>SUM(G61:G64)</f>
        <v>4000000</v>
      </c>
      <c r="I61" s="808" t="s">
        <v>688</v>
      </c>
    </row>
    <row r="62" spans="1:12">
      <c r="A62" s="40"/>
      <c r="B62" s="40" t="s">
        <v>606</v>
      </c>
      <c r="C62" s="67" t="s">
        <v>161</v>
      </c>
      <c r="D62" s="67">
        <v>3</v>
      </c>
      <c r="E62" s="67" t="s">
        <v>134</v>
      </c>
      <c r="F62" s="364">
        <v>400000</v>
      </c>
      <c r="G62" s="364">
        <f t="shared" ref="G62:G77" si="3">F62*D62</f>
        <v>1200000</v>
      </c>
      <c r="H62" s="809"/>
      <c r="I62" s="809"/>
    </row>
    <row r="63" spans="1:12">
      <c r="A63" s="40"/>
      <c r="B63" s="40" t="s">
        <v>687</v>
      </c>
      <c r="C63" s="67" t="s">
        <v>161</v>
      </c>
      <c r="D63" s="67">
        <v>3</v>
      </c>
      <c r="E63" s="67" t="s">
        <v>134</v>
      </c>
      <c r="F63" s="364">
        <v>400000</v>
      </c>
      <c r="G63" s="364">
        <f t="shared" si="3"/>
        <v>1200000</v>
      </c>
      <c r="H63" s="809"/>
      <c r="I63" s="809"/>
    </row>
    <row r="64" spans="1:12">
      <c r="A64" s="40"/>
      <c r="B64" s="40" t="s">
        <v>608</v>
      </c>
      <c r="C64" s="67" t="s">
        <v>161</v>
      </c>
      <c r="D64" s="67">
        <v>2</v>
      </c>
      <c r="E64" s="67" t="s">
        <v>134</v>
      </c>
      <c r="F64" s="364">
        <v>400000</v>
      </c>
      <c r="G64" s="364">
        <f t="shared" si="3"/>
        <v>800000</v>
      </c>
      <c r="H64" s="810"/>
      <c r="I64" s="810"/>
    </row>
    <row r="65" spans="1:10">
      <c r="A65" s="528">
        <v>44362</v>
      </c>
      <c r="B65" s="529" t="s">
        <v>689</v>
      </c>
      <c r="C65" s="538" t="s">
        <v>17</v>
      </c>
      <c r="D65" s="538">
        <v>3</v>
      </c>
      <c r="E65" s="538" t="s">
        <v>26</v>
      </c>
      <c r="F65" s="537">
        <v>900000</v>
      </c>
      <c r="G65" s="537">
        <f t="shared" si="3"/>
        <v>2700000</v>
      </c>
      <c r="H65" s="537">
        <f>SUM(G65)</f>
        <v>2700000</v>
      </c>
      <c r="I65" s="7" t="s">
        <v>360</v>
      </c>
    </row>
    <row r="66" spans="1:10">
      <c r="A66" s="416">
        <v>44365</v>
      </c>
      <c r="B66" s="417" t="s">
        <v>691</v>
      </c>
      <c r="C66" s="418" t="s">
        <v>164</v>
      </c>
      <c r="D66" s="418">
        <v>50</v>
      </c>
      <c r="E66" s="418" t="s">
        <v>26</v>
      </c>
      <c r="F66" s="433">
        <v>150000</v>
      </c>
      <c r="G66" s="433">
        <f t="shared" si="3"/>
        <v>7500000</v>
      </c>
      <c r="H66" s="941">
        <f>SUM(G66:G67)</f>
        <v>8600000</v>
      </c>
      <c r="I66" s="812" t="s">
        <v>711</v>
      </c>
    </row>
    <row r="67" spans="1:10">
      <c r="A67" s="417"/>
      <c r="B67" s="417" t="s">
        <v>692</v>
      </c>
      <c r="C67" s="418" t="s">
        <v>164</v>
      </c>
      <c r="D67" s="418">
        <v>2</v>
      </c>
      <c r="E67" s="418" t="s">
        <v>26</v>
      </c>
      <c r="F67" s="433">
        <v>550000</v>
      </c>
      <c r="G67" s="433">
        <f t="shared" si="3"/>
        <v>1100000</v>
      </c>
      <c r="H67" s="942"/>
      <c r="I67" s="814"/>
    </row>
    <row r="68" spans="1:10">
      <c r="A68" s="207">
        <v>44366</v>
      </c>
      <c r="B68" s="208" t="s">
        <v>693</v>
      </c>
      <c r="C68" s="394" t="s">
        <v>158</v>
      </c>
      <c r="D68" s="394">
        <v>2</v>
      </c>
      <c r="E68" s="394" t="s">
        <v>26</v>
      </c>
      <c r="F68" s="447">
        <v>740000</v>
      </c>
      <c r="G68" s="447">
        <f t="shared" si="3"/>
        <v>1480000</v>
      </c>
      <c r="H68" s="921">
        <f>SUM(G68:G72)</f>
        <v>5920000</v>
      </c>
      <c r="I68" s="835" t="s">
        <v>946</v>
      </c>
    </row>
    <row r="69" spans="1:10">
      <c r="A69" s="208"/>
      <c r="B69" s="208" t="s">
        <v>694</v>
      </c>
      <c r="C69" s="394" t="s">
        <v>158</v>
      </c>
      <c r="D69" s="394">
        <v>2</v>
      </c>
      <c r="E69" s="394" t="s">
        <v>26</v>
      </c>
      <c r="F69" s="447">
        <v>740000</v>
      </c>
      <c r="G69" s="447">
        <f t="shared" si="3"/>
        <v>1480000</v>
      </c>
      <c r="H69" s="922"/>
      <c r="I69" s="940"/>
    </row>
    <row r="70" spans="1:10">
      <c r="A70" s="208"/>
      <c r="B70" s="208" t="s">
        <v>695</v>
      </c>
      <c r="C70" s="394" t="s">
        <v>158</v>
      </c>
      <c r="D70" s="394">
        <v>1</v>
      </c>
      <c r="E70" s="394" t="s">
        <v>26</v>
      </c>
      <c r="F70" s="447">
        <v>740000</v>
      </c>
      <c r="G70" s="447">
        <f t="shared" si="3"/>
        <v>740000</v>
      </c>
      <c r="H70" s="922"/>
      <c r="I70" s="940"/>
    </row>
    <row r="71" spans="1:10">
      <c r="A71" s="208"/>
      <c r="B71" s="208" t="s">
        <v>696</v>
      </c>
      <c r="C71" s="394" t="s">
        <v>158</v>
      </c>
      <c r="D71" s="394">
        <v>1</v>
      </c>
      <c r="E71" s="394" t="s">
        <v>26</v>
      </c>
      <c r="F71" s="447">
        <v>740000</v>
      </c>
      <c r="G71" s="447">
        <f t="shared" si="3"/>
        <v>740000</v>
      </c>
      <c r="H71" s="922"/>
      <c r="I71" s="940"/>
    </row>
    <row r="72" spans="1:10">
      <c r="A72" s="208"/>
      <c r="B72" s="208" t="s">
        <v>699</v>
      </c>
      <c r="C72" s="394" t="s">
        <v>158</v>
      </c>
      <c r="D72" s="394">
        <v>2</v>
      </c>
      <c r="E72" s="394" t="s">
        <v>26</v>
      </c>
      <c r="F72" s="447">
        <v>740000</v>
      </c>
      <c r="G72" s="447">
        <f t="shared" si="3"/>
        <v>1480000</v>
      </c>
      <c r="H72" s="923"/>
      <c r="I72" s="836"/>
    </row>
    <row r="73" spans="1:10">
      <c r="A73" s="66">
        <v>44366</v>
      </c>
      <c r="B73" s="40" t="s">
        <v>697</v>
      </c>
      <c r="C73" s="67" t="s">
        <v>280</v>
      </c>
      <c r="D73" s="67">
        <v>1</v>
      </c>
      <c r="E73" s="67" t="s">
        <v>26</v>
      </c>
      <c r="F73" s="364">
        <v>0</v>
      </c>
      <c r="G73" s="364">
        <f t="shared" si="3"/>
        <v>0</v>
      </c>
      <c r="H73" s="40">
        <v>0</v>
      </c>
      <c r="I73" s="40"/>
    </row>
    <row r="74" spans="1:10">
      <c r="A74" s="329">
        <v>44366</v>
      </c>
      <c r="B74" s="330" t="s">
        <v>698</v>
      </c>
      <c r="C74" s="331" t="s">
        <v>97</v>
      </c>
      <c r="D74" s="331">
        <v>1</v>
      </c>
      <c r="E74" s="331" t="s">
        <v>26</v>
      </c>
      <c r="F74" s="511">
        <v>5790000</v>
      </c>
      <c r="G74" s="511">
        <f t="shared" si="3"/>
        <v>5790000</v>
      </c>
      <c r="H74" s="511">
        <f>SUM(G74)</f>
        <v>5790000</v>
      </c>
      <c r="I74" s="331" t="s">
        <v>360</v>
      </c>
      <c r="J74" s="446" t="s">
        <v>856</v>
      </c>
    </row>
    <row r="75" spans="1:10">
      <c r="A75" s="528">
        <v>44368</v>
      </c>
      <c r="B75" s="529" t="s">
        <v>700</v>
      </c>
      <c r="C75" s="530" t="s">
        <v>49</v>
      </c>
      <c r="D75" s="530">
        <v>11</v>
      </c>
      <c r="E75" s="530" t="s">
        <v>26</v>
      </c>
      <c r="F75" s="537">
        <v>120000</v>
      </c>
      <c r="G75" s="537">
        <f t="shared" si="3"/>
        <v>1320000</v>
      </c>
      <c r="H75" s="537">
        <f>SUM(G75)</f>
        <v>1320000</v>
      </c>
      <c r="I75" s="67" t="s">
        <v>701</v>
      </c>
    </row>
    <row r="76" spans="1:10">
      <c r="A76" s="510">
        <v>44369</v>
      </c>
      <c r="B76" s="436" t="s">
        <v>703</v>
      </c>
      <c r="C76" s="393" t="s">
        <v>158</v>
      </c>
      <c r="D76" s="393">
        <v>2</v>
      </c>
      <c r="E76" s="393" t="s">
        <v>26</v>
      </c>
      <c r="F76" s="512">
        <v>740000</v>
      </c>
      <c r="G76" s="512">
        <f t="shared" si="3"/>
        <v>1480000</v>
      </c>
      <c r="H76" s="907">
        <f>SUM(G76:G80)</f>
        <v>6260000</v>
      </c>
      <c r="I76" s="910" t="s">
        <v>946</v>
      </c>
    </row>
    <row r="77" spans="1:10">
      <c r="A77" s="436"/>
      <c r="B77" s="436" t="s">
        <v>704</v>
      </c>
      <c r="C77" s="393" t="s">
        <v>158</v>
      </c>
      <c r="D77" s="393">
        <v>2</v>
      </c>
      <c r="E77" s="393" t="s">
        <v>26</v>
      </c>
      <c r="F77" s="512">
        <v>640000</v>
      </c>
      <c r="G77" s="512">
        <f t="shared" si="3"/>
        <v>1280000</v>
      </c>
      <c r="H77" s="908"/>
      <c r="I77" s="911"/>
    </row>
    <row r="78" spans="1:10">
      <c r="A78" s="436"/>
      <c r="B78" s="436" t="s">
        <v>705</v>
      </c>
      <c r="C78" s="393" t="s">
        <v>158</v>
      </c>
      <c r="D78" s="393">
        <v>2</v>
      </c>
      <c r="E78" s="393" t="s">
        <v>26</v>
      </c>
      <c r="F78" s="512">
        <v>740000</v>
      </c>
      <c r="G78" s="512">
        <f t="shared" ref="G78:G110" si="4">F78*D78</f>
        <v>1480000</v>
      </c>
      <c r="H78" s="908"/>
      <c r="I78" s="911"/>
    </row>
    <row r="79" spans="1:10">
      <c r="A79" s="436"/>
      <c r="B79" s="436" t="s">
        <v>706</v>
      </c>
      <c r="C79" s="393" t="s">
        <v>158</v>
      </c>
      <c r="D79" s="393">
        <v>2</v>
      </c>
      <c r="E79" s="393" t="s">
        <v>26</v>
      </c>
      <c r="F79" s="512">
        <v>640000</v>
      </c>
      <c r="G79" s="512">
        <f t="shared" si="4"/>
        <v>1280000</v>
      </c>
      <c r="H79" s="908"/>
      <c r="I79" s="911"/>
    </row>
    <row r="80" spans="1:10">
      <c r="A80" s="436"/>
      <c r="B80" s="436" t="s">
        <v>707</v>
      </c>
      <c r="C80" s="393" t="s">
        <v>158</v>
      </c>
      <c r="D80" s="393">
        <v>1</v>
      </c>
      <c r="E80" s="393" t="s">
        <v>26</v>
      </c>
      <c r="F80" s="512">
        <v>740000</v>
      </c>
      <c r="G80" s="512">
        <f t="shared" si="4"/>
        <v>740000</v>
      </c>
      <c r="H80" s="909"/>
      <c r="I80" s="912"/>
    </row>
    <row r="81" spans="1:9">
      <c r="A81" s="66">
        <v>44370</v>
      </c>
      <c r="B81" s="40" t="s">
        <v>708</v>
      </c>
      <c r="C81" s="67" t="s">
        <v>60</v>
      </c>
      <c r="D81" s="67">
        <v>1</v>
      </c>
      <c r="E81" s="67" t="s">
        <v>61</v>
      </c>
      <c r="F81" s="364">
        <v>0</v>
      </c>
      <c r="G81" s="364">
        <f t="shared" si="4"/>
        <v>0</v>
      </c>
      <c r="H81" s="40">
        <v>0</v>
      </c>
      <c r="I81" s="40" t="s">
        <v>205</v>
      </c>
    </row>
    <row r="82" spans="1:9">
      <c r="A82" s="66">
        <v>44370</v>
      </c>
      <c r="B82" s="40" t="s">
        <v>620</v>
      </c>
      <c r="C82" s="67" t="s">
        <v>21</v>
      </c>
      <c r="D82" s="67">
        <v>1</v>
      </c>
      <c r="E82" s="67" t="s">
        <v>61</v>
      </c>
      <c r="F82" s="364">
        <v>5500000</v>
      </c>
      <c r="G82" s="364">
        <f t="shared" si="4"/>
        <v>5500000</v>
      </c>
      <c r="H82" s="364">
        <f>SUM(G82)</f>
        <v>5500000</v>
      </c>
      <c r="I82" s="40" t="s">
        <v>713</v>
      </c>
    </row>
    <row r="83" spans="1:9">
      <c r="A83" s="66">
        <v>44371</v>
      </c>
      <c r="B83" s="40" t="s">
        <v>714</v>
      </c>
      <c r="C83" s="67" t="s">
        <v>280</v>
      </c>
      <c r="D83" s="67">
        <v>1</v>
      </c>
      <c r="E83" s="67" t="s">
        <v>26</v>
      </c>
      <c r="F83" s="364">
        <v>0</v>
      </c>
      <c r="G83" s="364">
        <f t="shared" si="4"/>
        <v>0</v>
      </c>
      <c r="H83" s="40"/>
      <c r="I83" s="40"/>
    </row>
    <row r="84" spans="1:9">
      <c r="A84" s="477">
        <v>44372</v>
      </c>
      <c r="B84" s="478" t="s">
        <v>715</v>
      </c>
      <c r="C84" s="603" t="s">
        <v>33</v>
      </c>
      <c r="D84" s="603">
        <v>10</v>
      </c>
      <c r="E84" s="603" t="s">
        <v>26</v>
      </c>
      <c r="F84" s="584">
        <v>200000</v>
      </c>
      <c r="G84" s="584">
        <f t="shared" si="4"/>
        <v>2000000</v>
      </c>
      <c r="H84" s="904">
        <f>SUM(G84:G100)</f>
        <v>9475000</v>
      </c>
      <c r="I84" s="890" t="s">
        <v>603</v>
      </c>
    </row>
    <row r="85" spans="1:9">
      <c r="A85" s="478"/>
      <c r="B85" s="478" t="s">
        <v>716</v>
      </c>
      <c r="C85" s="603" t="s">
        <v>33</v>
      </c>
      <c r="D85" s="603">
        <v>5</v>
      </c>
      <c r="E85" s="603" t="s">
        <v>26</v>
      </c>
      <c r="F85" s="584">
        <v>150000</v>
      </c>
      <c r="G85" s="584">
        <f t="shared" si="4"/>
        <v>750000</v>
      </c>
      <c r="H85" s="905"/>
      <c r="I85" s="891"/>
    </row>
    <row r="86" spans="1:9">
      <c r="A86" s="478"/>
      <c r="B86" s="478" t="s">
        <v>717</v>
      </c>
      <c r="C86" s="603" t="s">
        <v>33</v>
      </c>
      <c r="D86" s="603">
        <v>5</v>
      </c>
      <c r="E86" s="603" t="s">
        <v>26</v>
      </c>
      <c r="F86" s="584">
        <v>160000</v>
      </c>
      <c r="G86" s="584">
        <f t="shared" si="4"/>
        <v>800000</v>
      </c>
      <c r="H86" s="905"/>
      <c r="I86" s="891"/>
    </row>
    <row r="87" spans="1:9">
      <c r="A87" s="478"/>
      <c r="B87" s="478" t="s">
        <v>718</v>
      </c>
      <c r="C87" s="603" t="s">
        <v>33</v>
      </c>
      <c r="D87" s="603">
        <v>5</v>
      </c>
      <c r="E87" s="603" t="s">
        <v>26</v>
      </c>
      <c r="F87" s="584">
        <v>160000</v>
      </c>
      <c r="G87" s="584">
        <f t="shared" si="4"/>
        <v>800000</v>
      </c>
      <c r="H87" s="905"/>
      <c r="I87" s="891"/>
    </row>
    <row r="88" spans="1:9">
      <c r="A88" s="478"/>
      <c r="B88" s="478" t="s">
        <v>719</v>
      </c>
      <c r="C88" s="603" t="s">
        <v>33</v>
      </c>
      <c r="D88" s="603">
        <v>2</v>
      </c>
      <c r="E88" s="603" t="s">
        <v>26</v>
      </c>
      <c r="F88" s="584">
        <v>100000</v>
      </c>
      <c r="G88" s="584">
        <f t="shared" si="4"/>
        <v>200000</v>
      </c>
      <c r="H88" s="905"/>
      <c r="I88" s="891"/>
    </row>
    <row r="89" spans="1:9">
      <c r="A89" s="478"/>
      <c r="B89" s="478" t="s">
        <v>720</v>
      </c>
      <c r="C89" s="603" t="s">
        <v>33</v>
      </c>
      <c r="D89" s="603">
        <v>2</v>
      </c>
      <c r="E89" s="603" t="s">
        <v>26</v>
      </c>
      <c r="F89" s="584">
        <v>125000</v>
      </c>
      <c r="G89" s="584">
        <f t="shared" si="4"/>
        <v>250000</v>
      </c>
      <c r="H89" s="905"/>
      <c r="I89" s="891"/>
    </row>
    <row r="90" spans="1:9">
      <c r="A90" s="478"/>
      <c r="B90" s="478" t="s">
        <v>721</v>
      </c>
      <c r="C90" s="603" t="s">
        <v>33</v>
      </c>
      <c r="D90" s="603">
        <v>2</v>
      </c>
      <c r="E90" s="603" t="s">
        <v>26</v>
      </c>
      <c r="F90" s="584">
        <v>100000</v>
      </c>
      <c r="G90" s="584">
        <f t="shared" si="4"/>
        <v>200000</v>
      </c>
      <c r="H90" s="905"/>
      <c r="I90" s="891"/>
    </row>
    <row r="91" spans="1:9">
      <c r="A91" s="478"/>
      <c r="B91" s="478" t="s">
        <v>722</v>
      </c>
      <c r="C91" s="603" t="s">
        <v>33</v>
      </c>
      <c r="D91" s="603">
        <v>2</v>
      </c>
      <c r="E91" s="603" t="s">
        <v>26</v>
      </c>
      <c r="F91" s="584">
        <v>125000</v>
      </c>
      <c r="G91" s="584">
        <f t="shared" si="4"/>
        <v>250000</v>
      </c>
      <c r="H91" s="905"/>
      <c r="I91" s="891"/>
    </row>
    <row r="92" spans="1:9">
      <c r="A92" s="478"/>
      <c r="B92" s="478" t="s">
        <v>723</v>
      </c>
      <c r="C92" s="603" t="s">
        <v>33</v>
      </c>
      <c r="D92" s="603">
        <v>5</v>
      </c>
      <c r="E92" s="603" t="s">
        <v>26</v>
      </c>
      <c r="F92" s="584">
        <v>150000</v>
      </c>
      <c r="G92" s="584">
        <f t="shared" si="4"/>
        <v>750000</v>
      </c>
      <c r="H92" s="905"/>
      <c r="I92" s="891"/>
    </row>
    <row r="93" spans="1:9">
      <c r="A93" s="478"/>
      <c r="B93" s="478" t="s">
        <v>724</v>
      </c>
      <c r="C93" s="603" t="s">
        <v>33</v>
      </c>
      <c r="D93" s="603">
        <v>5</v>
      </c>
      <c r="E93" s="603" t="s">
        <v>26</v>
      </c>
      <c r="F93" s="584">
        <v>175000</v>
      </c>
      <c r="G93" s="584">
        <f t="shared" si="4"/>
        <v>875000</v>
      </c>
      <c r="H93" s="905"/>
      <c r="I93" s="891"/>
    </row>
    <row r="94" spans="1:9">
      <c r="A94" s="478"/>
      <c r="B94" s="478" t="s">
        <v>725</v>
      </c>
      <c r="C94" s="603" t="s">
        <v>33</v>
      </c>
      <c r="D94" s="603">
        <v>2</v>
      </c>
      <c r="E94" s="603" t="s">
        <v>26</v>
      </c>
      <c r="F94" s="584">
        <v>85000</v>
      </c>
      <c r="G94" s="584">
        <f t="shared" si="4"/>
        <v>170000</v>
      </c>
      <c r="H94" s="905"/>
      <c r="I94" s="891"/>
    </row>
    <row r="95" spans="1:9">
      <c r="A95" s="478"/>
      <c r="B95" s="478" t="s">
        <v>726</v>
      </c>
      <c r="C95" s="603" t="s">
        <v>33</v>
      </c>
      <c r="D95" s="603">
        <v>1</v>
      </c>
      <c r="E95" s="603" t="s">
        <v>26</v>
      </c>
      <c r="F95" s="584">
        <v>85000</v>
      </c>
      <c r="G95" s="584">
        <f t="shared" si="4"/>
        <v>85000</v>
      </c>
      <c r="H95" s="905"/>
      <c r="I95" s="891"/>
    </row>
    <row r="96" spans="1:9">
      <c r="A96" s="478"/>
      <c r="B96" s="478" t="s">
        <v>727</v>
      </c>
      <c r="C96" s="603" t="s">
        <v>33</v>
      </c>
      <c r="D96" s="603">
        <v>2</v>
      </c>
      <c r="E96" s="603" t="s">
        <v>26</v>
      </c>
      <c r="F96" s="584">
        <v>35000</v>
      </c>
      <c r="G96" s="584">
        <f t="shared" si="4"/>
        <v>70000</v>
      </c>
      <c r="H96" s="905"/>
      <c r="I96" s="891"/>
    </row>
    <row r="97" spans="1:9">
      <c r="A97" s="478"/>
      <c r="B97" s="478" t="s">
        <v>728</v>
      </c>
      <c r="C97" s="603" t="s">
        <v>33</v>
      </c>
      <c r="D97" s="603">
        <v>2</v>
      </c>
      <c r="E97" s="603" t="s">
        <v>26</v>
      </c>
      <c r="F97" s="584">
        <v>35000</v>
      </c>
      <c r="G97" s="584">
        <f t="shared" si="4"/>
        <v>70000</v>
      </c>
      <c r="H97" s="905"/>
      <c r="I97" s="891"/>
    </row>
    <row r="98" spans="1:9">
      <c r="A98" s="478"/>
      <c r="B98" s="478" t="s">
        <v>729</v>
      </c>
      <c r="C98" s="603" t="s">
        <v>33</v>
      </c>
      <c r="D98" s="603">
        <v>3</v>
      </c>
      <c r="E98" s="603" t="s">
        <v>26</v>
      </c>
      <c r="F98" s="584">
        <v>35000</v>
      </c>
      <c r="G98" s="584">
        <f t="shared" si="4"/>
        <v>105000</v>
      </c>
      <c r="H98" s="905"/>
      <c r="I98" s="891"/>
    </row>
    <row r="99" spans="1:9">
      <c r="A99" s="478"/>
      <c r="B99" s="478" t="s">
        <v>730</v>
      </c>
      <c r="C99" s="603" t="s">
        <v>33</v>
      </c>
      <c r="D99" s="603">
        <v>10</v>
      </c>
      <c r="E99" s="603" t="s">
        <v>26</v>
      </c>
      <c r="F99" s="584">
        <v>110000</v>
      </c>
      <c r="G99" s="584">
        <f t="shared" si="4"/>
        <v>1100000</v>
      </c>
      <c r="H99" s="905"/>
      <c r="I99" s="891"/>
    </row>
    <row r="100" spans="1:9">
      <c r="A100" s="478"/>
      <c r="B100" s="478" t="s">
        <v>731</v>
      </c>
      <c r="C100" s="603" t="s">
        <v>33</v>
      </c>
      <c r="D100" s="603">
        <v>10</v>
      </c>
      <c r="E100" s="603" t="s">
        <v>26</v>
      </c>
      <c r="F100" s="584">
        <v>100000</v>
      </c>
      <c r="G100" s="584">
        <f t="shared" si="4"/>
        <v>1000000</v>
      </c>
      <c r="H100" s="906"/>
      <c r="I100" s="892"/>
    </row>
    <row r="101" spans="1:9">
      <c r="A101" s="528">
        <v>44375</v>
      </c>
      <c r="B101" s="529" t="s">
        <v>734</v>
      </c>
      <c r="C101" s="530" t="s">
        <v>49</v>
      </c>
      <c r="D101" s="538">
        <v>2</v>
      </c>
      <c r="E101" s="538" t="s">
        <v>26</v>
      </c>
      <c r="F101" s="537">
        <v>1200000</v>
      </c>
      <c r="G101" s="537">
        <f t="shared" si="4"/>
        <v>2400000</v>
      </c>
      <c r="H101" s="537">
        <f>SUM(G101)</f>
        <v>2400000</v>
      </c>
      <c r="I101" s="67" t="s">
        <v>685</v>
      </c>
    </row>
    <row r="102" spans="1:9">
      <c r="A102" s="40"/>
      <c r="B102" s="40"/>
      <c r="C102" s="40"/>
      <c r="D102" s="40"/>
      <c r="E102" s="40"/>
      <c r="F102" s="364">
        <v>0</v>
      </c>
      <c r="G102" s="364">
        <f t="shared" si="4"/>
        <v>0</v>
      </c>
      <c r="H102" s="40"/>
      <c r="I102" s="40"/>
    </row>
    <row r="103" spans="1:9">
      <c r="A103" s="40"/>
      <c r="B103" s="40"/>
      <c r="C103" s="40"/>
      <c r="D103" s="40"/>
      <c r="E103" s="40"/>
      <c r="F103" s="364">
        <v>0</v>
      </c>
      <c r="G103" s="364">
        <f t="shared" si="4"/>
        <v>0</v>
      </c>
      <c r="H103" s="40"/>
      <c r="I103" s="40"/>
    </row>
    <row r="104" spans="1:9">
      <c r="A104" s="40"/>
      <c r="B104" s="40"/>
      <c r="C104" s="40"/>
      <c r="D104" s="40"/>
      <c r="E104" s="40"/>
      <c r="F104" s="364">
        <v>0</v>
      </c>
      <c r="G104" s="364">
        <f t="shared" si="4"/>
        <v>0</v>
      </c>
      <c r="H104" s="40"/>
      <c r="I104" s="40"/>
    </row>
    <row r="105" spans="1:9">
      <c r="A105" s="40"/>
      <c r="B105" s="40"/>
      <c r="C105" s="40"/>
      <c r="D105" s="40"/>
      <c r="E105" s="40"/>
      <c r="F105" s="364">
        <v>0</v>
      </c>
      <c r="G105" s="364">
        <f t="shared" si="4"/>
        <v>0</v>
      </c>
      <c r="H105" s="40"/>
      <c r="I105" s="40"/>
    </row>
    <row r="106" spans="1:9">
      <c r="A106" s="40"/>
      <c r="B106" s="40"/>
      <c r="C106" s="40"/>
      <c r="D106" s="40"/>
      <c r="E106" s="40"/>
      <c r="F106" s="364">
        <v>0</v>
      </c>
      <c r="G106" s="364">
        <f t="shared" si="4"/>
        <v>0</v>
      </c>
      <c r="H106" s="40"/>
      <c r="I106" s="40"/>
    </row>
    <row r="107" spans="1:9">
      <c r="A107" s="40"/>
      <c r="B107" s="40"/>
      <c r="C107" s="40"/>
      <c r="D107" s="40"/>
      <c r="E107" s="40"/>
      <c r="F107" s="364">
        <v>0</v>
      </c>
      <c r="G107" s="364">
        <f t="shared" si="4"/>
        <v>0</v>
      </c>
      <c r="H107" s="40"/>
      <c r="I107" s="40"/>
    </row>
    <row r="108" spans="1:9">
      <c r="A108" s="40"/>
      <c r="B108" s="40"/>
      <c r="C108" s="40"/>
      <c r="D108" s="40"/>
      <c r="E108" s="40"/>
      <c r="F108" s="364">
        <v>0</v>
      </c>
      <c r="G108" s="364">
        <f t="shared" si="4"/>
        <v>0</v>
      </c>
      <c r="H108" s="40"/>
      <c r="I108" s="40"/>
    </row>
    <row r="109" spans="1:9">
      <c r="A109" s="40"/>
      <c r="B109" s="40"/>
      <c r="C109" s="40"/>
      <c r="D109" s="40"/>
      <c r="E109" s="40"/>
      <c r="F109" s="364">
        <v>0</v>
      </c>
      <c r="G109" s="364">
        <f t="shared" si="4"/>
        <v>0</v>
      </c>
      <c r="H109" s="40"/>
      <c r="I109" s="40"/>
    </row>
    <row r="110" spans="1:9">
      <c r="A110" s="40"/>
      <c r="B110" s="40"/>
      <c r="C110" s="40"/>
      <c r="D110" s="40"/>
      <c r="E110" s="40"/>
      <c r="F110" s="40">
        <v>0</v>
      </c>
      <c r="G110" s="40">
        <f t="shared" si="4"/>
        <v>0</v>
      </c>
      <c r="H110" s="40"/>
      <c r="I110" s="40"/>
    </row>
    <row r="111" spans="1:9">
      <c r="A111" s="40"/>
      <c r="B111" s="40"/>
      <c r="C111" s="40"/>
      <c r="D111" s="40"/>
      <c r="E111" s="40"/>
      <c r="F111" s="40"/>
      <c r="G111" s="40"/>
      <c r="H111" s="40"/>
      <c r="I111" s="40"/>
    </row>
    <row r="112" spans="1:9">
      <c r="A112" s="40"/>
      <c r="B112" s="40"/>
      <c r="C112" s="40"/>
      <c r="D112" s="40"/>
      <c r="E112" s="40"/>
      <c r="F112" s="40"/>
      <c r="G112" s="40"/>
      <c r="H112" s="40"/>
      <c r="I112" s="40"/>
    </row>
    <row r="113" spans="1:9">
      <c r="A113" s="40"/>
      <c r="B113" s="40"/>
      <c r="C113" s="40"/>
      <c r="D113" s="40"/>
      <c r="E113" s="40"/>
      <c r="F113" s="40"/>
      <c r="G113" s="40"/>
      <c r="H113" s="40"/>
      <c r="I113" s="40"/>
    </row>
    <row r="114" spans="1:9">
      <c r="A114" s="40"/>
      <c r="B114" s="40"/>
      <c r="C114" s="40"/>
      <c r="D114" s="40"/>
      <c r="E114" s="40"/>
      <c r="F114" s="40"/>
      <c r="G114" s="40"/>
      <c r="H114" s="40"/>
      <c r="I114" s="40"/>
    </row>
    <row r="115" spans="1:9">
      <c r="A115" s="40"/>
      <c r="B115" s="40"/>
      <c r="C115" s="40"/>
      <c r="D115" s="40"/>
      <c r="E115" s="40"/>
      <c r="F115" s="40"/>
      <c r="G115" s="40"/>
      <c r="H115" s="40"/>
      <c r="I115" s="40"/>
    </row>
    <row r="116" spans="1:9">
      <c r="A116" s="40"/>
      <c r="B116" s="40"/>
      <c r="C116" s="40"/>
      <c r="D116" s="40"/>
      <c r="E116" s="40"/>
      <c r="F116" s="40"/>
      <c r="G116" s="40"/>
      <c r="H116" s="40"/>
      <c r="I116" s="40"/>
    </row>
    <row r="117" spans="1:9">
      <c r="A117" s="40"/>
      <c r="B117" s="40"/>
      <c r="C117" s="40"/>
      <c r="D117" s="40"/>
      <c r="E117" s="40"/>
      <c r="F117" s="40"/>
      <c r="G117" s="40"/>
      <c r="H117" s="40"/>
      <c r="I117" s="40"/>
    </row>
    <row r="118" spans="1:9">
      <c r="A118" s="40"/>
      <c r="B118" s="40"/>
      <c r="C118" s="40"/>
      <c r="D118" s="40"/>
      <c r="E118" s="40"/>
      <c r="F118" s="40"/>
      <c r="G118" s="40"/>
      <c r="H118" s="40"/>
      <c r="I118" s="40"/>
    </row>
    <row r="119" spans="1:9">
      <c r="A119" s="40"/>
      <c r="B119" s="40"/>
      <c r="C119" s="40"/>
      <c r="D119" s="40"/>
      <c r="E119" s="40"/>
      <c r="F119" s="40"/>
      <c r="G119" s="40"/>
      <c r="H119" s="40"/>
      <c r="I119" s="40"/>
    </row>
    <row r="120" spans="1:9">
      <c r="B120" s="40"/>
      <c r="C120" s="40"/>
      <c r="D120" s="40"/>
      <c r="E120" s="40"/>
      <c r="F120" s="40"/>
      <c r="G120" s="40"/>
      <c r="H120" s="40"/>
      <c r="I120" s="40"/>
    </row>
  </sheetData>
  <mergeCells count="29">
    <mergeCell ref="I68:I72"/>
    <mergeCell ref="H66:H67"/>
    <mergeCell ref="I66:I67"/>
    <mergeCell ref="H61:H64"/>
    <mergeCell ref="I61:I64"/>
    <mergeCell ref="I49:I55"/>
    <mergeCell ref="H56:H60"/>
    <mergeCell ref="H3:H8"/>
    <mergeCell ref="I3:I8"/>
    <mergeCell ref="H11:H12"/>
    <mergeCell ref="I11:I12"/>
    <mergeCell ref="H18:H19"/>
    <mergeCell ref="I9:I10"/>
    <mergeCell ref="O21:O23"/>
    <mergeCell ref="O18:O19"/>
    <mergeCell ref="O15:O17"/>
    <mergeCell ref="O9:O11"/>
    <mergeCell ref="H84:H100"/>
    <mergeCell ref="I84:I100"/>
    <mergeCell ref="I56:I60"/>
    <mergeCell ref="H76:H80"/>
    <mergeCell ref="I76:I80"/>
    <mergeCell ref="H21:H22"/>
    <mergeCell ref="I21:I22"/>
    <mergeCell ref="H23:H42"/>
    <mergeCell ref="H43:H44"/>
    <mergeCell ref="I23:I44"/>
    <mergeCell ref="H68:H72"/>
    <mergeCell ref="H49:H55"/>
  </mergeCells>
  <pageMargins left="0.9055118110236221" right="0.70866141732283472" top="0.94488188976377963" bottom="0.74803149606299213" header="0.31496062992125984" footer="0.31496062992125984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T88"/>
  <sheetViews>
    <sheetView topLeftCell="A14" workbookViewId="0">
      <selection activeCell="B28" sqref="B28"/>
    </sheetView>
  </sheetViews>
  <sheetFormatPr defaultRowHeight="15"/>
  <cols>
    <col min="2" max="2" width="68.140625" customWidth="1"/>
    <col min="3" max="3" width="15.5703125" customWidth="1"/>
    <col min="4" max="4" width="8" customWidth="1"/>
    <col min="5" max="5" width="12.140625" customWidth="1"/>
    <col min="6" max="6" width="18.28515625" customWidth="1"/>
    <col min="7" max="7" width="17.85546875" customWidth="1"/>
    <col min="8" max="8" width="16.7109375" customWidth="1"/>
    <col min="9" max="9" width="27" customWidth="1"/>
    <col min="12" max="12" width="12.42578125" customWidth="1"/>
    <col min="13" max="13" width="21.7109375" customWidth="1"/>
    <col min="14" max="14" width="18" customWidth="1"/>
    <col min="15" max="15" width="24.5703125" customWidth="1"/>
    <col min="16" max="16" width="14" bestFit="1" customWidth="1"/>
    <col min="17" max="17" width="21.7109375" customWidth="1"/>
  </cols>
  <sheetData>
    <row r="1" spans="1:20">
      <c r="A1" s="1" t="s">
        <v>0</v>
      </c>
      <c r="C1" s="2"/>
      <c r="D1" s="2"/>
      <c r="E1" s="2"/>
      <c r="F1" s="3"/>
      <c r="G1" s="3"/>
      <c r="H1" s="3"/>
      <c r="K1" s="4" t="s">
        <v>578</v>
      </c>
      <c r="L1" s="5"/>
      <c r="M1" s="5"/>
      <c r="N1" s="3"/>
    </row>
    <row r="2" spans="1:20" ht="30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9" t="s">
        <v>7</v>
      </c>
      <c r="H2" s="8" t="s">
        <v>8</v>
      </c>
      <c r="I2" s="7" t="s">
        <v>9</v>
      </c>
      <c r="K2" s="10" t="s">
        <v>10</v>
      </c>
      <c r="L2" s="11" t="s">
        <v>11</v>
      </c>
      <c r="M2" s="6" t="s">
        <v>12</v>
      </c>
      <c r="N2" s="9" t="s">
        <v>13</v>
      </c>
      <c r="O2" s="7" t="s">
        <v>9</v>
      </c>
      <c r="P2" s="426"/>
    </row>
    <row r="3" spans="1:20">
      <c r="A3" s="507">
        <v>44378</v>
      </c>
      <c r="B3" s="508" t="s">
        <v>735</v>
      </c>
      <c r="C3" s="209" t="s">
        <v>158</v>
      </c>
      <c r="D3" s="209">
        <v>2</v>
      </c>
      <c r="E3" s="209" t="s">
        <v>26</v>
      </c>
      <c r="F3" s="509">
        <v>2200000</v>
      </c>
      <c r="G3" s="509">
        <f>SUM(F3*D3)</f>
        <v>4400000</v>
      </c>
      <c r="H3" s="509">
        <f>SUM(G3)</f>
        <v>4400000</v>
      </c>
      <c r="I3" s="517" t="s">
        <v>944</v>
      </c>
      <c r="J3" s="18"/>
      <c r="K3" s="370">
        <v>1</v>
      </c>
      <c r="L3" s="591">
        <v>44343</v>
      </c>
      <c r="M3" s="592" t="s">
        <v>161</v>
      </c>
      <c r="N3" s="593">
        <v>9600000</v>
      </c>
      <c r="O3" s="594" t="s">
        <v>1168</v>
      </c>
      <c r="P3" s="609"/>
    </row>
    <row r="4" spans="1:20">
      <c r="A4" s="66">
        <v>44379</v>
      </c>
      <c r="B4" s="40" t="s">
        <v>738</v>
      </c>
      <c r="C4" s="67" t="s">
        <v>280</v>
      </c>
      <c r="D4" s="67">
        <v>1</v>
      </c>
      <c r="E4" s="67" t="s">
        <v>26</v>
      </c>
      <c r="F4" s="65">
        <v>0</v>
      </c>
      <c r="G4" s="124">
        <f t="shared" ref="G4:G31" si="0">SUM(F4*D4)</f>
        <v>0</v>
      </c>
      <c r="H4" s="124">
        <v>0</v>
      </c>
      <c r="I4" s="124"/>
      <c r="J4" s="19"/>
      <c r="K4" s="411">
        <v>2</v>
      </c>
      <c r="L4" s="123">
        <v>44344</v>
      </c>
      <c r="M4" s="122" t="s">
        <v>164</v>
      </c>
      <c r="N4" s="420">
        <v>940000</v>
      </c>
      <c r="O4" s="255" t="s">
        <v>825</v>
      </c>
      <c r="P4" s="448"/>
      <c r="R4" s="505" t="s">
        <v>937</v>
      </c>
      <c r="S4" s="505"/>
      <c r="T4" t="s">
        <v>667</v>
      </c>
    </row>
    <row r="5" spans="1:20">
      <c r="A5" s="66">
        <v>44380</v>
      </c>
      <c r="B5" s="40" t="s">
        <v>792</v>
      </c>
      <c r="C5" s="67" t="s">
        <v>204</v>
      </c>
      <c r="D5" s="67">
        <v>1</v>
      </c>
      <c r="E5" s="67" t="s">
        <v>61</v>
      </c>
      <c r="F5" s="65">
        <v>0</v>
      </c>
      <c r="G5" s="124">
        <v>0</v>
      </c>
      <c r="H5" s="715">
        <v>0</v>
      </c>
      <c r="I5" s="715" t="s">
        <v>205</v>
      </c>
      <c r="J5" s="20"/>
      <c r="K5" s="412">
        <v>3</v>
      </c>
      <c r="L5" s="371">
        <v>44344</v>
      </c>
      <c r="M5" s="203" t="s">
        <v>49</v>
      </c>
      <c r="N5" s="378">
        <v>15782000</v>
      </c>
      <c r="O5" s="947" t="s">
        <v>710</v>
      </c>
      <c r="P5" s="610"/>
      <c r="Q5" s="380">
        <f>N5+N6</f>
        <v>17577000</v>
      </c>
      <c r="R5" t="s">
        <v>667</v>
      </c>
    </row>
    <row r="6" spans="1:20">
      <c r="A6" s="66"/>
      <c r="B6" s="40" t="s">
        <v>793</v>
      </c>
      <c r="C6" s="67" t="s">
        <v>204</v>
      </c>
      <c r="D6" s="67">
        <v>1</v>
      </c>
      <c r="E6" s="67" t="s">
        <v>61</v>
      </c>
      <c r="F6" s="65">
        <v>0</v>
      </c>
      <c r="G6" s="124">
        <v>0</v>
      </c>
      <c r="H6" s="807"/>
      <c r="I6" s="807"/>
      <c r="J6" s="14"/>
      <c r="K6" s="370">
        <v>4</v>
      </c>
      <c r="L6" s="371">
        <v>44344</v>
      </c>
      <c r="M6" s="203" t="s">
        <v>49</v>
      </c>
      <c r="N6" s="205">
        <v>1795000</v>
      </c>
      <c r="O6" s="948"/>
      <c r="P6" s="610"/>
      <c r="Q6" s="246"/>
    </row>
    <row r="7" spans="1:20">
      <c r="A7" s="66"/>
      <c r="B7" s="40" t="s">
        <v>794</v>
      </c>
      <c r="C7" s="67" t="s">
        <v>204</v>
      </c>
      <c r="D7" s="67">
        <v>1</v>
      </c>
      <c r="E7" s="67" t="s">
        <v>61</v>
      </c>
      <c r="F7" s="65">
        <v>0</v>
      </c>
      <c r="G7" s="124">
        <v>0</v>
      </c>
      <c r="H7" s="716"/>
      <c r="I7" s="716"/>
      <c r="J7" s="14"/>
      <c r="K7" s="411">
        <v>5</v>
      </c>
      <c r="L7" s="490">
        <v>44345</v>
      </c>
      <c r="M7" s="486" t="s">
        <v>429</v>
      </c>
      <c r="N7" s="488">
        <v>3900000</v>
      </c>
      <c r="O7" s="492" t="s">
        <v>908</v>
      </c>
      <c r="P7" s="450"/>
      <c r="Q7" t="s">
        <v>667</v>
      </c>
      <c r="R7" s="349">
        <f>N4+N13+N21</f>
        <v>17040000</v>
      </c>
    </row>
    <row r="8" spans="1:20">
      <c r="A8" s="66">
        <v>44382</v>
      </c>
      <c r="B8" s="40" t="s">
        <v>739</v>
      </c>
      <c r="C8" s="67" t="s">
        <v>740</v>
      </c>
      <c r="D8" s="67">
        <v>1</v>
      </c>
      <c r="E8" s="67" t="s">
        <v>26</v>
      </c>
      <c r="F8" s="65">
        <v>1550000</v>
      </c>
      <c r="G8" s="124">
        <f t="shared" si="0"/>
        <v>1550000</v>
      </c>
      <c r="H8" s="124">
        <f>SUM(G8)</f>
        <v>1550000</v>
      </c>
      <c r="I8" s="124" t="s">
        <v>741</v>
      </c>
      <c r="J8" s="14"/>
      <c r="K8" s="412">
        <v>6</v>
      </c>
      <c r="L8" s="392">
        <v>44366</v>
      </c>
      <c r="M8" s="393" t="s">
        <v>158</v>
      </c>
      <c r="N8" s="211">
        <v>5920000</v>
      </c>
      <c r="O8" s="516" t="s">
        <v>940</v>
      </c>
      <c r="P8" s="450"/>
    </row>
    <row r="9" spans="1:20">
      <c r="A9" s="66">
        <v>44382</v>
      </c>
      <c r="B9" s="40" t="s">
        <v>742</v>
      </c>
      <c r="C9" s="67" t="s">
        <v>745</v>
      </c>
      <c r="D9" s="67">
        <v>1</v>
      </c>
      <c r="E9" s="67" t="s">
        <v>26</v>
      </c>
      <c r="F9" s="65">
        <v>1000000</v>
      </c>
      <c r="G9" s="124">
        <f t="shared" si="0"/>
        <v>1000000</v>
      </c>
      <c r="H9" s="715">
        <f>SUM(G9:G11)</f>
        <v>5900000</v>
      </c>
      <c r="I9" s="715" t="s">
        <v>324</v>
      </c>
      <c r="J9" s="14"/>
      <c r="K9" s="370">
        <v>7</v>
      </c>
      <c r="L9" s="287">
        <v>44348</v>
      </c>
      <c r="M9" s="289" t="s">
        <v>161</v>
      </c>
      <c r="N9" s="263">
        <v>11600000</v>
      </c>
      <c r="O9" s="594" t="s">
        <v>1168</v>
      </c>
      <c r="P9" s="609"/>
      <c r="Q9" s="142">
        <f>N3+N9+N11+N15+N18+N19+N20</f>
        <v>46200000</v>
      </c>
      <c r="R9" s="502">
        <v>17040000</v>
      </c>
    </row>
    <row r="10" spans="1:20">
      <c r="A10" s="40"/>
      <c r="B10" s="40" t="s">
        <v>743</v>
      </c>
      <c r="C10" s="67" t="s">
        <v>745</v>
      </c>
      <c r="D10" s="67">
        <v>1</v>
      </c>
      <c r="E10" s="67" t="s">
        <v>26</v>
      </c>
      <c r="F10" s="65">
        <v>1100000</v>
      </c>
      <c r="G10" s="124">
        <f t="shared" si="0"/>
        <v>1100000</v>
      </c>
      <c r="H10" s="807"/>
      <c r="I10" s="807"/>
      <c r="J10" s="14"/>
      <c r="K10" s="411">
        <v>8</v>
      </c>
      <c r="L10" s="392">
        <v>44369</v>
      </c>
      <c r="M10" s="393" t="s">
        <v>158</v>
      </c>
      <c r="N10" s="211">
        <v>6260000</v>
      </c>
      <c r="O10" s="516" t="s">
        <v>940</v>
      </c>
      <c r="P10" s="450"/>
      <c r="R10" s="349">
        <f>R7-R9</f>
        <v>0</v>
      </c>
    </row>
    <row r="11" spans="1:20">
      <c r="A11" s="66"/>
      <c r="B11" s="40" t="s">
        <v>744</v>
      </c>
      <c r="C11" s="67" t="s">
        <v>745</v>
      </c>
      <c r="D11" s="67">
        <v>2</v>
      </c>
      <c r="E11" s="67" t="s">
        <v>26</v>
      </c>
      <c r="F11" s="65">
        <v>1900000</v>
      </c>
      <c r="G11" s="124">
        <f t="shared" si="0"/>
        <v>3800000</v>
      </c>
      <c r="H11" s="716"/>
      <c r="I11" s="716"/>
      <c r="J11" s="14"/>
      <c r="K11" s="412">
        <v>9</v>
      </c>
      <c r="L11" s="287">
        <v>44348</v>
      </c>
      <c r="M11" s="289" t="s">
        <v>161</v>
      </c>
      <c r="N11" s="263">
        <v>4725000</v>
      </c>
      <c r="O11" s="594" t="s">
        <v>1168</v>
      </c>
      <c r="P11" s="609"/>
    </row>
    <row r="12" spans="1:20">
      <c r="A12" s="207">
        <v>44383</v>
      </c>
      <c r="B12" s="208" t="s">
        <v>754</v>
      </c>
      <c r="C12" s="394" t="s">
        <v>158</v>
      </c>
      <c r="D12" s="394">
        <v>1</v>
      </c>
      <c r="E12" s="394" t="s">
        <v>26</v>
      </c>
      <c r="F12" s="212">
        <v>740000</v>
      </c>
      <c r="G12" s="212">
        <f t="shared" si="0"/>
        <v>740000</v>
      </c>
      <c r="H12" s="833">
        <f>SUM(G12:G16)</f>
        <v>5720000</v>
      </c>
      <c r="I12" s="833" t="s">
        <v>944</v>
      </c>
      <c r="J12" s="14"/>
      <c r="K12" s="370">
        <v>10</v>
      </c>
      <c r="L12" s="409">
        <v>44350</v>
      </c>
      <c r="M12" s="271" t="s">
        <v>21</v>
      </c>
      <c r="N12" s="273">
        <v>3300000</v>
      </c>
      <c r="O12" s="422" t="s">
        <v>909</v>
      </c>
      <c r="P12" s="450"/>
      <c r="R12" s="142">
        <f>N3+N9+N11</f>
        <v>25925000</v>
      </c>
    </row>
    <row r="13" spans="1:20">
      <c r="A13" s="436"/>
      <c r="B13" s="436" t="s">
        <v>750</v>
      </c>
      <c r="C13" s="394" t="s">
        <v>158</v>
      </c>
      <c r="D13" s="210">
        <v>1</v>
      </c>
      <c r="E13" s="394" t="s">
        <v>26</v>
      </c>
      <c r="F13" s="212">
        <v>740000</v>
      </c>
      <c r="G13" s="212">
        <f t="shared" si="0"/>
        <v>740000</v>
      </c>
      <c r="H13" s="949"/>
      <c r="I13" s="949"/>
      <c r="J13" s="14"/>
      <c r="K13" s="411">
        <v>11</v>
      </c>
      <c r="L13" s="123">
        <v>44350</v>
      </c>
      <c r="M13" s="122" t="s">
        <v>164</v>
      </c>
      <c r="N13" s="117">
        <v>7500000</v>
      </c>
      <c r="O13" s="255" t="s">
        <v>825</v>
      </c>
      <c r="P13" s="448"/>
    </row>
    <row r="14" spans="1:20">
      <c r="A14" s="436"/>
      <c r="B14" s="436" t="s">
        <v>751</v>
      </c>
      <c r="C14" s="394" t="s">
        <v>158</v>
      </c>
      <c r="D14" s="210">
        <v>2</v>
      </c>
      <c r="E14" s="394" t="s">
        <v>26</v>
      </c>
      <c r="F14" s="212">
        <v>640000</v>
      </c>
      <c r="G14" s="212">
        <f t="shared" si="0"/>
        <v>1280000</v>
      </c>
      <c r="H14" s="949"/>
      <c r="I14" s="949"/>
      <c r="J14" s="14"/>
      <c r="K14" s="412">
        <v>12</v>
      </c>
      <c r="L14" s="409">
        <v>44352</v>
      </c>
      <c r="M14" s="271" t="s">
        <v>21</v>
      </c>
      <c r="N14" s="273">
        <v>5500000</v>
      </c>
      <c r="O14" s="422" t="s">
        <v>909</v>
      </c>
      <c r="P14" s="450"/>
      <c r="Q14" s="142"/>
    </row>
    <row r="15" spans="1:20">
      <c r="A15" s="436"/>
      <c r="B15" s="436" t="s">
        <v>752</v>
      </c>
      <c r="C15" s="394" t="s">
        <v>158</v>
      </c>
      <c r="D15" s="210">
        <v>2</v>
      </c>
      <c r="E15" s="394" t="s">
        <v>26</v>
      </c>
      <c r="F15" s="211">
        <v>740000</v>
      </c>
      <c r="G15" s="211">
        <f t="shared" si="0"/>
        <v>1480000</v>
      </c>
      <c r="H15" s="949"/>
      <c r="I15" s="949"/>
      <c r="J15" s="14"/>
      <c r="K15" s="370">
        <v>13</v>
      </c>
      <c r="L15" s="371">
        <v>44352</v>
      </c>
      <c r="M15" s="203" t="s">
        <v>161</v>
      </c>
      <c r="N15" s="205">
        <v>975000</v>
      </c>
      <c r="O15" s="202" t="s">
        <v>1239</v>
      </c>
      <c r="P15" s="440"/>
      <c r="R15" s="142">
        <f>R12+R16</f>
        <v>46200000</v>
      </c>
    </row>
    <row r="16" spans="1:20">
      <c r="A16" s="510"/>
      <c r="B16" s="436" t="s">
        <v>753</v>
      </c>
      <c r="C16" s="394" t="s">
        <v>158</v>
      </c>
      <c r="D16" s="210">
        <v>2</v>
      </c>
      <c r="E16" s="394" t="s">
        <v>26</v>
      </c>
      <c r="F16" s="211">
        <v>740000</v>
      </c>
      <c r="G16" s="211">
        <f t="shared" si="0"/>
        <v>1480000</v>
      </c>
      <c r="H16" s="834"/>
      <c r="I16" s="834"/>
      <c r="J16" s="14"/>
      <c r="K16" s="370">
        <v>14</v>
      </c>
      <c r="L16" s="546">
        <v>44354</v>
      </c>
      <c r="M16" s="530" t="s">
        <v>49</v>
      </c>
      <c r="N16" s="532">
        <v>5500000</v>
      </c>
      <c r="O16" s="555" t="s">
        <v>909</v>
      </c>
      <c r="P16" s="611"/>
      <c r="R16" s="142">
        <f>N15+N18+N19+N20</f>
        <v>20275000</v>
      </c>
    </row>
    <row r="17" spans="1:18">
      <c r="A17" s="533">
        <v>44385</v>
      </c>
      <c r="B17" s="534" t="s">
        <v>756</v>
      </c>
      <c r="C17" s="535" t="s">
        <v>49</v>
      </c>
      <c r="D17" s="536">
        <v>10</v>
      </c>
      <c r="E17" s="530" t="s">
        <v>26</v>
      </c>
      <c r="F17" s="532">
        <v>120000</v>
      </c>
      <c r="G17" s="532">
        <f t="shared" si="0"/>
        <v>1200000</v>
      </c>
      <c r="H17" s="936">
        <f>SUM(G17:G31)</f>
        <v>14425000</v>
      </c>
      <c r="I17" s="946" t="s">
        <v>771</v>
      </c>
      <c r="J17" s="14"/>
      <c r="K17" s="411">
        <v>15</v>
      </c>
      <c r="L17" s="490">
        <v>44354</v>
      </c>
      <c r="M17" s="486" t="s">
        <v>429</v>
      </c>
      <c r="N17" s="488">
        <v>2000000</v>
      </c>
      <c r="O17" s="492" t="s">
        <v>908</v>
      </c>
      <c r="P17" s="450"/>
    </row>
    <row r="18" spans="1:18">
      <c r="A18" s="534"/>
      <c r="B18" s="534" t="s">
        <v>757</v>
      </c>
      <c r="C18" s="535" t="s">
        <v>49</v>
      </c>
      <c r="D18" s="536">
        <v>5</v>
      </c>
      <c r="E18" s="530" t="s">
        <v>26</v>
      </c>
      <c r="F18" s="532">
        <v>120000</v>
      </c>
      <c r="G18" s="532">
        <f t="shared" si="0"/>
        <v>600000</v>
      </c>
      <c r="H18" s="944"/>
      <c r="I18" s="944"/>
      <c r="J18" s="14"/>
      <c r="K18" s="412">
        <v>16</v>
      </c>
      <c r="L18" s="371">
        <v>44354</v>
      </c>
      <c r="M18" s="203" t="s">
        <v>161</v>
      </c>
      <c r="N18" s="205">
        <v>12000000</v>
      </c>
      <c r="O18" s="950" t="s">
        <v>1239</v>
      </c>
      <c r="P18" s="612"/>
      <c r="Q18" t="s">
        <v>667</v>
      </c>
      <c r="R18" s="142">
        <f>N7+N17</f>
        <v>5900000</v>
      </c>
    </row>
    <row r="19" spans="1:18">
      <c r="A19" s="534"/>
      <c r="B19" s="534" t="s">
        <v>758</v>
      </c>
      <c r="C19" s="535" t="s">
        <v>49</v>
      </c>
      <c r="D19" s="536">
        <v>5</v>
      </c>
      <c r="E19" s="530" t="s">
        <v>26</v>
      </c>
      <c r="F19" s="532">
        <v>120000</v>
      </c>
      <c r="G19" s="532">
        <f t="shared" si="0"/>
        <v>600000</v>
      </c>
      <c r="H19" s="944"/>
      <c r="I19" s="944"/>
      <c r="J19" s="14"/>
      <c r="K19" s="370">
        <v>17</v>
      </c>
      <c r="L19" s="371">
        <v>44355</v>
      </c>
      <c r="M19" s="203" t="s">
        <v>161</v>
      </c>
      <c r="N19" s="205">
        <v>3300000</v>
      </c>
      <c r="O19" s="951"/>
      <c r="P19" s="612"/>
    </row>
    <row r="20" spans="1:18">
      <c r="A20" s="534"/>
      <c r="B20" s="534" t="s">
        <v>759</v>
      </c>
      <c r="C20" s="535" t="s">
        <v>49</v>
      </c>
      <c r="D20" s="536">
        <v>5</v>
      </c>
      <c r="E20" s="530" t="s">
        <v>26</v>
      </c>
      <c r="F20" s="532">
        <v>120000</v>
      </c>
      <c r="G20" s="532">
        <f t="shared" si="0"/>
        <v>600000</v>
      </c>
      <c r="H20" s="944"/>
      <c r="I20" s="944"/>
      <c r="J20" s="14"/>
      <c r="K20" s="370">
        <v>18</v>
      </c>
      <c r="L20" s="371">
        <v>44361</v>
      </c>
      <c r="M20" s="203" t="s">
        <v>161</v>
      </c>
      <c r="N20" s="205">
        <v>4000000</v>
      </c>
      <c r="O20" s="952"/>
      <c r="P20" s="612"/>
    </row>
    <row r="21" spans="1:18">
      <c r="A21" s="534"/>
      <c r="B21" s="534" t="s">
        <v>760</v>
      </c>
      <c r="C21" s="535" t="s">
        <v>49</v>
      </c>
      <c r="D21" s="536">
        <v>5</v>
      </c>
      <c r="E21" s="530" t="s">
        <v>26</v>
      </c>
      <c r="F21" s="532">
        <v>120000</v>
      </c>
      <c r="G21" s="532">
        <f t="shared" si="0"/>
        <v>600000</v>
      </c>
      <c r="H21" s="944"/>
      <c r="I21" s="944"/>
      <c r="J21" s="14"/>
      <c r="K21" s="411">
        <v>19</v>
      </c>
      <c r="L21" s="123">
        <v>44365</v>
      </c>
      <c r="M21" s="122" t="s">
        <v>164</v>
      </c>
      <c r="N21" s="117">
        <v>8600000</v>
      </c>
      <c r="O21" s="255" t="s">
        <v>825</v>
      </c>
      <c r="P21" s="448"/>
    </row>
    <row r="22" spans="1:18">
      <c r="A22" s="534"/>
      <c r="B22" s="534" t="s">
        <v>761</v>
      </c>
      <c r="C22" s="535" t="s">
        <v>49</v>
      </c>
      <c r="D22" s="536">
        <v>2</v>
      </c>
      <c r="E22" s="530" t="s">
        <v>26</v>
      </c>
      <c r="F22" s="532">
        <v>620000</v>
      </c>
      <c r="G22" s="532">
        <f t="shared" si="0"/>
        <v>1240000</v>
      </c>
      <c r="H22" s="944"/>
      <c r="I22" s="944"/>
      <c r="J22" s="14"/>
      <c r="K22" s="412">
        <v>20</v>
      </c>
      <c r="L22" s="490">
        <v>44372</v>
      </c>
      <c r="M22" s="486" t="s">
        <v>33</v>
      </c>
      <c r="N22" s="488">
        <v>9475000</v>
      </c>
      <c r="O22" s="492" t="s">
        <v>825</v>
      </c>
      <c r="P22" s="450"/>
      <c r="Q22" t="s">
        <v>667</v>
      </c>
    </row>
    <row r="23" spans="1:18">
      <c r="A23" s="534"/>
      <c r="B23" s="534" t="s">
        <v>762</v>
      </c>
      <c r="C23" s="535" t="s">
        <v>49</v>
      </c>
      <c r="D23" s="536">
        <v>5</v>
      </c>
      <c r="E23" s="530" t="s">
        <v>26</v>
      </c>
      <c r="F23" s="532">
        <v>1000000</v>
      </c>
      <c r="G23" s="532">
        <f t="shared" si="0"/>
        <v>5000000</v>
      </c>
      <c r="H23" s="944"/>
      <c r="I23" s="944"/>
      <c r="J23" s="14"/>
      <c r="K23" s="370">
        <v>21</v>
      </c>
      <c r="L23" s="61">
        <v>44411</v>
      </c>
      <c r="M23" s="52" t="s">
        <v>28</v>
      </c>
      <c r="N23" s="53">
        <v>18500000</v>
      </c>
      <c r="O23" s="73" t="s">
        <v>1264</v>
      </c>
      <c r="P23" s="440"/>
    </row>
    <row r="24" spans="1:18">
      <c r="A24" s="534"/>
      <c r="B24" s="534" t="s">
        <v>763</v>
      </c>
      <c r="C24" s="535" t="s">
        <v>49</v>
      </c>
      <c r="D24" s="536">
        <v>3</v>
      </c>
      <c r="E24" s="530" t="s">
        <v>26</v>
      </c>
      <c r="F24" s="532">
        <v>475000</v>
      </c>
      <c r="G24" s="532">
        <f t="shared" si="0"/>
        <v>1425000</v>
      </c>
      <c r="H24" s="944"/>
      <c r="I24" s="944"/>
      <c r="J24" s="14"/>
      <c r="K24" s="370">
        <v>22</v>
      </c>
      <c r="L24" s="392">
        <v>44487</v>
      </c>
      <c r="M24" s="393" t="s">
        <v>1182</v>
      </c>
      <c r="N24" s="211">
        <v>15000000</v>
      </c>
      <c r="O24" s="516" t="s">
        <v>1183</v>
      </c>
      <c r="P24" s="450"/>
    </row>
    <row r="25" spans="1:18">
      <c r="A25" s="534"/>
      <c r="B25" s="534" t="s">
        <v>764</v>
      </c>
      <c r="C25" s="535" t="s">
        <v>49</v>
      </c>
      <c r="D25" s="536">
        <v>5</v>
      </c>
      <c r="E25" s="530" t="s">
        <v>26</v>
      </c>
      <c r="F25" s="532">
        <v>45000</v>
      </c>
      <c r="G25" s="532">
        <f t="shared" si="0"/>
        <v>225000</v>
      </c>
      <c r="H25" s="944"/>
      <c r="I25" s="944"/>
      <c r="J25" s="14"/>
      <c r="K25" s="411">
        <v>23</v>
      </c>
      <c r="L25" s="315">
        <v>44517</v>
      </c>
      <c r="M25" s="249" t="s">
        <v>18</v>
      </c>
      <c r="N25" s="622">
        <v>4845000</v>
      </c>
      <c r="O25" s="249" t="s">
        <v>1374</v>
      </c>
      <c r="P25" s="525"/>
    </row>
    <row r="26" spans="1:18">
      <c r="A26" s="534"/>
      <c r="B26" s="534" t="s">
        <v>765</v>
      </c>
      <c r="C26" s="535" t="s">
        <v>49</v>
      </c>
      <c r="D26" s="536">
        <v>10</v>
      </c>
      <c r="E26" s="530" t="s">
        <v>26</v>
      </c>
      <c r="F26" s="532">
        <v>120000</v>
      </c>
      <c r="G26" s="532">
        <f t="shared" si="0"/>
        <v>1200000</v>
      </c>
      <c r="H26" s="944"/>
      <c r="I26" s="944"/>
      <c r="J26" s="14"/>
      <c r="K26" s="147"/>
      <c r="L26" s="608"/>
      <c r="M26" s="145"/>
      <c r="N26" s="147"/>
      <c r="O26" s="147"/>
      <c r="P26" s="525"/>
    </row>
    <row r="27" spans="1:18">
      <c r="A27" s="534"/>
      <c r="B27" s="534" t="s">
        <v>766</v>
      </c>
      <c r="C27" s="535" t="s">
        <v>49</v>
      </c>
      <c r="D27" s="536">
        <v>5</v>
      </c>
      <c r="E27" s="530" t="s">
        <v>26</v>
      </c>
      <c r="F27" s="532">
        <v>95000</v>
      </c>
      <c r="G27" s="532">
        <f t="shared" si="0"/>
        <v>475000</v>
      </c>
      <c r="H27" s="944"/>
      <c r="I27" s="944"/>
      <c r="J27" s="14"/>
      <c r="K27" s="14"/>
      <c r="L27" s="39"/>
      <c r="M27" s="39" t="s">
        <v>883</v>
      </c>
      <c r="N27" s="22">
        <f>SUM(N3:N26)</f>
        <v>161017000</v>
      </c>
      <c r="O27" s="14"/>
      <c r="P27" s="440"/>
    </row>
    <row r="28" spans="1:18">
      <c r="A28" s="534"/>
      <c r="B28" s="534" t="s">
        <v>767</v>
      </c>
      <c r="C28" s="535" t="s">
        <v>49</v>
      </c>
      <c r="D28" s="536">
        <v>5</v>
      </c>
      <c r="E28" s="530" t="s">
        <v>26</v>
      </c>
      <c r="F28" s="532">
        <v>85000</v>
      </c>
      <c r="G28" s="532">
        <f t="shared" si="0"/>
        <v>425000</v>
      </c>
      <c r="H28" s="944"/>
      <c r="I28" s="944"/>
      <c r="J28" s="14"/>
      <c r="K28" s="14"/>
      <c r="L28" s="39"/>
      <c r="M28" s="39"/>
      <c r="N28" s="501"/>
      <c r="O28" s="14"/>
      <c r="P28" s="34"/>
    </row>
    <row r="29" spans="1:18">
      <c r="A29" s="534"/>
      <c r="B29" s="534" t="s">
        <v>768</v>
      </c>
      <c r="C29" s="535" t="s">
        <v>49</v>
      </c>
      <c r="D29" s="536">
        <v>7</v>
      </c>
      <c r="E29" s="530" t="s">
        <v>26</v>
      </c>
      <c r="F29" s="532">
        <v>45000</v>
      </c>
      <c r="G29" s="532">
        <f t="shared" si="0"/>
        <v>315000</v>
      </c>
      <c r="H29" s="944"/>
      <c r="I29" s="944"/>
      <c r="J29" s="14"/>
      <c r="K29" s="14"/>
      <c r="L29" s="39"/>
      <c r="M29" s="39" t="s">
        <v>1321</v>
      </c>
      <c r="N29" s="605">
        <f>N4+N5+N6+N7+N8+N10+N12+N13+N14+N16+N17+N21+N22+N24</f>
        <v>91472000</v>
      </c>
      <c r="O29" s="501"/>
      <c r="P29" s="34"/>
    </row>
    <row r="30" spans="1:18">
      <c r="A30" s="534"/>
      <c r="B30" s="534" t="s">
        <v>769</v>
      </c>
      <c r="C30" s="535" t="s">
        <v>49</v>
      </c>
      <c r="D30" s="536">
        <v>10</v>
      </c>
      <c r="E30" s="530" t="s">
        <v>26</v>
      </c>
      <c r="F30" s="532">
        <v>25000</v>
      </c>
      <c r="G30" s="532">
        <f t="shared" si="0"/>
        <v>250000</v>
      </c>
      <c r="H30" s="944"/>
      <c r="I30" s="944"/>
      <c r="J30" s="14"/>
      <c r="K30" s="14"/>
      <c r="L30" s="39"/>
      <c r="M30" s="525" t="s">
        <v>1376</v>
      </c>
      <c r="N30" s="349">
        <f>N3+N9+N11+N15+N18+N19+N20+N23+N25</f>
        <v>69545000</v>
      </c>
      <c r="O30" s="22"/>
      <c r="P30" s="613"/>
    </row>
    <row r="31" spans="1:18">
      <c r="A31" s="534"/>
      <c r="B31" s="534" t="s">
        <v>770</v>
      </c>
      <c r="C31" s="535" t="s">
        <v>49</v>
      </c>
      <c r="D31" s="536">
        <v>10</v>
      </c>
      <c r="E31" s="530" t="s">
        <v>26</v>
      </c>
      <c r="F31" s="532">
        <v>27000</v>
      </c>
      <c r="G31" s="532">
        <f t="shared" si="0"/>
        <v>270000</v>
      </c>
      <c r="H31" s="945"/>
      <c r="I31" s="945"/>
      <c r="J31" s="14"/>
      <c r="K31" s="14"/>
      <c r="L31" s="39"/>
      <c r="O31" s="14"/>
    </row>
    <row r="32" spans="1:18">
      <c r="A32" s="23">
        <v>44385</v>
      </c>
      <c r="B32" s="21" t="s">
        <v>772</v>
      </c>
      <c r="C32" s="25" t="s">
        <v>740</v>
      </c>
      <c r="D32" s="41">
        <v>2</v>
      </c>
      <c r="E32" s="41" t="s">
        <v>26</v>
      </c>
      <c r="F32" s="24">
        <v>0</v>
      </c>
      <c r="G32" s="24">
        <v>0</v>
      </c>
      <c r="H32" s="24">
        <v>0</v>
      </c>
      <c r="I32" s="21"/>
      <c r="K32" s="14"/>
      <c r="L32" s="39"/>
      <c r="O32" s="22"/>
    </row>
    <row r="33" spans="1:15">
      <c r="A33" s="51">
        <v>44385</v>
      </c>
      <c r="B33" s="73" t="s">
        <v>773</v>
      </c>
      <c r="C33" s="52" t="s">
        <v>437</v>
      </c>
      <c r="D33" s="74">
        <v>1</v>
      </c>
      <c r="E33" s="74" t="s">
        <v>26</v>
      </c>
      <c r="F33" s="53">
        <v>1790000</v>
      </c>
      <c r="G33" s="53">
        <f>F33*D33</f>
        <v>1790000</v>
      </c>
      <c r="H33" s="53">
        <f>SUM(G33)</f>
        <v>1790000</v>
      </c>
      <c r="I33" s="73" t="s">
        <v>774</v>
      </c>
      <c r="K33" s="14"/>
      <c r="L33" s="39"/>
      <c r="O33" s="14"/>
    </row>
    <row r="34" spans="1:15">
      <c r="A34" s="23">
        <v>44387</v>
      </c>
      <c r="B34" s="21" t="s">
        <v>775</v>
      </c>
      <c r="C34" s="25" t="s">
        <v>510</v>
      </c>
      <c r="D34" s="41">
        <v>20</v>
      </c>
      <c r="E34" s="41" t="s">
        <v>134</v>
      </c>
      <c r="F34" s="24">
        <v>100000</v>
      </c>
      <c r="G34" s="24">
        <f>D34*F34</f>
        <v>2000000</v>
      </c>
      <c r="H34" s="24">
        <f>SUM(G34)</f>
        <v>2000000</v>
      </c>
      <c r="I34" s="25" t="s">
        <v>736</v>
      </c>
      <c r="K34" s="14"/>
      <c r="L34" s="39"/>
      <c r="M34" s="39"/>
      <c r="N34" s="22">
        <f>SUM(N29:N30)</f>
        <v>161017000</v>
      </c>
      <c r="O34" s="14"/>
    </row>
    <row r="35" spans="1:15">
      <c r="A35" s="528">
        <v>44389</v>
      </c>
      <c r="B35" s="529" t="s">
        <v>776</v>
      </c>
      <c r="C35" s="530" t="s">
        <v>49</v>
      </c>
      <c r="D35" s="530">
        <v>5</v>
      </c>
      <c r="E35" s="530" t="s">
        <v>26</v>
      </c>
      <c r="F35" s="531">
        <v>730000</v>
      </c>
      <c r="G35" s="532">
        <f t="shared" ref="G35:G43" si="1">D35*F35</f>
        <v>3650000</v>
      </c>
      <c r="H35" s="928">
        <f>SUM(G35:G37)</f>
        <v>5825000</v>
      </c>
      <c r="I35" s="956" t="s">
        <v>779</v>
      </c>
      <c r="M35" s="5"/>
      <c r="N35" s="502"/>
    </row>
    <row r="36" spans="1:15">
      <c r="A36" s="529"/>
      <c r="B36" s="529" t="s">
        <v>777</v>
      </c>
      <c r="C36" s="530" t="s">
        <v>49</v>
      </c>
      <c r="D36" s="530">
        <v>5</v>
      </c>
      <c r="E36" s="530" t="s">
        <v>1096</v>
      </c>
      <c r="F36" s="531">
        <v>45000</v>
      </c>
      <c r="G36" s="532">
        <f t="shared" si="1"/>
        <v>225000</v>
      </c>
      <c r="H36" s="929"/>
      <c r="I36" s="957"/>
      <c r="M36" s="953" t="s">
        <v>1169</v>
      </c>
      <c r="N36" s="953"/>
    </row>
    <row r="37" spans="1:15">
      <c r="A37" s="529"/>
      <c r="B37" s="529" t="s">
        <v>778</v>
      </c>
      <c r="C37" s="530" t="s">
        <v>49</v>
      </c>
      <c r="D37" s="530">
        <v>15</v>
      </c>
      <c r="E37" s="530" t="s">
        <v>1097</v>
      </c>
      <c r="F37" s="531">
        <v>130000</v>
      </c>
      <c r="G37" s="532">
        <f t="shared" si="1"/>
        <v>1950000</v>
      </c>
      <c r="H37" s="930"/>
      <c r="I37" s="958"/>
      <c r="M37" s="5"/>
    </row>
    <row r="38" spans="1:15">
      <c r="A38" s="227">
        <v>44396</v>
      </c>
      <c r="B38" s="228" t="s">
        <v>780</v>
      </c>
      <c r="C38" s="229" t="s">
        <v>97</v>
      </c>
      <c r="D38" s="229">
        <v>2</v>
      </c>
      <c r="E38" s="229" t="s">
        <v>26</v>
      </c>
      <c r="F38" s="230">
        <v>2699000</v>
      </c>
      <c r="G38" s="230">
        <f t="shared" si="1"/>
        <v>5398000</v>
      </c>
      <c r="H38" s="824">
        <f>SUM(G38:G43)</f>
        <v>10305000</v>
      </c>
      <c r="I38" s="808" t="s">
        <v>360</v>
      </c>
      <c r="M38" s="5"/>
    </row>
    <row r="39" spans="1:15">
      <c r="A39" s="228"/>
      <c r="B39" s="228" t="s">
        <v>781</v>
      </c>
      <c r="C39" s="229" t="s">
        <v>97</v>
      </c>
      <c r="D39" s="229">
        <v>2</v>
      </c>
      <c r="E39" s="229" t="s">
        <v>26</v>
      </c>
      <c r="F39" s="230">
        <v>425000</v>
      </c>
      <c r="G39" s="230">
        <f t="shared" si="1"/>
        <v>850000</v>
      </c>
      <c r="H39" s="960"/>
      <c r="I39" s="809"/>
      <c r="M39" s="5"/>
    </row>
    <row r="40" spans="1:15">
      <c r="A40" s="228"/>
      <c r="B40" s="228" t="s">
        <v>782</v>
      </c>
      <c r="C40" s="229" t="s">
        <v>97</v>
      </c>
      <c r="D40" s="229">
        <v>5</v>
      </c>
      <c r="E40" s="229" t="s">
        <v>26</v>
      </c>
      <c r="F40" s="230">
        <v>150000</v>
      </c>
      <c r="G40" s="230">
        <f t="shared" si="1"/>
        <v>750000</v>
      </c>
      <c r="H40" s="960"/>
      <c r="I40" s="809"/>
      <c r="M40" s="5"/>
    </row>
    <row r="41" spans="1:15">
      <c r="A41" s="228"/>
      <c r="B41" s="228" t="s">
        <v>784</v>
      </c>
      <c r="C41" s="229" t="s">
        <v>97</v>
      </c>
      <c r="D41" s="229">
        <v>1</v>
      </c>
      <c r="E41" s="229" t="s">
        <v>26</v>
      </c>
      <c r="F41" s="230">
        <v>1069000</v>
      </c>
      <c r="G41" s="230">
        <f t="shared" si="1"/>
        <v>1069000</v>
      </c>
      <c r="H41" s="960"/>
      <c r="I41" s="809"/>
      <c r="M41" s="5"/>
    </row>
    <row r="42" spans="1:15">
      <c r="A42" s="228"/>
      <c r="B42" s="228" t="s">
        <v>783</v>
      </c>
      <c r="C42" s="229" t="s">
        <v>97</v>
      </c>
      <c r="D42" s="229">
        <v>1</v>
      </c>
      <c r="E42" s="229" t="s">
        <v>26</v>
      </c>
      <c r="F42" s="230">
        <v>1069000</v>
      </c>
      <c r="G42" s="230">
        <f t="shared" si="1"/>
        <v>1069000</v>
      </c>
      <c r="H42" s="960"/>
      <c r="I42" s="809"/>
      <c r="M42" s="5"/>
    </row>
    <row r="43" spans="1:15">
      <c r="A43" s="228"/>
      <c r="B43" s="228" t="s">
        <v>785</v>
      </c>
      <c r="C43" s="229" t="s">
        <v>97</v>
      </c>
      <c r="D43" s="229">
        <v>1</v>
      </c>
      <c r="E43" s="229" t="s">
        <v>26</v>
      </c>
      <c r="F43" s="230">
        <v>1169000</v>
      </c>
      <c r="G43" s="230">
        <f t="shared" si="1"/>
        <v>1169000</v>
      </c>
      <c r="H43" s="954"/>
      <c r="I43" s="810"/>
      <c r="M43" s="5"/>
    </row>
    <row r="44" spans="1:15">
      <c r="A44" s="66">
        <v>44396</v>
      </c>
      <c r="B44" s="40" t="s">
        <v>786</v>
      </c>
      <c r="C44" s="67" t="s">
        <v>280</v>
      </c>
      <c r="D44" s="67">
        <v>1</v>
      </c>
      <c r="E44" s="67" t="s">
        <v>26</v>
      </c>
      <c r="F44" s="65">
        <v>0</v>
      </c>
      <c r="G44" s="65">
        <v>0</v>
      </c>
      <c r="H44" s="65">
        <v>0</v>
      </c>
      <c r="I44" s="40"/>
      <c r="M44" s="5"/>
    </row>
    <row r="45" spans="1:15">
      <c r="A45" s="207">
        <v>44398</v>
      </c>
      <c r="B45" s="208" t="s">
        <v>787</v>
      </c>
      <c r="C45" s="394" t="s">
        <v>158</v>
      </c>
      <c r="D45" s="394">
        <v>4</v>
      </c>
      <c r="E45" s="394" t="s">
        <v>26</v>
      </c>
      <c r="F45" s="212">
        <v>740000</v>
      </c>
      <c r="G45" s="212">
        <f>F45*D45</f>
        <v>2960000</v>
      </c>
      <c r="H45" s="212">
        <f>SUM(G45)</f>
        <v>2960000</v>
      </c>
      <c r="I45" s="394" t="s">
        <v>945</v>
      </c>
      <c r="M45" s="5"/>
    </row>
    <row r="46" spans="1:15">
      <c r="A46" s="66">
        <v>44400</v>
      </c>
      <c r="B46" s="40" t="s">
        <v>788</v>
      </c>
      <c r="C46" s="7" t="s">
        <v>510</v>
      </c>
      <c r="D46" s="7">
        <v>1</v>
      </c>
      <c r="E46" s="7" t="s">
        <v>26</v>
      </c>
      <c r="F46" s="65">
        <v>150000</v>
      </c>
      <c r="G46" s="65">
        <f>F46*D46</f>
        <v>150000</v>
      </c>
      <c r="H46" s="65">
        <f>SUM(G46)</f>
        <v>150000</v>
      </c>
      <c r="I46" s="67" t="s">
        <v>151</v>
      </c>
      <c r="M46" s="5"/>
    </row>
    <row r="47" spans="1:15">
      <c r="A47" s="66">
        <v>44400</v>
      </c>
      <c r="B47" s="40" t="s">
        <v>789</v>
      </c>
      <c r="C47" s="67" t="s">
        <v>204</v>
      </c>
      <c r="D47" s="67">
        <v>1</v>
      </c>
      <c r="E47" s="67" t="s">
        <v>61</v>
      </c>
      <c r="F47" s="65">
        <v>0</v>
      </c>
      <c r="G47" s="65">
        <f t="shared" ref="G47:G57" si="2">F47*D47</f>
        <v>0</v>
      </c>
      <c r="H47" s="808">
        <v>0</v>
      </c>
      <c r="I47" s="808" t="s">
        <v>1098</v>
      </c>
      <c r="M47" s="5"/>
    </row>
    <row r="48" spans="1:15">
      <c r="A48" s="40"/>
      <c r="B48" s="40" t="s">
        <v>790</v>
      </c>
      <c r="C48" s="67" t="s">
        <v>204</v>
      </c>
      <c r="D48" s="67">
        <v>1</v>
      </c>
      <c r="E48" s="67" t="s">
        <v>61</v>
      </c>
      <c r="F48" s="65">
        <v>0</v>
      </c>
      <c r="G48" s="65">
        <f t="shared" si="2"/>
        <v>0</v>
      </c>
      <c r="H48" s="809"/>
      <c r="I48" s="809"/>
      <c r="M48" s="5"/>
    </row>
    <row r="49" spans="1:13">
      <c r="A49" s="40"/>
      <c r="B49" s="40" t="s">
        <v>791</v>
      </c>
      <c r="C49" s="67" t="s">
        <v>204</v>
      </c>
      <c r="D49" s="67">
        <v>1</v>
      </c>
      <c r="E49" s="67" t="s">
        <v>61</v>
      </c>
      <c r="F49" s="65">
        <v>0</v>
      </c>
      <c r="G49" s="65">
        <f t="shared" si="2"/>
        <v>0</v>
      </c>
      <c r="H49" s="810"/>
      <c r="I49" s="810"/>
      <c r="M49" s="5"/>
    </row>
    <row r="50" spans="1:13">
      <c r="A50" s="528">
        <v>44404</v>
      </c>
      <c r="B50" s="529" t="s">
        <v>1045</v>
      </c>
      <c r="C50" s="530" t="s">
        <v>49</v>
      </c>
      <c r="D50" s="530">
        <v>1</v>
      </c>
      <c r="E50" s="530" t="s">
        <v>26</v>
      </c>
      <c r="F50" s="531">
        <v>8500000</v>
      </c>
      <c r="G50" s="531">
        <f t="shared" si="2"/>
        <v>8500000</v>
      </c>
      <c r="H50" s="928">
        <f>SUM(G50:G52)</f>
        <v>9900000</v>
      </c>
      <c r="I50" s="956" t="s">
        <v>800</v>
      </c>
      <c r="M50" s="5"/>
    </row>
    <row r="51" spans="1:13">
      <c r="A51" s="529"/>
      <c r="B51" s="529" t="s">
        <v>795</v>
      </c>
      <c r="C51" s="530" t="s">
        <v>49</v>
      </c>
      <c r="D51" s="530">
        <v>5</v>
      </c>
      <c r="E51" s="530" t="s">
        <v>26</v>
      </c>
      <c r="F51" s="531">
        <v>135000</v>
      </c>
      <c r="G51" s="531">
        <f t="shared" si="2"/>
        <v>675000</v>
      </c>
      <c r="H51" s="929"/>
      <c r="I51" s="957"/>
      <c r="M51" s="5"/>
    </row>
    <row r="52" spans="1:13">
      <c r="A52" s="529"/>
      <c r="B52" s="529" t="s">
        <v>796</v>
      </c>
      <c r="C52" s="530" t="s">
        <v>49</v>
      </c>
      <c r="D52" s="530">
        <v>5</v>
      </c>
      <c r="E52" s="530" t="s">
        <v>26</v>
      </c>
      <c r="F52" s="531">
        <v>145000</v>
      </c>
      <c r="G52" s="531">
        <f t="shared" si="2"/>
        <v>725000</v>
      </c>
      <c r="H52" s="930"/>
      <c r="I52" s="958"/>
      <c r="M52" s="5"/>
    </row>
    <row r="53" spans="1:13">
      <c r="A53" s="40"/>
      <c r="B53" s="529" t="s">
        <v>797</v>
      </c>
      <c r="C53" s="530" t="s">
        <v>49</v>
      </c>
      <c r="D53" s="530">
        <v>4</v>
      </c>
      <c r="E53" s="530" t="s">
        <v>26</v>
      </c>
      <c r="F53" s="531">
        <v>110000</v>
      </c>
      <c r="G53" s="531">
        <f t="shared" si="2"/>
        <v>440000</v>
      </c>
      <c r="H53" s="955">
        <f>SUM(G53:G55)</f>
        <v>3670000</v>
      </c>
      <c r="I53" s="959" t="s">
        <v>685</v>
      </c>
      <c r="M53" s="5"/>
    </row>
    <row r="54" spans="1:13">
      <c r="A54" s="40"/>
      <c r="B54" s="529" t="s">
        <v>798</v>
      </c>
      <c r="C54" s="530" t="s">
        <v>49</v>
      </c>
      <c r="D54" s="530">
        <v>9</v>
      </c>
      <c r="E54" s="530" t="s">
        <v>26</v>
      </c>
      <c r="F54" s="531">
        <v>220000</v>
      </c>
      <c r="G54" s="531">
        <f t="shared" si="2"/>
        <v>1980000</v>
      </c>
      <c r="H54" s="955"/>
      <c r="I54" s="959"/>
    </row>
    <row r="55" spans="1:13">
      <c r="A55" s="40"/>
      <c r="B55" s="529" t="s">
        <v>799</v>
      </c>
      <c r="C55" s="530" t="s">
        <v>49</v>
      </c>
      <c r="D55" s="530">
        <v>5</v>
      </c>
      <c r="E55" s="530" t="s">
        <v>26</v>
      </c>
      <c r="F55" s="531">
        <v>250000</v>
      </c>
      <c r="G55" s="531">
        <f t="shared" si="2"/>
        <v>1250000</v>
      </c>
      <c r="H55" s="955"/>
      <c r="I55" s="959"/>
    </row>
    <row r="56" spans="1:13">
      <c r="A56" s="227">
        <v>44404</v>
      </c>
      <c r="B56" s="228" t="s">
        <v>802</v>
      </c>
      <c r="C56" s="229" t="s">
        <v>97</v>
      </c>
      <c r="D56" s="229">
        <v>2</v>
      </c>
      <c r="E56" s="229" t="s">
        <v>26</v>
      </c>
      <c r="F56" s="230">
        <v>499000</v>
      </c>
      <c r="G56" s="230">
        <f t="shared" si="2"/>
        <v>998000</v>
      </c>
      <c r="H56" s="824">
        <f>SUM(G56:G57)</f>
        <v>2975000</v>
      </c>
      <c r="I56" s="808" t="s">
        <v>360</v>
      </c>
    </row>
    <row r="57" spans="1:13">
      <c r="A57" s="228"/>
      <c r="B57" s="228" t="s">
        <v>803</v>
      </c>
      <c r="C57" s="229" t="s">
        <v>97</v>
      </c>
      <c r="D57" s="229">
        <v>3</v>
      </c>
      <c r="E57" s="229" t="s">
        <v>26</v>
      </c>
      <c r="F57" s="230">
        <v>659000</v>
      </c>
      <c r="G57" s="230">
        <f t="shared" si="2"/>
        <v>1977000</v>
      </c>
      <c r="H57" s="954"/>
      <c r="I57" s="810"/>
    </row>
    <row r="58" spans="1:13">
      <c r="A58" s="40"/>
      <c r="B58" s="40"/>
      <c r="C58" s="40"/>
      <c r="D58" s="40"/>
      <c r="E58" s="40"/>
      <c r="F58" s="65"/>
      <c r="G58" s="65"/>
      <c r="H58" s="40"/>
      <c r="I58" s="40"/>
    </row>
    <row r="59" spans="1:13">
      <c r="A59" s="40"/>
      <c r="B59" s="40"/>
      <c r="C59" s="40"/>
      <c r="D59" s="40"/>
      <c r="E59" s="40"/>
      <c r="F59" s="65"/>
      <c r="G59" s="65"/>
      <c r="H59" s="40"/>
      <c r="I59" s="40"/>
    </row>
    <row r="60" spans="1:13">
      <c r="A60" s="40"/>
      <c r="B60" s="40"/>
      <c r="C60" s="40"/>
      <c r="D60" s="40"/>
      <c r="E60" s="40"/>
      <c r="F60" s="65"/>
      <c r="G60" s="65"/>
      <c r="H60" s="40"/>
      <c r="I60" s="40"/>
    </row>
    <row r="61" spans="1:13">
      <c r="A61" s="40"/>
      <c r="B61" s="40"/>
      <c r="C61" s="40"/>
      <c r="D61" s="40"/>
      <c r="E61" s="40"/>
      <c r="F61" s="65"/>
      <c r="G61" s="65"/>
      <c r="H61" s="40"/>
      <c r="I61" s="40"/>
    </row>
    <row r="62" spans="1:13">
      <c r="A62" s="40"/>
      <c r="B62" s="40"/>
      <c r="C62" s="40"/>
      <c r="D62" s="40"/>
      <c r="E62" s="40"/>
      <c r="F62" s="65"/>
      <c r="G62" s="65"/>
      <c r="H62" s="40"/>
      <c r="I62" s="40"/>
    </row>
    <row r="63" spans="1:13">
      <c r="A63" s="40"/>
      <c r="B63" s="40"/>
      <c r="C63" s="40"/>
      <c r="D63" s="40"/>
      <c r="E63" s="40"/>
      <c r="F63" s="65"/>
      <c r="G63" s="65"/>
      <c r="H63" s="40"/>
      <c r="I63" s="40"/>
    </row>
    <row r="64" spans="1:13">
      <c r="A64" s="40"/>
      <c r="B64" s="40"/>
      <c r="C64" s="40"/>
      <c r="D64" s="40"/>
      <c r="E64" s="40"/>
      <c r="F64" s="40"/>
      <c r="G64" s="65"/>
      <c r="H64" s="40"/>
      <c r="I64" s="40"/>
    </row>
    <row r="65" spans="1:9">
      <c r="A65" s="40"/>
      <c r="B65" s="40"/>
      <c r="C65" s="40"/>
      <c r="D65" s="40"/>
      <c r="E65" s="40"/>
      <c r="F65" s="40"/>
      <c r="G65" s="40"/>
      <c r="H65" s="40"/>
      <c r="I65" s="40"/>
    </row>
    <row r="66" spans="1:9">
      <c r="A66" s="40"/>
      <c r="B66" s="40"/>
      <c r="C66" s="40"/>
      <c r="D66" s="40"/>
      <c r="E66" s="40"/>
      <c r="F66" s="40"/>
      <c r="G66" s="40"/>
      <c r="H66" s="40"/>
      <c r="I66" s="40"/>
    </row>
    <row r="67" spans="1:9">
      <c r="A67" s="40"/>
      <c r="B67" s="40"/>
      <c r="C67" s="40"/>
      <c r="D67" s="40"/>
      <c r="E67" s="40"/>
      <c r="F67" s="40"/>
      <c r="G67" s="40"/>
      <c r="H67" s="40"/>
      <c r="I67" s="40"/>
    </row>
    <row r="68" spans="1:9">
      <c r="A68" s="40"/>
      <c r="B68" s="40"/>
      <c r="C68" s="40"/>
      <c r="D68" s="40"/>
      <c r="E68" s="40"/>
      <c r="F68" s="40"/>
      <c r="G68" s="40"/>
      <c r="H68" s="40"/>
      <c r="I68" s="40"/>
    </row>
    <row r="69" spans="1:9">
      <c r="A69" s="40"/>
      <c r="B69" s="40"/>
      <c r="C69" s="40"/>
      <c r="D69" s="40"/>
      <c r="E69" s="40"/>
      <c r="F69" s="40"/>
      <c r="G69" s="40"/>
      <c r="H69" s="40"/>
      <c r="I69" s="40"/>
    </row>
    <row r="70" spans="1:9">
      <c r="A70" s="40"/>
      <c r="B70" s="40"/>
      <c r="C70" s="40"/>
      <c r="D70" s="40"/>
      <c r="E70" s="40"/>
      <c r="F70" s="40"/>
      <c r="G70" s="40"/>
      <c r="H70" s="40"/>
      <c r="I70" s="40"/>
    </row>
    <row r="71" spans="1:9">
      <c r="A71" s="40"/>
      <c r="B71" s="40"/>
      <c r="C71" s="40"/>
      <c r="D71" s="40"/>
      <c r="E71" s="40"/>
      <c r="F71" s="40"/>
      <c r="G71" s="40"/>
      <c r="H71" s="40"/>
      <c r="I71" s="40"/>
    </row>
    <row r="72" spans="1:9">
      <c r="A72" s="40"/>
      <c r="B72" s="40"/>
      <c r="C72" s="40"/>
      <c r="D72" s="40"/>
      <c r="E72" s="40"/>
      <c r="F72" s="40"/>
      <c r="G72" s="40"/>
      <c r="H72" s="40"/>
      <c r="I72" s="40"/>
    </row>
    <row r="73" spans="1:9">
      <c r="A73" s="40"/>
      <c r="B73" s="40"/>
      <c r="C73" s="40"/>
      <c r="D73" s="40"/>
      <c r="E73" s="40"/>
      <c r="F73" s="40"/>
      <c r="G73" s="40"/>
      <c r="H73" s="40"/>
      <c r="I73" s="40"/>
    </row>
    <row r="74" spans="1:9">
      <c r="A74" s="40"/>
      <c r="B74" s="40"/>
      <c r="C74" s="40"/>
      <c r="D74" s="40"/>
      <c r="E74" s="40"/>
      <c r="F74" s="40"/>
      <c r="G74" s="40"/>
      <c r="H74" s="40"/>
      <c r="I74" s="40"/>
    </row>
    <row r="75" spans="1:9">
      <c r="A75" s="40"/>
      <c r="B75" s="40"/>
      <c r="C75" s="40"/>
      <c r="D75" s="40"/>
      <c r="E75" s="40"/>
      <c r="F75" s="40"/>
      <c r="G75" s="40"/>
      <c r="H75" s="40"/>
      <c r="I75" s="40"/>
    </row>
    <row r="76" spans="1:9">
      <c r="A76" s="40"/>
      <c r="B76" s="40"/>
      <c r="C76" s="40"/>
      <c r="D76" s="40"/>
      <c r="E76" s="40"/>
      <c r="F76" s="40"/>
      <c r="G76" s="40"/>
      <c r="H76" s="40"/>
      <c r="I76" s="40"/>
    </row>
    <row r="77" spans="1:9">
      <c r="A77" s="40"/>
      <c r="B77" s="40"/>
      <c r="C77" s="40"/>
      <c r="D77" s="40"/>
      <c r="E77" s="40"/>
      <c r="F77" s="40"/>
      <c r="G77" s="40"/>
      <c r="H77" s="40"/>
      <c r="I77" s="40"/>
    </row>
    <row r="78" spans="1:9">
      <c r="A78" s="40"/>
      <c r="B78" s="40"/>
      <c r="C78" s="40"/>
      <c r="D78" s="40"/>
      <c r="E78" s="40"/>
      <c r="F78" s="40"/>
      <c r="G78" s="40"/>
      <c r="H78" s="40"/>
      <c r="I78" s="40"/>
    </row>
    <row r="79" spans="1:9">
      <c r="A79" s="40"/>
      <c r="B79" s="40"/>
      <c r="C79" s="40"/>
      <c r="D79" s="40"/>
      <c r="E79" s="40"/>
      <c r="F79" s="40"/>
      <c r="G79" s="40"/>
      <c r="H79" s="40"/>
      <c r="I79" s="40"/>
    </row>
    <row r="80" spans="1:9">
      <c r="A80" s="40"/>
      <c r="B80" s="40"/>
      <c r="C80" s="40"/>
      <c r="D80" s="40"/>
      <c r="E80" s="40"/>
      <c r="F80" s="40"/>
      <c r="G80" s="40"/>
      <c r="H80" s="40"/>
      <c r="I80" s="40"/>
    </row>
    <row r="81" spans="1:9">
      <c r="A81" s="40"/>
      <c r="B81" s="40"/>
      <c r="C81" s="40"/>
      <c r="D81" s="40"/>
      <c r="E81" s="40"/>
      <c r="F81" s="40"/>
      <c r="G81" s="40"/>
      <c r="H81" s="40"/>
      <c r="I81" s="40"/>
    </row>
    <row r="82" spans="1:9">
      <c r="A82" s="40"/>
      <c r="B82" s="40"/>
      <c r="C82" s="40"/>
      <c r="D82" s="40"/>
      <c r="E82" s="40"/>
      <c r="F82" s="40"/>
      <c r="G82" s="40"/>
      <c r="H82" s="40"/>
      <c r="I82" s="40"/>
    </row>
    <row r="83" spans="1:9">
      <c r="A83" s="40"/>
      <c r="B83" s="40"/>
      <c r="C83" s="40"/>
      <c r="D83" s="40"/>
      <c r="E83" s="40"/>
      <c r="F83" s="40"/>
      <c r="G83" s="40"/>
      <c r="H83" s="40"/>
      <c r="I83" s="40"/>
    </row>
    <row r="84" spans="1:9">
      <c r="A84" s="40"/>
      <c r="B84" s="40"/>
      <c r="C84" s="40"/>
      <c r="D84" s="40"/>
      <c r="E84" s="40"/>
      <c r="F84" s="40"/>
      <c r="G84" s="40"/>
      <c r="H84" s="40"/>
      <c r="I84" s="40"/>
    </row>
    <row r="85" spans="1:9">
      <c r="A85" s="40"/>
      <c r="B85" s="40"/>
      <c r="C85" s="40"/>
      <c r="D85" s="40"/>
      <c r="E85" s="40"/>
      <c r="F85" s="40"/>
      <c r="G85" s="40"/>
      <c r="H85" s="40"/>
      <c r="I85" s="40"/>
    </row>
    <row r="86" spans="1:9">
      <c r="A86" s="40"/>
      <c r="B86" s="40"/>
      <c r="C86" s="40"/>
      <c r="D86" s="40"/>
      <c r="E86" s="40"/>
      <c r="F86" s="40"/>
      <c r="G86" s="40"/>
      <c r="H86" s="40"/>
      <c r="I86" s="40"/>
    </row>
    <row r="87" spans="1:9">
      <c r="A87" s="40"/>
      <c r="B87" s="40"/>
      <c r="C87" s="40"/>
      <c r="D87" s="40"/>
      <c r="E87" s="40"/>
      <c r="F87" s="40"/>
      <c r="G87" s="40"/>
      <c r="H87" s="40"/>
      <c r="I87" s="40"/>
    </row>
    <row r="88" spans="1:9">
      <c r="A88" s="40"/>
      <c r="B88" s="40"/>
      <c r="C88" s="40"/>
      <c r="D88" s="40"/>
      <c r="E88" s="40"/>
      <c r="F88" s="40"/>
      <c r="G88" s="40"/>
      <c r="H88" s="40"/>
      <c r="I88" s="40"/>
    </row>
  </sheetData>
  <mergeCells count="23">
    <mergeCell ref="M36:N36"/>
    <mergeCell ref="H56:H57"/>
    <mergeCell ref="I56:I57"/>
    <mergeCell ref="H53:H55"/>
    <mergeCell ref="H50:H52"/>
    <mergeCell ref="I50:I52"/>
    <mergeCell ref="I53:I55"/>
    <mergeCell ref="H47:H49"/>
    <mergeCell ref="I47:I49"/>
    <mergeCell ref="H38:H43"/>
    <mergeCell ref="I38:I43"/>
    <mergeCell ref="H35:H37"/>
    <mergeCell ref="I35:I37"/>
    <mergeCell ref="H17:H31"/>
    <mergeCell ref="I17:I31"/>
    <mergeCell ref="O5:O6"/>
    <mergeCell ref="H9:H11"/>
    <mergeCell ref="I9:I11"/>
    <mergeCell ref="H12:H16"/>
    <mergeCell ref="I12:I16"/>
    <mergeCell ref="H5:H7"/>
    <mergeCell ref="I5:I7"/>
    <mergeCell ref="O18:O20"/>
  </mergeCells>
  <pageMargins left="0.70866141732283472" right="0.70866141732283472" top="0.74803149606299213" bottom="0.74803149606299213" header="0.31496062992125984" footer="0.31496062992125984"/>
  <pageSetup paperSize="9"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S98"/>
  <sheetViews>
    <sheetView topLeftCell="A24" workbookViewId="0">
      <selection activeCell="B36" sqref="B36"/>
    </sheetView>
  </sheetViews>
  <sheetFormatPr defaultRowHeight="15"/>
  <cols>
    <col min="1" max="1" width="11.85546875" customWidth="1"/>
    <col min="2" max="2" width="57.28515625" customWidth="1"/>
    <col min="3" max="3" width="18" customWidth="1"/>
    <col min="4" max="4" width="10.7109375" customWidth="1"/>
    <col min="5" max="5" width="10.5703125" customWidth="1"/>
    <col min="6" max="6" width="18" customWidth="1"/>
    <col min="7" max="7" width="16.28515625" customWidth="1"/>
    <col min="8" max="8" width="17.42578125" customWidth="1"/>
    <col min="9" max="9" width="20.7109375" customWidth="1"/>
    <col min="10" max="10" width="13.7109375" bestFit="1" customWidth="1"/>
    <col min="13" max="13" width="20.5703125" bestFit="1" customWidth="1"/>
    <col min="14" max="14" width="15.42578125" customWidth="1"/>
    <col min="15" max="15" width="25.140625" customWidth="1"/>
    <col min="17" max="17" width="16.28515625" bestFit="1" customWidth="1"/>
    <col min="19" max="19" width="14" bestFit="1" customWidth="1"/>
  </cols>
  <sheetData>
    <row r="1" spans="1:19">
      <c r="A1" s="1" t="s">
        <v>0</v>
      </c>
      <c r="C1" s="2"/>
      <c r="D1" s="2"/>
      <c r="E1" s="2"/>
      <c r="F1" s="3"/>
      <c r="G1" s="3"/>
      <c r="H1" s="3"/>
      <c r="K1" s="4" t="s">
        <v>623</v>
      </c>
      <c r="L1" s="5"/>
      <c r="M1" s="5"/>
      <c r="N1" s="3"/>
    </row>
    <row r="2" spans="1:19" ht="45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9" t="s">
        <v>7</v>
      </c>
      <c r="H2" s="8" t="s">
        <v>8</v>
      </c>
      <c r="I2" s="7" t="s">
        <v>9</v>
      </c>
      <c r="K2" s="10" t="s">
        <v>10</v>
      </c>
      <c r="L2" s="11" t="s">
        <v>11</v>
      </c>
      <c r="M2" s="6" t="s">
        <v>12</v>
      </c>
      <c r="N2" s="9" t="s">
        <v>13</v>
      </c>
      <c r="O2" s="7" t="s">
        <v>9</v>
      </c>
    </row>
    <row r="3" spans="1:19">
      <c r="A3" s="477">
        <v>44410</v>
      </c>
      <c r="B3" s="478" t="s">
        <v>809</v>
      </c>
      <c r="C3" s="482" t="s">
        <v>164</v>
      </c>
      <c r="D3" s="482">
        <v>20</v>
      </c>
      <c r="E3" s="482" t="s">
        <v>26</v>
      </c>
      <c r="F3" s="480">
        <v>145000</v>
      </c>
      <c r="G3" s="480">
        <f t="shared" ref="G3:G16" si="0">F3*D3</f>
        <v>2900000</v>
      </c>
      <c r="H3" s="587">
        <f>SUM(G3)</f>
        <v>2900000</v>
      </c>
      <c r="I3" s="588" t="s">
        <v>800</v>
      </c>
      <c r="J3" s="18"/>
      <c r="K3" s="30">
        <v>1</v>
      </c>
      <c r="L3" s="544">
        <v>44354</v>
      </c>
      <c r="M3" s="535" t="s">
        <v>49</v>
      </c>
      <c r="N3" s="545">
        <v>10000000</v>
      </c>
      <c r="O3" s="973" t="s">
        <v>941</v>
      </c>
    </row>
    <row r="4" spans="1:19">
      <c r="A4" s="66">
        <v>44410</v>
      </c>
      <c r="B4" s="40" t="s">
        <v>810</v>
      </c>
      <c r="C4" s="67" t="s">
        <v>811</v>
      </c>
      <c r="D4" s="67">
        <v>1</v>
      </c>
      <c r="E4" s="67" t="s">
        <v>26</v>
      </c>
      <c r="F4" s="65">
        <v>3600000</v>
      </c>
      <c r="G4" s="65">
        <f t="shared" si="0"/>
        <v>3600000</v>
      </c>
      <c r="H4" s="124">
        <f>SUM(G4)</f>
        <v>3600000</v>
      </c>
      <c r="I4" s="415" t="s">
        <v>812</v>
      </c>
      <c r="J4" s="19"/>
      <c r="K4" s="12">
        <v>2</v>
      </c>
      <c r="L4" s="544">
        <v>44361</v>
      </c>
      <c r="M4" s="535" t="s">
        <v>49</v>
      </c>
      <c r="N4" s="545">
        <v>7070000</v>
      </c>
      <c r="O4" s="974"/>
      <c r="R4">
        <f>960/120</f>
        <v>8</v>
      </c>
    </row>
    <row r="5" spans="1:19">
      <c r="A5" s="69">
        <v>44411</v>
      </c>
      <c r="B5" s="70" t="s">
        <v>814</v>
      </c>
      <c r="C5" s="71" t="s">
        <v>817</v>
      </c>
      <c r="D5" s="71">
        <v>5</v>
      </c>
      <c r="E5" s="71" t="s">
        <v>26</v>
      </c>
      <c r="F5" s="72">
        <v>150000</v>
      </c>
      <c r="G5" s="72">
        <f t="shared" si="0"/>
        <v>750000</v>
      </c>
      <c r="H5" s="719">
        <f>SUM(G5:G6)</f>
        <v>1500000</v>
      </c>
      <c r="I5" s="963" t="s">
        <v>815</v>
      </c>
      <c r="J5" s="20"/>
      <c r="K5" s="15">
        <v>3</v>
      </c>
      <c r="L5" s="544">
        <v>44368</v>
      </c>
      <c r="M5" s="535" t="s">
        <v>49</v>
      </c>
      <c r="N5" s="545">
        <v>1320000</v>
      </c>
      <c r="O5" s="974"/>
    </row>
    <row r="6" spans="1:19">
      <c r="A6" s="70"/>
      <c r="B6" s="70" t="s">
        <v>813</v>
      </c>
      <c r="C6" s="71" t="s">
        <v>817</v>
      </c>
      <c r="D6" s="71">
        <v>5</v>
      </c>
      <c r="E6" s="71" t="s">
        <v>26</v>
      </c>
      <c r="F6" s="72">
        <v>150000</v>
      </c>
      <c r="G6" s="72">
        <f t="shared" si="0"/>
        <v>750000</v>
      </c>
      <c r="H6" s="721"/>
      <c r="I6" s="964"/>
      <c r="J6" s="14"/>
      <c r="K6" s="30">
        <v>4</v>
      </c>
      <c r="L6" s="544">
        <v>44375</v>
      </c>
      <c r="M6" s="535" t="s">
        <v>49</v>
      </c>
      <c r="N6" s="532">
        <v>2400000</v>
      </c>
      <c r="O6" s="975"/>
    </row>
    <row r="7" spans="1:19">
      <c r="A7" s="66">
        <v>44411</v>
      </c>
      <c r="B7" s="40" t="s">
        <v>816</v>
      </c>
      <c r="C7" s="67" t="s">
        <v>28</v>
      </c>
      <c r="D7" s="67">
        <v>1</v>
      </c>
      <c r="E7" s="67" t="s">
        <v>26</v>
      </c>
      <c r="F7" s="65">
        <v>18500000</v>
      </c>
      <c r="G7" s="65">
        <f t="shared" si="0"/>
        <v>18500000</v>
      </c>
      <c r="H7" s="124">
        <f>SUM(G7)</f>
        <v>18500000</v>
      </c>
      <c r="I7" s="421" t="s">
        <v>603</v>
      </c>
      <c r="J7" s="14"/>
      <c r="K7" s="12">
        <v>5</v>
      </c>
      <c r="L7" s="392">
        <v>44378</v>
      </c>
      <c r="M7" s="393" t="s">
        <v>158</v>
      </c>
      <c r="N7" s="211">
        <v>4400000</v>
      </c>
      <c r="O7" s="516" t="s">
        <v>941</v>
      </c>
      <c r="S7" s="142">
        <f>SUM(AGUSTUS!N7+AGUSTUS!N8+AGUSTUS!N12)</f>
        <v>13080000</v>
      </c>
    </row>
    <row r="8" spans="1:19">
      <c r="A8" s="528">
        <v>44411</v>
      </c>
      <c r="B8" s="529" t="s">
        <v>91</v>
      </c>
      <c r="C8" s="530" t="s">
        <v>49</v>
      </c>
      <c r="D8" s="530">
        <v>1</v>
      </c>
      <c r="E8" s="530" t="s">
        <v>26</v>
      </c>
      <c r="F8" s="531">
        <v>2900000</v>
      </c>
      <c r="G8" s="531">
        <f t="shared" si="0"/>
        <v>2900000</v>
      </c>
      <c r="H8" s="539">
        <f>SUM(G8)</f>
        <v>2900000</v>
      </c>
      <c r="I8" s="543" t="s">
        <v>800</v>
      </c>
      <c r="J8" s="14"/>
      <c r="K8" s="15">
        <v>6</v>
      </c>
      <c r="L8" s="392">
        <v>44383</v>
      </c>
      <c r="M8" s="393" t="s">
        <v>158</v>
      </c>
      <c r="N8" s="211">
        <v>5720000</v>
      </c>
      <c r="O8" s="516" t="s">
        <v>941</v>
      </c>
    </row>
    <row r="9" spans="1:19">
      <c r="A9" s="477">
        <v>44411</v>
      </c>
      <c r="B9" s="478" t="s">
        <v>829</v>
      </c>
      <c r="C9" s="482" t="s">
        <v>164</v>
      </c>
      <c r="D9" s="482">
        <v>30</v>
      </c>
      <c r="E9" s="482" t="s">
        <v>26</v>
      </c>
      <c r="F9" s="480">
        <v>150000</v>
      </c>
      <c r="G9" s="480">
        <f t="shared" si="0"/>
        <v>4500000</v>
      </c>
      <c r="H9" s="587">
        <f>SUM(G9)</f>
        <v>4500000</v>
      </c>
      <c r="I9" s="588" t="s">
        <v>800</v>
      </c>
      <c r="J9" s="14"/>
      <c r="K9" s="30">
        <v>7</v>
      </c>
      <c r="L9" s="544">
        <v>44385</v>
      </c>
      <c r="M9" s="535" t="s">
        <v>49</v>
      </c>
      <c r="N9" s="532">
        <v>14425000</v>
      </c>
      <c r="O9" s="556" t="s">
        <v>941</v>
      </c>
      <c r="Q9">
        <v>3600</v>
      </c>
    </row>
    <row r="10" spans="1:19">
      <c r="A10" s="23">
        <v>44413</v>
      </c>
      <c r="B10" s="21" t="s">
        <v>828</v>
      </c>
      <c r="C10" s="67" t="s">
        <v>280</v>
      </c>
      <c r="D10" s="41">
        <v>1</v>
      </c>
      <c r="E10" s="67" t="s">
        <v>26</v>
      </c>
      <c r="F10" s="65">
        <v>0</v>
      </c>
      <c r="G10" s="65">
        <f t="shared" si="0"/>
        <v>0</v>
      </c>
      <c r="H10" s="124">
        <f>SUM(G10)</f>
        <v>0</v>
      </c>
      <c r="I10" s="124"/>
      <c r="J10" s="14"/>
      <c r="K10" s="12">
        <v>8</v>
      </c>
      <c r="L10" s="409">
        <v>44387</v>
      </c>
      <c r="M10" s="271" t="s">
        <v>510</v>
      </c>
      <c r="N10" s="273">
        <v>2000000</v>
      </c>
      <c r="O10" s="422" t="s">
        <v>942</v>
      </c>
      <c r="Q10">
        <v>960</v>
      </c>
    </row>
    <row r="11" spans="1:19">
      <c r="A11" s="484">
        <v>44414</v>
      </c>
      <c r="B11" s="485" t="s">
        <v>147</v>
      </c>
      <c r="C11" s="482" t="s">
        <v>164</v>
      </c>
      <c r="D11" s="487">
        <v>30</v>
      </c>
      <c r="E11" s="482" t="s">
        <v>26</v>
      </c>
      <c r="F11" s="480">
        <v>150000</v>
      </c>
      <c r="G11" s="480">
        <f t="shared" si="0"/>
        <v>4500000</v>
      </c>
      <c r="H11" s="866">
        <f>SUM(G11:G12)</f>
        <v>9000000</v>
      </c>
      <c r="I11" s="866" t="s">
        <v>800</v>
      </c>
      <c r="J11" s="14"/>
      <c r="K11" s="15">
        <v>9</v>
      </c>
      <c r="L11" s="544">
        <v>44389</v>
      </c>
      <c r="M11" s="535" t="s">
        <v>49</v>
      </c>
      <c r="N11" s="532">
        <v>5825000</v>
      </c>
      <c r="O11" s="556" t="s">
        <v>941</v>
      </c>
      <c r="Q11">
        <v>1400</v>
      </c>
    </row>
    <row r="12" spans="1:19">
      <c r="A12" s="485"/>
      <c r="B12" s="485" t="s">
        <v>809</v>
      </c>
      <c r="C12" s="482" t="s">
        <v>164</v>
      </c>
      <c r="D12" s="487">
        <v>30</v>
      </c>
      <c r="E12" s="482" t="s">
        <v>26</v>
      </c>
      <c r="F12" s="488">
        <v>150000</v>
      </c>
      <c r="G12" s="488">
        <f t="shared" si="0"/>
        <v>4500000</v>
      </c>
      <c r="H12" s="868"/>
      <c r="I12" s="868"/>
      <c r="J12" s="14"/>
      <c r="K12" s="30">
        <v>10</v>
      </c>
      <c r="L12" s="392">
        <v>44398</v>
      </c>
      <c r="M12" s="393" t="s">
        <v>158</v>
      </c>
      <c r="N12" s="211">
        <v>2960000</v>
      </c>
      <c r="O12" s="516" t="s">
        <v>941</v>
      </c>
    </row>
    <row r="13" spans="1:19">
      <c r="A13" s="533">
        <v>44415</v>
      </c>
      <c r="B13" s="534" t="s">
        <v>830</v>
      </c>
      <c r="C13" s="535" t="s">
        <v>49</v>
      </c>
      <c r="D13" s="536">
        <v>1</v>
      </c>
      <c r="E13" s="536" t="s">
        <v>26</v>
      </c>
      <c r="F13" s="532">
        <v>1300000</v>
      </c>
      <c r="G13" s="532">
        <f t="shared" si="0"/>
        <v>1300000</v>
      </c>
      <c r="H13" s="936">
        <f>SUM(G13:G15)</f>
        <v>4950000</v>
      </c>
      <c r="I13" s="946" t="s">
        <v>800</v>
      </c>
      <c r="J13" s="14"/>
      <c r="K13" s="12">
        <v>11</v>
      </c>
      <c r="L13" s="544">
        <v>44404</v>
      </c>
      <c r="M13" s="535" t="s">
        <v>49</v>
      </c>
      <c r="N13" s="532">
        <v>3670000</v>
      </c>
      <c r="O13" s="556" t="s">
        <v>941</v>
      </c>
      <c r="Q13">
        <f>SUM(Q9:Q12)</f>
        <v>5960</v>
      </c>
    </row>
    <row r="14" spans="1:19">
      <c r="A14" s="534"/>
      <c r="B14" s="534" t="s">
        <v>831</v>
      </c>
      <c r="C14" s="535" t="s">
        <v>49</v>
      </c>
      <c r="D14" s="536">
        <v>5</v>
      </c>
      <c r="E14" s="536" t="s">
        <v>26</v>
      </c>
      <c r="F14" s="532">
        <v>730000</v>
      </c>
      <c r="G14" s="532">
        <f t="shared" si="0"/>
        <v>3650000</v>
      </c>
      <c r="H14" s="966"/>
      <c r="I14" s="965"/>
      <c r="J14" s="14"/>
      <c r="K14" s="15">
        <v>12</v>
      </c>
      <c r="L14" s="490">
        <v>44421</v>
      </c>
      <c r="M14" s="486" t="s">
        <v>820</v>
      </c>
      <c r="N14" s="488">
        <v>750000</v>
      </c>
      <c r="O14" s="492" t="s">
        <v>942</v>
      </c>
      <c r="S14" s="349">
        <f>AGUSTUS!N4+AGUSTUS!N5+AGUSTUS!N6+AGUSTUS!N9+AGUSTUS!N11+AGUSTUS!N13+AGUSTUS!N3</f>
        <v>44710000</v>
      </c>
    </row>
    <row r="15" spans="1:19">
      <c r="A15" s="534"/>
      <c r="B15" s="534" t="s">
        <v>832</v>
      </c>
      <c r="C15" s="535" t="s">
        <v>49</v>
      </c>
      <c r="D15" s="536">
        <v>1</v>
      </c>
      <c r="E15" s="536" t="s">
        <v>26</v>
      </c>
      <c r="F15" s="532" t="s">
        <v>83</v>
      </c>
      <c r="G15" s="532"/>
      <c r="H15" s="966"/>
      <c r="I15" s="965"/>
      <c r="J15" s="14"/>
      <c r="K15" s="30">
        <v>13</v>
      </c>
      <c r="L15" s="366">
        <v>44400</v>
      </c>
      <c r="M15" s="367" t="s">
        <v>510</v>
      </c>
      <c r="N15" s="273">
        <v>150000</v>
      </c>
      <c r="O15" s="422" t="s">
        <v>943</v>
      </c>
      <c r="P15" t="s">
        <v>649</v>
      </c>
    </row>
    <row r="16" spans="1:19">
      <c r="A16" s="561">
        <v>44415</v>
      </c>
      <c r="B16" s="32" t="s">
        <v>833</v>
      </c>
      <c r="C16" s="16" t="s">
        <v>49</v>
      </c>
      <c r="D16" s="520">
        <v>8</v>
      </c>
      <c r="E16" s="520" t="s">
        <v>26</v>
      </c>
      <c r="F16" s="31">
        <v>120000</v>
      </c>
      <c r="G16" s="31">
        <f t="shared" si="0"/>
        <v>960000</v>
      </c>
      <c r="H16" s="559">
        <f>SUM(G16)</f>
        <v>960000</v>
      </c>
      <c r="I16" s="560" t="s">
        <v>122</v>
      </c>
      <c r="J16" s="14"/>
      <c r="K16" s="12">
        <v>14</v>
      </c>
      <c r="L16" s="490">
        <v>44464</v>
      </c>
      <c r="M16" s="486" t="s">
        <v>820</v>
      </c>
      <c r="N16" s="488">
        <v>14645000</v>
      </c>
      <c r="O16" s="492" t="s">
        <v>942</v>
      </c>
    </row>
    <row r="17" spans="1:19">
      <c r="A17" s="484">
        <v>44415</v>
      </c>
      <c r="B17" s="485" t="s">
        <v>834</v>
      </c>
      <c r="C17" s="486" t="s">
        <v>164</v>
      </c>
      <c r="D17" s="487">
        <v>5</v>
      </c>
      <c r="E17" s="487" t="s">
        <v>134</v>
      </c>
      <c r="F17" s="488" t="s">
        <v>835</v>
      </c>
      <c r="G17" s="488">
        <v>0</v>
      </c>
      <c r="H17" s="970">
        <f>SUM(G17:G29)</f>
        <v>2225000</v>
      </c>
      <c r="I17" s="967" t="s">
        <v>800</v>
      </c>
      <c r="J17" s="14"/>
      <c r="K17" s="15">
        <v>15</v>
      </c>
      <c r="L17" s="61">
        <v>44481</v>
      </c>
      <c r="M17" s="52" t="s">
        <v>97</v>
      </c>
      <c r="N17" s="53">
        <v>3518400</v>
      </c>
      <c r="O17" s="73" t="s">
        <v>1383</v>
      </c>
      <c r="Q17" s="142">
        <f>AGUSTUS!N14+AGUSTUS!N16+AGUSTUS!N19</f>
        <v>16175000</v>
      </c>
    </row>
    <row r="18" spans="1:19">
      <c r="A18" s="485"/>
      <c r="B18" s="485" t="s">
        <v>837</v>
      </c>
      <c r="C18" s="486" t="s">
        <v>164</v>
      </c>
      <c r="D18" s="487">
        <v>12</v>
      </c>
      <c r="E18" s="487" t="s">
        <v>134</v>
      </c>
      <c r="F18" s="488">
        <v>45000</v>
      </c>
      <c r="G18" s="488">
        <f>D18*F18</f>
        <v>540000</v>
      </c>
      <c r="H18" s="971"/>
      <c r="I18" s="968"/>
      <c r="J18" s="14"/>
      <c r="K18" s="30">
        <v>16</v>
      </c>
      <c r="L18" s="371">
        <v>44483</v>
      </c>
      <c r="M18" s="203" t="s">
        <v>1166</v>
      </c>
      <c r="N18" s="205">
        <v>11190000</v>
      </c>
      <c r="O18" s="386" t="s">
        <v>1418</v>
      </c>
      <c r="Q18" s="142">
        <f>SUM(AGUSTUS!N14+AGUSTUS!N16)</f>
        <v>15395000</v>
      </c>
    </row>
    <row r="19" spans="1:19">
      <c r="A19" s="485"/>
      <c r="B19" s="485" t="s">
        <v>836</v>
      </c>
      <c r="C19" s="486" t="s">
        <v>164</v>
      </c>
      <c r="D19" s="487">
        <v>8</v>
      </c>
      <c r="E19" s="487" t="s">
        <v>134</v>
      </c>
      <c r="F19" s="488">
        <v>45000</v>
      </c>
      <c r="G19" s="488">
        <f t="shared" ref="G19:G59" si="1">D19*F19</f>
        <v>360000</v>
      </c>
      <c r="H19" s="971"/>
      <c r="I19" s="968"/>
      <c r="J19" s="14"/>
      <c r="K19" s="12">
        <v>17</v>
      </c>
      <c r="L19" s="490">
        <v>44459</v>
      </c>
      <c r="M19" s="486" t="s">
        <v>820</v>
      </c>
      <c r="N19" s="596">
        <v>780000</v>
      </c>
      <c r="O19" s="492" t="s">
        <v>942</v>
      </c>
    </row>
    <row r="20" spans="1:19">
      <c r="A20" s="485"/>
      <c r="B20" s="485" t="s">
        <v>838</v>
      </c>
      <c r="C20" s="486" t="s">
        <v>164</v>
      </c>
      <c r="D20" s="487">
        <v>10</v>
      </c>
      <c r="E20" s="487" t="s">
        <v>26</v>
      </c>
      <c r="F20" s="488">
        <v>82500</v>
      </c>
      <c r="G20" s="488">
        <f t="shared" si="1"/>
        <v>825000</v>
      </c>
      <c r="H20" s="971"/>
      <c r="I20" s="968"/>
      <c r="J20" s="14"/>
      <c r="K20" s="15">
        <v>18</v>
      </c>
      <c r="L20" s="392">
        <v>44487</v>
      </c>
      <c r="M20" s="393" t="s">
        <v>1184</v>
      </c>
      <c r="N20" s="512">
        <v>15000000</v>
      </c>
      <c r="O20" s="516" t="s">
        <v>1185</v>
      </c>
    </row>
    <row r="21" spans="1:19">
      <c r="A21" s="485"/>
      <c r="B21" s="485" t="s">
        <v>840</v>
      </c>
      <c r="C21" s="486" t="s">
        <v>164</v>
      </c>
      <c r="D21" s="487">
        <v>10</v>
      </c>
      <c r="E21" s="487" t="s">
        <v>134</v>
      </c>
      <c r="F21" s="488">
        <v>10000</v>
      </c>
      <c r="G21" s="488">
        <f t="shared" si="1"/>
        <v>100000</v>
      </c>
      <c r="H21" s="971"/>
      <c r="I21" s="968"/>
      <c r="J21" s="14"/>
      <c r="K21" s="30">
        <v>19</v>
      </c>
      <c r="L21" s="405">
        <v>44498</v>
      </c>
      <c r="M21" s="266" t="s">
        <v>1238</v>
      </c>
      <c r="N21" s="635">
        <v>2100000</v>
      </c>
      <c r="O21" s="961" t="s">
        <v>1492</v>
      </c>
      <c r="S21">
        <f>44*200</f>
        <v>8800</v>
      </c>
    </row>
    <row r="22" spans="1:19">
      <c r="A22" s="485"/>
      <c r="B22" s="485" t="s">
        <v>839</v>
      </c>
      <c r="C22" s="486" t="s">
        <v>164</v>
      </c>
      <c r="D22" s="487">
        <v>6</v>
      </c>
      <c r="E22" s="487" t="s">
        <v>134</v>
      </c>
      <c r="F22" s="488">
        <v>10000</v>
      </c>
      <c r="G22" s="488">
        <f t="shared" si="1"/>
        <v>60000</v>
      </c>
      <c r="H22" s="971"/>
      <c r="I22" s="968"/>
      <c r="J22" s="14"/>
      <c r="K22" s="12">
        <v>20</v>
      </c>
      <c r="L22" s="405">
        <v>44515</v>
      </c>
      <c r="M22" s="266" t="s">
        <v>1238</v>
      </c>
      <c r="N22" s="635">
        <v>3200000</v>
      </c>
      <c r="O22" s="962"/>
      <c r="Q22" s="502">
        <f>SUM(N21:N22)</f>
        <v>5300000</v>
      </c>
    </row>
    <row r="23" spans="1:19">
      <c r="A23" s="485"/>
      <c r="B23" s="485" t="s">
        <v>841</v>
      </c>
      <c r="C23" s="486" t="s">
        <v>164</v>
      </c>
      <c r="D23" s="487">
        <v>4</v>
      </c>
      <c r="E23" s="487" t="s">
        <v>134</v>
      </c>
      <c r="F23" s="488">
        <v>10000</v>
      </c>
      <c r="G23" s="488">
        <f t="shared" si="1"/>
        <v>40000</v>
      </c>
      <c r="H23" s="971"/>
      <c r="I23" s="968"/>
      <c r="J23" s="14"/>
      <c r="K23" s="15">
        <v>21</v>
      </c>
      <c r="L23" s="306">
        <v>44512</v>
      </c>
      <c r="M23" s="307" t="s">
        <v>811</v>
      </c>
      <c r="N23" s="308">
        <v>7200000</v>
      </c>
      <c r="O23" s="629" t="s">
        <v>856</v>
      </c>
    </row>
    <row r="24" spans="1:19">
      <c r="A24" s="485"/>
      <c r="B24" s="485" t="s">
        <v>842</v>
      </c>
      <c r="C24" s="486" t="s">
        <v>164</v>
      </c>
      <c r="D24" s="487">
        <v>10</v>
      </c>
      <c r="E24" s="487" t="s">
        <v>134</v>
      </c>
      <c r="F24" s="488">
        <v>10000</v>
      </c>
      <c r="G24" s="488">
        <f t="shared" si="1"/>
        <v>100000</v>
      </c>
      <c r="H24" s="971"/>
      <c r="I24" s="968"/>
      <c r="J24" s="14"/>
      <c r="K24" s="30">
        <v>22</v>
      </c>
      <c r="L24" s="388">
        <v>44539</v>
      </c>
      <c r="M24" s="389" t="s">
        <v>60</v>
      </c>
      <c r="N24" s="631">
        <v>29800000</v>
      </c>
      <c r="O24" s="632" t="s">
        <v>1473</v>
      </c>
    </row>
    <row r="25" spans="1:19">
      <c r="A25" s="485"/>
      <c r="B25" s="485" t="s">
        <v>843</v>
      </c>
      <c r="C25" s="486" t="s">
        <v>164</v>
      </c>
      <c r="D25" s="487">
        <v>6</v>
      </c>
      <c r="E25" s="487" t="s">
        <v>134</v>
      </c>
      <c r="F25" s="488">
        <v>10000</v>
      </c>
      <c r="G25" s="488">
        <f t="shared" si="1"/>
        <v>60000</v>
      </c>
      <c r="H25" s="971"/>
      <c r="I25" s="968"/>
      <c r="J25" s="14"/>
      <c r="K25" s="12">
        <v>23</v>
      </c>
      <c r="L25" s="198">
        <v>44551</v>
      </c>
      <c r="M25" s="195" t="s">
        <v>18</v>
      </c>
      <c r="N25" s="637">
        <v>4892500</v>
      </c>
      <c r="O25" s="638" t="s">
        <v>1493</v>
      </c>
      <c r="Q25" s="502">
        <v>4892500</v>
      </c>
    </row>
    <row r="26" spans="1:19">
      <c r="A26" s="485"/>
      <c r="B26" s="485" t="s">
        <v>844</v>
      </c>
      <c r="C26" s="486" t="s">
        <v>164</v>
      </c>
      <c r="D26" s="487">
        <v>4</v>
      </c>
      <c r="E26" s="487" t="s">
        <v>134</v>
      </c>
      <c r="F26" s="488">
        <v>10000</v>
      </c>
      <c r="G26" s="488">
        <f t="shared" si="1"/>
        <v>40000</v>
      </c>
      <c r="H26" s="971"/>
      <c r="I26" s="968"/>
      <c r="J26" s="14"/>
      <c r="K26" s="14"/>
      <c r="L26" s="39"/>
      <c r="M26" s="39"/>
      <c r="N26" s="14"/>
      <c r="O26" s="14"/>
    </row>
    <row r="27" spans="1:19">
      <c r="A27" s="485"/>
      <c r="B27" s="485" t="s">
        <v>845</v>
      </c>
      <c r="C27" s="486" t="s">
        <v>164</v>
      </c>
      <c r="D27" s="487">
        <v>5</v>
      </c>
      <c r="E27" s="487" t="s">
        <v>134</v>
      </c>
      <c r="F27" s="488">
        <v>10000</v>
      </c>
      <c r="G27" s="488">
        <f t="shared" si="1"/>
        <v>50000</v>
      </c>
      <c r="H27" s="971"/>
      <c r="I27" s="968"/>
      <c r="J27" s="14"/>
      <c r="K27" s="14"/>
      <c r="L27" s="39"/>
      <c r="M27" s="39" t="s">
        <v>883</v>
      </c>
      <c r="N27" s="22">
        <f>SUM(N3:N26)</f>
        <v>153015900</v>
      </c>
      <c r="O27" s="14"/>
    </row>
    <row r="28" spans="1:19">
      <c r="A28" s="485"/>
      <c r="B28" s="485" t="s">
        <v>846</v>
      </c>
      <c r="C28" s="486" t="s">
        <v>164</v>
      </c>
      <c r="D28" s="487">
        <v>3</v>
      </c>
      <c r="E28" s="487" t="s">
        <v>134</v>
      </c>
      <c r="F28" s="488">
        <v>10000</v>
      </c>
      <c r="G28" s="488">
        <f t="shared" si="1"/>
        <v>30000</v>
      </c>
      <c r="H28" s="971"/>
      <c r="I28" s="968"/>
      <c r="J28" s="14"/>
      <c r="K28" s="14"/>
      <c r="M28" s="39"/>
      <c r="N28" s="22"/>
      <c r="O28" s="502"/>
    </row>
    <row r="29" spans="1:19">
      <c r="A29" s="485"/>
      <c r="B29" s="485" t="s">
        <v>847</v>
      </c>
      <c r="C29" s="486" t="s">
        <v>164</v>
      </c>
      <c r="D29" s="487">
        <v>2</v>
      </c>
      <c r="E29" s="487" t="s">
        <v>134</v>
      </c>
      <c r="F29" s="488">
        <v>10000</v>
      </c>
      <c r="G29" s="488">
        <f t="shared" si="1"/>
        <v>20000</v>
      </c>
      <c r="H29" s="972"/>
      <c r="I29" s="969"/>
      <c r="J29" s="14"/>
      <c r="K29" s="14"/>
      <c r="L29" s="39"/>
      <c r="M29" s="39"/>
      <c r="N29" s="501"/>
    </row>
    <row r="30" spans="1:19">
      <c r="A30" s="333">
        <v>44415</v>
      </c>
      <c r="B30" s="334" t="s">
        <v>848</v>
      </c>
      <c r="C30" s="307" t="s">
        <v>60</v>
      </c>
      <c r="D30" s="335">
        <v>1</v>
      </c>
      <c r="E30" s="335" t="s">
        <v>61</v>
      </c>
      <c r="F30" s="308">
        <v>19800000</v>
      </c>
      <c r="G30" s="308">
        <f t="shared" si="1"/>
        <v>19800000</v>
      </c>
      <c r="H30" s="837">
        <f>SUM(G30:G31)</f>
        <v>39600000</v>
      </c>
      <c r="I30" s="840" t="s">
        <v>913</v>
      </c>
      <c r="J30" s="14"/>
      <c r="K30" s="14"/>
      <c r="L30" s="39"/>
      <c r="O30" s="14"/>
    </row>
    <row r="31" spans="1:19">
      <c r="A31" s="334"/>
      <c r="B31" s="334" t="s">
        <v>849</v>
      </c>
      <c r="C31" s="307" t="s">
        <v>60</v>
      </c>
      <c r="D31" s="335">
        <v>1</v>
      </c>
      <c r="E31" s="335" t="s">
        <v>61</v>
      </c>
      <c r="F31" s="308">
        <v>19800000</v>
      </c>
      <c r="G31" s="308">
        <f t="shared" si="1"/>
        <v>19800000</v>
      </c>
      <c r="H31" s="839"/>
      <c r="I31" s="842"/>
      <c r="J31" s="14"/>
      <c r="K31" s="14"/>
      <c r="L31" s="39"/>
      <c r="M31" s="5" t="s">
        <v>1465</v>
      </c>
      <c r="N31" s="349">
        <f>N3+N4+N5+N6+N7+N8+N9+N10+N11+N12+N13+N14+N15+N16+N18+N19+N20</f>
        <v>102305000</v>
      </c>
      <c r="O31" s="14"/>
    </row>
    <row r="32" spans="1:19">
      <c r="A32" s="80">
        <v>44417</v>
      </c>
      <c r="B32" s="81" t="s">
        <v>850</v>
      </c>
      <c r="C32" s="82" t="s">
        <v>96</v>
      </c>
      <c r="D32" s="82">
        <v>10</v>
      </c>
      <c r="E32" s="82" t="s">
        <v>26</v>
      </c>
      <c r="F32" s="235">
        <v>1200000</v>
      </c>
      <c r="G32" s="235">
        <f t="shared" si="1"/>
        <v>12000000</v>
      </c>
      <c r="H32" s="235">
        <f>SUM(G32)</f>
        <v>12000000</v>
      </c>
      <c r="I32" s="234" t="s">
        <v>800</v>
      </c>
      <c r="M32" s="5"/>
    </row>
    <row r="33" spans="1:13">
      <c r="A33" s="80">
        <v>44420</v>
      </c>
      <c r="B33" s="81" t="s">
        <v>852</v>
      </c>
      <c r="C33" s="82" t="s">
        <v>96</v>
      </c>
      <c r="D33" s="82">
        <v>10</v>
      </c>
      <c r="E33" s="82" t="s">
        <v>26</v>
      </c>
      <c r="F33" s="235">
        <v>900000</v>
      </c>
      <c r="G33" s="235">
        <f t="shared" si="1"/>
        <v>9000000</v>
      </c>
      <c r="H33" s="235">
        <f>SUM(G33)</f>
        <v>9000000</v>
      </c>
      <c r="I33" s="82" t="s">
        <v>800</v>
      </c>
      <c r="M33" s="5"/>
    </row>
    <row r="34" spans="1:13">
      <c r="A34" s="66">
        <v>44421</v>
      </c>
      <c r="B34" s="40" t="s">
        <v>857</v>
      </c>
      <c r="C34" s="67" t="s">
        <v>280</v>
      </c>
      <c r="D34" s="67">
        <v>1</v>
      </c>
      <c r="E34" s="67" t="s">
        <v>26</v>
      </c>
      <c r="F34" s="65">
        <v>0</v>
      </c>
      <c r="G34" s="65">
        <f t="shared" si="1"/>
        <v>0</v>
      </c>
      <c r="H34" s="65">
        <v>0</v>
      </c>
      <c r="I34" s="40"/>
      <c r="M34" s="5"/>
    </row>
    <row r="35" spans="1:13">
      <c r="A35" s="477">
        <v>44421</v>
      </c>
      <c r="B35" s="478" t="s">
        <v>861</v>
      </c>
      <c r="C35" s="482" t="s">
        <v>17</v>
      </c>
      <c r="D35" s="482">
        <v>5</v>
      </c>
      <c r="E35" s="482" t="s">
        <v>26</v>
      </c>
      <c r="F35" s="480">
        <v>150000</v>
      </c>
      <c r="G35" s="480">
        <f t="shared" si="1"/>
        <v>750000</v>
      </c>
      <c r="H35" s="480">
        <f>SUM(G35)</f>
        <v>750000</v>
      </c>
      <c r="I35" s="482" t="s">
        <v>685</v>
      </c>
      <c r="M35" s="5"/>
    </row>
    <row r="36" spans="1:13" ht="21" customHeight="1">
      <c r="A36" s="541">
        <v>44424</v>
      </c>
      <c r="B36" s="542" t="s">
        <v>862</v>
      </c>
      <c r="C36" s="538" t="s">
        <v>49</v>
      </c>
      <c r="D36" s="538">
        <v>4</v>
      </c>
      <c r="E36" s="538" t="s">
        <v>26</v>
      </c>
      <c r="F36" s="543">
        <v>450000</v>
      </c>
      <c r="G36" s="543">
        <f>F36*D36</f>
        <v>1800000</v>
      </c>
      <c r="H36" s="543">
        <f>SUM(G36)</f>
        <v>1800000</v>
      </c>
      <c r="I36" s="530" t="s">
        <v>874</v>
      </c>
      <c r="M36" s="5"/>
    </row>
    <row r="37" spans="1:13">
      <c r="A37" s="169">
        <v>44424</v>
      </c>
      <c r="B37" s="170" t="s">
        <v>863</v>
      </c>
      <c r="C37" s="649" t="s">
        <v>49</v>
      </c>
      <c r="D37" s="171">
        <v>10</v>
      </c>
      <c r="E37" s="649" t="s">
        <v>26</v>
      </c>
      <c r="F37" s="650">
        <v>1000000</v>
      </c>
      <c r="G37" s="651">
        <f>F37*D37</f>
        <v>10000000</v>
      </c>
      <c r="H37" s="652">
        <f>SUM(G37)</f>
        <v>10000000</v>
      </c>
      <c r="I37" s="653" t="s">
        <v>67</v>
      </c>
      <c r="M37" s="5"/>
    </row>
    <row r="38" spans="1:13">
      <c r="A38" s="528">
        <v>44424</v>
      </c>
      <c r="B38" s="529" t="s">
        <v>864</v>
      </c>
      <c r="C38" s="538" t="s">
        <v>49</v>
      </c>
      <c r="D38" s="530">
        <v>10</v>
      </c>
      <c r="E38" s="538" t="s">
        <v>26</v>
      </c>
      <c r="F38" s="540">
        <v>95000</v>
      </c>
      <c r="G38" s="531">
        <f t="shared" si="1"/>
        <v>950000</v>
      </c>
      <c r="H38" s="929">
        <f>SUM(G38:G42)</f>
        <v>10550000</v>
      </c>
      <c r="I38" s="957" t="s">
        <v>800</v>
      </c>
      <c r="M38" s="5"/>
    </row>
    <row r="39" spans="1:13">
      <c r="A39" s="529"/>
      <c r="B39" s="529" t="s">
        <v>865</v>
      </c>
      <c r="C39" s="538" t="s">
        <v>49</v>
      </c>
      <c r="D39" s="530">
        <v>10</v>
      </c>
      <c r="E39" s="538" t="s">
        <v>26</v>
      </c>
      <c r="F39" s="540">
        <v>85000</v>
      </c>
      <c r="G39" s="531">
        <f t="shared" si="1"/>
        <v>850000</v>
      </c>
      <c r="H39" s="929"/>
      <c r="I39" s="957"/>
      <c r="M39" s="5"/>
    </row>
    <row r="40" spans="1:13">
      <c r="A40" s="529"/>
      <c r="B40" s="529" t="s">
        <v>866</v>
      </c>
      <c r="C40" s="538" t="s">
        <v>49</v>
      </c>
      <c r="D40" s="530">
        <v>5</v>
      </c>
      <c r="E40" s="538" t="s">
        <v>26</v>
      </c>
      <c r="F40" s="540">
        <v>50000</v>
      </c>
      <c r="G40" s="531">
        <f t="shared" si="1"/>
        <v>250000</v>
      </c>
      <c r="H40" s="929"/>
      <c r="I40" s="957"/>
      <c r="M40" s="5"/>
    </row>
    <row r="41" spans="1:13">
      <c r="A41" s="529"/>
      <c r="B41" s="529" t="s">
        <v>867</v>
      </c>
      <c r="C41" s="538" t="s">
        <v>49</v>
      </c>
      <c r="D41" s="530">
        <v>1</v>
      </c>
      <c r="E41" s="538" t="s">
        <v>26</v>
      </c>
      <c r="F41" s="540">
        <v>8500000</v>
      </c>
      <c r="G41" s="531">
        <f t="shared" si="1"/>
        <v>8500000</v>
      </c>
      <c r="H41" s="929"/>
      <c r="I41" s="957"/>
      <c r="M41" s="5"/>
    </row>
    <row r="42" spans="1:13">
      <c r="A42" s="529"/>
      <c r="B42" s="529" t="s">
        <v>868</v>
      </c>
      <c r="C42" s="538" t="s">
        <v>49</v>
      </c>
      <c r="D42" s="530">
        <v>1</v>
      </c>
      <c r="E42" s="530" t="s">
        <v>134</v>
      </c>
      <c r="F42" s="540"/>
      <c r="G42" s="531">
        <f t="shared" si="1"/>
        <v>0</v>
      </c>
      <c r="H42" s="930"/>
      <c r="I42" s="958"/>
      <c r="M42" s="5"/>
    </row>
    <row r="43" spans="1:13">
      <c r="A43" s="477">
        <v>44424</v>
      </c>
      <c r="B43" s="478" t="s">
        <v>869</v>
      </c>
      <c r="C43" s="482" t="s">
        <v>164</v>
      </c>
      <c r="D43" s="482">
        <v>1</v>
      </c>
      <c r="E43" s="482" t="s">
        <v>26</v>
      </c>
      <c r="F43" s="483">
        <v>635000</v>
      </c>
      <c r="G43" s="483">
        <f t="shared" si="1"/>
        <v>635000</v>
      </c>
      <c r="H43" s="866">
        <f>SUM(G43:G45)</f>
        <v>3065000</v>
      </c>
      <c r="I43" s="890" t="s">
        <v>800</v>
      </c>
    </row>
    <row r="44" spans="1:13">
      <c r="A44" s="479"/>
      <c r="B44" s="589" t="s">
        <v>870</v>
      </c>
      <c r="C44" s="482" t="s">
        <v>164</v>
      </c>
      <c r="D44" s="479">
        <v>2</v>
      </c>
      <c r="E44" s="479" t="s">
        <v>26</v>
      </c>
      <c r="F44" s="483">
        <v>735000</v>
      </c>
      <c r="G44" s="483">
        <f t="shared" si="1"/>
        <v>1470000</v>
      </c>
      <c r="H44" s="867"/>
      <c r="I44" s="891"/>
    </row>
    <row r="45" spans="1:13">
      <c r="A45" s="479"/>
      <c r="B45" s="589" t="s">
        <v>871</v>
      </c>
      <c r="C45" s="482" t="s">
        <v>164</v>
      </c>
      <c r="D45" s="479">
        <v>6</v>
      </c>
      <c r="E45" s="479" t="s">
        <v>26</v>
      </c>
      <c r="F45" s="483">
        <v>160000</v>
      </c>
      <c r="G45" s="483">
        <f t="shared" si="1"/>
        <v>960000</v>
      </c>
      <c r="H45" s="868"/>
      <c r="I45" s="892"/>
    </row>
    <row r="46" spans="1:13">
      <c r="A46" s="548">
        <v>44424</v>
      </c>
      <c r="B46" s="549" t="s">
        <v>872</v>
      </c>
      <c r="C46" s="550" t="s">
        <v>97</v>
      </c>
      <c r="D46" s="550">
        <v>12</v>
      </c>
      <c r="E46" s="550" t="s">
        <v>26</v>
      </c>
      <c r="F46" s="551">
        <v>888000</v>
      </c>
      <c r="G46" s="551">
        <f t="shared" si="1"/>
        <v>10656000</v>
      </c>
      <c r="H46" s="824">
        <f>SUM(G46:G47)</f>
        <v>10656000</v>
      </c>
      <c r="I46" s="827" t="s">
        <v>454</v>
      </c>
    </row>
    <row r="47" spans="1:13">
      <c r="A47" s="550"/>
      <c r="B47" s="549" t="s">
        <v>873</v>
      </c>
      <c r="C47" s="550" t="s">
        <v>97</v>
      </c>
      <c r="D47" s="550">
        <v>12</v>
      </c>
      <c r="E47" s="550" t="s">
        <v>26</v>
      </c>
      <c r="F47" s="551">
        <v>0</v>
      </c>
      <c r="G47" s="551">
        <f t="shared" si="1"/>
        <v>0</v>
      </c>
      <c r="H47" s="826"/>
      <c r="I47" s="826"/>
    </row>
    <row r="48" spans="1:13">
      <c r="A48" s="639">
        <v>44426</v>
      </c>
      <c r="B48" s="640" t="s">
        <v>875</v>
      </c>
      <c r="C48" s="234" t="s">
        <v>96</v>
      </c>
      <c r="D48" s="234">
        <v>3</v>
      </c>
      <c r="E48" s="234" t="s">
        <v>26</v>
      </c>
      <c r="F48" s="641">
        <v>1200000</v>
      </c>
      <c r="G48" s="641">
        <f t="shared" si="1"/>
        <v>3600000</v>
      </c>
      <c r="H48" s="642">
        <f>SUM(G48)</f>
        <v>3600000</v>
      </c>
      <c r="I48" s="234" t="s">
        <v>685</v>
      </c>
    </row>
    <row r="49" spans="1:10">
      <c r="A49" s="590">
        <v>44426</v>
      </c>
      <c r="B49" s="589" t="s">
        <v>878</v>
      </c>
      <c r="C49" s="479" t="s">
        <v>164</v>
      </c>
      <c r="D49" s="479">
        <v>2</v>
      </c>
      <c r="E49" s="479" t="s">
        <v>26</v>
      </c>
      <c r="F49" s="483">
        <v>635000</v>
      </c>
      <c r="G49" s="483">
        <f t="shared" si="1"/>
        <v>1270000</v>
      </c>
      <c r="H49" s="976">
        <f>SUM(G49:G55)</f>
        <v>10090000</v>
      </c>
      <c r="I49" s="977" t="s">
        <v>800</v>
      </c>
      <c r="J49" s="142">
        <f>SUM(H49:H59)</f>
        <v>12930000</v>
      </c>
    </row>
    <row r="50" spans="1:10">
      <c r="A50" s="479"/>
      <c r="B50" s="589" t="s">
        <v>876</v>
      </c>
      <c r="C50" s="479" t="s">
        <v>164</v>
      </c>
      <c r="D50" s="479">
        <v>3</v>
      </c>
      <c r="E50" s="479" t="s">
        <v>26</v>
      </c>
      <c r="F50" s="483">
        <v>735000</v>
      </c>
      <c r="G50" s="483">
        <f t="shared" si="1"/>
        <v>2205000</v>
      </c>
      <c r="H50" s="976"/>
      <c r="I50" s="977"/>
    </row>
    <row r="51" spans="1:10">
      <c r="A51" s="479"/>
      <c r="B51" s="589" t="s">
        <v>877</v>
      </c>
      <c r="C51" s="479" t="s">
        <v>164</v>
      </c>
      <c r="D51" s="479">
        <v>2</v>
      </c>
      <c r="E51" s="479" t="s">
        <v>26</v>
      </c>
      <c r="F51" s="483">
        <v>735000</v>
      </c>
      <c r="G51" s="483">
        <f t="shared" si="1"/>
        <v>1470000</v>
      </c>
      <c r="H51" s="976"/>
      <c r="I51" s="977"/>
    </row>
    <row r="52" spans="1:10">
      <c r="A52" s="479"/>
      <c r="B52" s="589" t="s">
        <v>882</v>
      </c>
      <c r="C52" s="479" t="s">
        <v>164</v>
      </c>
      <c r="D52" s="479">
        <v>1</v>
      </c>
      <c r="E52" s="479" t="s">
        <v>26</v>
      </c>
      <c r="F52" s="483">
        <v>735000</v>
      </c>
      <c r="G52" s="483">
        <f t="shared" si="1"/>
        <v>735000</v>
      </c>
      <c r="H52" s="976"/>
      <c r="I52" s="977"/>
    </row>
    <row r="53" spans="1:10">
      <c r="A53" s="479"/>
      <c r="B53" s="589" t="s">
        <v>880</v>
      </c>
      <c r="C53" s="479" t="s">
        <v>164</v>
      </c>
      <c r="D53" s="479">
        <v>2</v>
      </c>
      <c r="E53" s="479" t="s">
        <v>26</v>
      </c>
      <c r="F53" s="483">
        <v>735000</v>
      </c>
      <c r="G53" s="483">
        <f t="shared" si="1"/>
        <v>1470000</v>
      </c>
      <c r="H53" s="976"/>
      <c r="I53" s="977"/>
    </row>
    <row r="54" spans="1:10">
      <c r="A54" s="479"/>
      <c r="B54" s="589" t="s">
        <v>879</v>
      </c>
      <c r="C54" s="479" t="s">
        <v>164</v>
      </c>
      <c r="D54" s="479">
        <v>2</v>
      </c>
      <c r="E54" s="479" t="s">
        <v>26</v>
      </c>
      <c r="F54" s="483">
        <v>735000</v>
      </c>
      <c r="G54" s="483">
        <f t="shared" si="1"/>
        <v>1470000</v>
      </c>
      <c r="H54" s="976"/>
      <c r="I54" s="977"/>
    </row>
    <row r="55" spans="1:10">
      <c r="A55" s="479"/>
      <c r="B55" s="589" t="s">
        <v>881</v>
      </c>
      <c r="C55" s="479" t="s">
        <v>164</v>
      </c>
      <c r="D55" s="479">
        <v>2</v>
      </c>
      <c r="E55" s="479" t="s">
        <v>26</v>
      </c>
      <c r="F55" s="483">
        <v>735000</v>
      </c>
      <c r="G55" s="483">
        <f t="shared" si="1"/>
        <v>1470000</v>
      </c>
      <c r="H55" s="976"/>
      <c r="I55" s="977"/>
    </row>
    <row r="56" spans="1:10">
      <c r="A56" s="590">
        <v>44426</v>
      </c>
      <c r="B56" s="589" t="s">
        <v>876</v>
      </c>
      <c r="C56" s="479" t="s">
        <v>164</v>
      </c>
      <c r="D56" s="479">
        <v>1</v>
      </c>
      <c r="E56" s="479" t="s">
        <v>26</v>
      </c>
      <c r="F56" s="483">
        <v>735000</v>
      </c>
      <c r="G56" s="483">
        <f t="shared" si="1"/>
        <v>735000</v>
      </c>
      <c r="H56" s="976">
        <f>SUM(G56:G59)</f>
        <v>2840000</v>
      </c>
      <c r="I56" s="977"/>
    </row>
    <row r="57" spans="1:10">
      <c r="A57" s="479"/>
      <c r="B57" s="589" t="s">
        <v>882</v>
      </c>
      <c r="C57" s="479" t="s">
        <v>164</v>
      </c>
      <c r="D57" s="479">
        <v>1</v>
      </c>
      <c r="E57" s="479" t="s">
        <v>26</v>
      </c>
      <c r="F57" s="483">
        <v>735000</v>
      </c>
      <c r="G57" s="483">
        <f t="shared" si="1"/>
        <v>735000</v>
      </c>
      <c r="H57" s="976"/>
      <c r="I57" s="977"/>
    </row>
    <row r="58" spans="1:10">
      <c r="A58" s="478"/>
      <c r="B58" s="589" t="s">
        <v>878</v>
      </c>
      <c r="C58" s="479" t="s">
        <v>164</v>
      </c>
      <c r="D58" s="479">
        <v>1</v>
      </c>
      <c r="E58" s="479" t="s">
        <v>26</v>
      </c>
      <c r="F58" s="483">
        <v>635000</v>
      </c>
      <c r="G58" s="483">
        <f t="shared" si="1"/>
        <v>635000</v>
      </c>
      <c r="H58" s="976"/>
      <c r="I58" s="977"/>
    </row>
    <row r="59" spans="1:10">
      <c r="A59" s="478"/>
      <c r="B59" s="589" t="s">
        <v>877</v>
      </c>
      <c r="C59" s="479" t="s">
        <v>164</v>
      </c>
      <c r="D59" s="479">
        <v>1</v>
      </c>
      <c r="E59" s="479" t="s">
        <v>26</v>
      </c>
      <c r="F59" s="483">
        <v>735000</v>
      </c>
      <c r="G59" s="483">
        <f t="shared" si="1"/>
        <v>735000</v>
      </c>
      <c r="H59" s="976"/>
      <c r="I59" s="977"/>
    </row>
    <row r="60" spans="1:10">
      <c r="A60" s="66">
        <v>44427</v>
      </c>
      <c r="B60" s="40" t="s">
        <v>885</v>
      </c>
      <c r="C60" s="67" t="s">
        <v>60</v>
      </c>
      <c r="D60" s="67">
        <v>1</v>
      </c>
      <c r="E60" s="67" t="s">
        <v>61</v>
      </c>
      <c r="F60" s="455">
        <v>0</v>
      </c>
      <c r="G60" s="455">
        <f t="shared" ref="G60:G78" si="2">D60*F60</f>
        <v>0</v>
      </c>
      <c r="H60" s="808">
        <v>0</v>
      </c>
      <c r="I60" s="40" t="s">
        <v>205</v>
      </c>
    </row>
    <row r="61" spans="1:10">
      <c r="A61" s="40"/>
      <c r="B61" s="40" t="s">
        <v>886</v>
      </c>
      <c r="C61" s="67" t="s">
        <v>60</v>
      </c>
      <c r="D61" s="67">
        <v>1</v>
      </c>
      <c r="E61" s="67" t="s">
        <v>61</v>
      </c>
      <c r="F61" s="455">
        <v>0</v>
      </c>
      <c r="G61" s="455">
        <f t="shared" si="2"/>
        <v>0</v>
      </c>
      <c r="H61" s="809"/>
      <c r="I61" s="40" t="s">
        <v>205</v>
      </c>
    </row>
    <row r="62" spans="1:10">
      <c r="A62" s="40"/>
      <c r="B62" s="40" t="s">
        <v>887</v>
      </c>
      <c r="C62" s="67" t="s">
        <v>60</v>
      </c>
      <c r="D62" s="67">
        <v>1</v>
      </c>
      <c r="E62" s="67" t="s">
        <v>61</v>
      </c>
      <c r="F62" s="455">
        <v>0</v>
      </c>
      <c r="G62" s="455">
        <f t="shared" si="2"/>
        <v>0</v>
      </c>
      <c r="H62" s="810"/>
      <c r="I62" s="40" t="s">
        <v>205</v>
      </c>
    </row>
    <row r="63" spans="1:10">
      <c r="A63" s="66">
        <v>44427</v>
      </c>
      <c r="B63" s="40" t="s">
        <v>888</v>
      </c>
      <c r="C63" s="454" t="s">
        <v>280</v>
      </c>
      <c r="D63" s="454">
        <v>1</v>
      </c>
      <c r="E63" s="454" t="s">
        <v>26</v>
      </c>
      <c r="F63" s="455">
        <v>0</v>
      </c>
      <c r="G63" s="455">
        <f t="shared" si="2"/>
        <v>0</v>
      </c>
      <c r="H63" s="454">
        <v>0</v>
      </c>
      <c r="I63" s="40"/>
    </row>
    <row r="64" spans="1:10">
      <c r="A64" s="528">
        <v>44427</v>
      </c>
      <c r="B64" s="529" t="s">
        <v>889</v>
      </c>
      <c r="C64" s="530" t="s">
        <v>49</v>
      </c>
      <c r="D64" s="530">
        <v>10</v>
      </c>
      <c r="E64" s="538" t="s">
        <v>26</v>
      </c>
      <c r="F64" s="540">
        <v>140000</v>
      </c>
      <c r="G64" s="540">
        <f t="shared" si="2"/>
        <v>1400000</v>
      </c>
      <c r="H64" s="928">
        <f>SUM(G64:G69)</f>
        <v>6025000</v>
      </c>
      <c r="I64" s="956" t="s">
        <v>800</v>
      </c>
    </row>
    <row r="65" spans="1:19">
      <c r="A65" s="529"/>
      <c r="B65" s="529" t="s">
        <v>1498</v>
      </c>
      <c r="C65" s="530" t="s">
        <v>49</v>
      </c>
      <c r="D65" s="530">
        <v>10</v>
      </c>
      <c r="E65" s="538" t="s">
        <v>26</v>
      </c>
      <c r="F65" s="540">
        <v>140000</v>
      </c>
      <c r="G65" s="540">
        <f t="shared" si="2"/>
        <v>1400000</v>
      </c>
      <c r="H65" s="929"/>
      <c r="I65" s="957"/>
    </row>
    <row r="66" spans="1:19">
      <c r="A66" s="529"/>
      <c r="B66" s="529" t="s">
        <v>890</v>
      </c>
      <c r="C66" s="530" t="s">
        <v>49</v>
      </c>
      <c r="D66" s="530">
        <v>10</v>
      </c>
      <c r="E66" s="538" t="s">
        <v>26</v>
      </c>
      <c r="F66" s="540">
        <v>155000</v>
      </c>
      <c r="G66" s="540">
        <f t="shared" si="2"/>
        <v>1550000</v>
      </c>
      <c r="H66" s="929"/>
      <c r="I66" s="957"/>
    </row>
    <row r="67" spans="1:19">
      <c r="A67" s="529"/>
      <c r="B67" s="529" t="s">
        <v>893</v>
      </c>
      <c r="C67" s="530" t="s">
        <v>49</v>
      </c>
      <c r="D67" s="530">
        <v>5</v>
      </c>
      <c r="E67" s="538" t="s">
        <v>26</v>
      </c>
      <c r="F67" s="540">
        <v>145000</v>
      </c>
      <c r="G67" s="540">
        <f>D67*F67</f>
        <v>725000</v>
      </c>
      <c r="H67" s="929"/>
      <c r="I67" s="957"/>
    </row>
    <row r="68" spans="1:19">
      <c r="A68" s="529"/>
      <c r="B68" s="529" t="s">
        <v>894</v>
      </c>
      <c r="C68" s="530" t="s">
        <v>49</v>
      </c>
      <c r="D68" s="530">
        <v>5</v>
      </c>
      <c r="E68" s="538" t="s">
        <v>26</v>
      </c>
      <c r="F68" s="540">
        <v>95000</v>
      </c>
      <c r="G68" s="540">
        <f>D68*F68</f>
        <v>475000</v>
      </c>
      <c r="H68" s="929"/>
      <c r="I68" s="957"/>
    </row>
    <row r="69" spans="1:19">
      <c r="A69" s="529"/>
      <c r="B69" s="529" t="s">
        <v>895</v>
      </c>
      <c r="C69" s="530" t="s">
        <v>49</v>
      </c>
      <c r="D69" s="530">
        <v>5</v>
      </c>
      <c r="E69" s="538" t="s">
        <v>26</v>
      </c>
      <c r="F69" s="540">
        <v>95000</v>
      </c>
      <c r="G69" s="540">
        <f>D69*F69</f>
        <v>475000</v>
      </c>
      <c r="H69" s="929"/>
      <c r="I69" s="957"/>
    </row>
    <row r="70" spans="1:19">
      <c r="A70" s="562">
        <v>44427</v>
      </c>
      <c r="B70" s="558" t="s">
        <v>891</v>
      </c>
      <c r="C70" s="251" t="s">
        <v>49</v>
      </c>
      <c r="D70" s="251">
        <v>5</v>
      </c>
      <c r="E70" s="451" t="s">
        <v>26</v>
      </c>
      <c r="F70" s="455">
        <v>140000</v>
      </c>
      <c r="G70" s="455">
        <f>F70*D70</f>
        <v>700000</v>
      </c>
      <c r="H70" s="978">
        <f>SUM(G70:G71)</f>
        <v>1400000</v>
      </c>
      <c r="I70" s="715" t="s">
        <v>122</v>
      </c>
    </row>
    <row r="71" spans="1:19">
      <c r="A71" s="558"/>
      <c r="B71" s="558" t="s">
        <v>892</v>
      </c>
      <c r="C71" s="251" t="s">
        <v>49</v>
      </c>
      <c r="D71" s="251">
        <v>5</v>
      </c>
      <c r="E71" s="451" t="s">
        <v>26</v>
      </c>
      <c r="F71" s="455">
        <v>140000</v>
      </c>
      <c r="G71" s="455">
        <f>F71*D71</f>
        <v>700000</v>
      </c>
      <c r="H71" s="979"/>
      <c r="I71" s="716"/>
      <c r="M71">
        <v>2900</v>
      </c>
      <c r="N71">
        <v>3670</v>
      </c>
    </row>
    <row r="72" spans="1:19">
      <c r="A72" s="477">
        <v>44432</v>
      </c>
      <c r="B72" s="478" t="s">
        <v>896</v>
      </c>
      <c r="C72" s="479" t="s">
        <v>164</v>
      </c>
      <c r="D72" s="479">
        <v>1</v>
      </c>
      <c r="E72" s="479" t="s">
        <v>26</v>
      </c>
      <c r="F72" s="483">
        <v>635000</v>
      </c>
      <c r="G72" s="483">
        <f t="shared" si="2"/>
        <v>635000</v>
      </c>
      <c r="H72" s="866">
        <f>SUM(G72:G76)</f>
        <v>6050000</v>
      </c>
      <c r="I72" s="890" t="s">
        <v>800</v>
      </c>
      <c r="M72">
        <v>4950</v>
      </c>
      <c r="N72">
        <v>5825</v>
      </c>
    </row>
    <row r="73" spans="1:19">
      <c r="A73" s="478"/>
      <c r="B73" s="478" t="s">
        <v>897</v>
      </c>
      <c r="C73" s="479" t="s">
        <v>164</v>
      </c>
      <c r="D73" s="479">
        <v>1</v>
      </c>
      <c r="E73" s="479" t="s">
        <v>26</v>
      </c>
      <c r="F73" s="483">
        <v>740000</v>
      </c>
      <c r="G73" s="483">
        <f t="shared" si="2"/>
        <v>740000</v>
      </c>
      <c r="H73" s="867"/>
      <c r="I73" s="891"/>
      <c r="M73">
        <v>6025</v>
      </c>
      <c r="N73">
        <v>14425</v>
      </c>
      <c r="P73">
        <v>3650</v>
      </c>
    </row>
    <row r="74" spans="1:19">
      <c r="A74" s="478"/>
      <c r="B74" s="478" t="s">
        <v>898</v>
      </c>
      <c r="C74" s="479" t="s">
        <v>164</v>
      </c>
      <c r="D74" s="479">
        <v>1</v>
      </c>
      <c r="E74" s="479" t="s">
        <v>26</v>
      </c>
      <c r="F74" s="483">
        <v>740000</v>
      </c>
      <c r="G74" s="483">
        <f t="shared" si="2"/>
        <v>740000</v>
      </c>
      <c r="H74" s="867"/>
      <c r="I74" s="891"/>
      <c r="M74">
        <v>10550</v>
      </c>
      <c r="N74">
        <v>1320</v>
      </c>
      <c r="P74">
        <v>225</v>
      </c>
      <c r="S74">
        <v>9900</v>
      </c>
    </row>
    <row r="75" spans="1:19">
      <c r="A75" s="478"/>
      <c r="B75" s="478" t="s">
        <v>899</v>
      </c>
      <c r="C75" s="479" t="s">
        <v>164</v>
      </c>
      <c r="D75" s="479">
        <v>1</v>
      </c>
      <c r="E75" s="479" t="s">
        <v>26</v>
      </c>
      <c r="F75" s="483">
        <v>735000</v>
      </c>
      <c r="G75" s="483">
        <f t="shared" si="2"/>
        <v>735000</v>
      </c>
      <c r="H75" s="867"/>
      <c r="I75" s="891"/>
      <c r="M75">
        <v>9900</v>
      </c>
      <c r="N75">
        <v>2400</v>
      </c>
      <c r="P75">
        <v>2860</v>
      </c>
      <c r="S75">
        <v>3670</v>
      </c>
    </row>
    <row r="76" spans="1:19">
      <c r="A76" s="478"/>
      <c r="B76" s="478" t="s">
        <v>900</v>
      </c>
      <c r="C76" s="479" t="s">
        <v>164</v>
      </c>
      <c r="D76" s="479">
        <v>20</v>
      </c>
      <c r="E76" s="479" t="s">
        <v>26</v>
      </c>
      <c r="F76" s="483">
        <v>160000</v>
      </c>
      <c r="G76" s="483">
        <f t="shared" si="2"/>
        <v>3200000</v>
      </c>
      <c r="H76" s="868"/>
      <c r="I76" s="892"/>
      <c r="N76">
        <v>7070</v>
      </c>
      <c r="P76">
        <f>SUM(P73:P75)</f>
        <v>6735</v>
      </c>
      <c r="Q76">
        <f>P76-910</f>
        <v>5825</v>
      </c>
    </row>
    <row r="77" spans="1:19">
      <c r="A77" s="66">
        <v>44433</v>
      </c>
      <c r="B77" s="40" t="s">
        <v>904</v>
      </c>
      <c r="C77" s="67" t="s">
        <v>60</v>
      </c>
      <c r="D77" s="67">
        <v>1</v>
      </c>
      <c r="E77" s="67" t="s">
        <v>546</v>
      </c>
      <c r="F77" s="455">
        <v>0</v>
      </c>
      <c r="G77" s="455">
        <f t="shared" si="2"/>
        <v>0</v>
      </c>
      <c r="H77" s="40" t="s">
        <v>205</v>
      </c>
      <c r="I77" s="40"/>
      <c r="N77">
        <v>10000</v>
      </c>
      <c r="S77">
        <f>SUM(S74:S76)</f>
        <v>13570</v>
      </c>
    </row>
    <row r="78" spans="1:19">
      <c r="A78" s="40"/>
      <c r="B78" s="40" t="s">
        <v>905</v>
      </c>
      <c r="C78" s="67" t="s">
        <v>60</v>
      </c>
      <c r="D78" s="67">
        <v>1</v>
      </c>
      <c r="E78" s="67" t="s">
        <v>546</v>
      </c>
      <c r="F78" s="455">
        <v>0</v>
      </c>
      <c r="G78" s="455">
        <f t="shared" si="2"/>
        <v>0</v>
      </c>
      <c r="H78" s="40" t="s">
        <v>205</v>
      </c>
      <c r="I78" s="40"/>
    </row>
    <row r="79" spans="1:19">
      <c r="A79" s="66">
        <v>44434</v>
      </c>
      <c r="B79" s="40" t="s">
        <v>810</v>
      </c>
      <c r="C79" s="475" t="s">
        <v>811</v>
      </c>
      <c r="D79" s="475">
        <v>1</v>
      </c>
      <c r="E79" s="494" t="s">
        <v>26</v>
      </c>
      <c r="F79" s="455">
        <v>3600000</v>
      </c>
      <c r="G79" s="455">
        <f>D79*F79</f>
        <v>3600000</v>
      </c>
      <c r="H79" s="65">
        <f>SUM(G79)</f>
        <v>3600000</v>
      </c>
      <c r="I79" s="40" t="s">
        <v>253</v>
      </c>
      <c r="M79">
        <f>SUM(M71:M78)</f>
        <v>34325</v>
      </c>
      <c r="N79">
        <f>SUM(N71:N78)</f>
        <v>44710</v>
      </c>
    </row>
    <row r="80" spans="1:19">
      <c r="A80" s="207">
        <v>44438</v>
      </c>
      <c r="B80" s="208" t="s">
        <v>918</v>
      </c>
      <c r="C80" s="209" t="s">
        <v>164</v>
      </c>
      <c r="D80" s="209">
        <v>1</v>
      </c>
      <c r="E80" s="209" t="s">
        <v>26</v>
      </c>
      <c r="F80" s="445">
        <v>640000</v>
      </c>
      <c r="G80" s="445">
        <f t="shared" ref="G80:G86" si="3">D80*F80</f>
        <v>640000</v>
      </c>
      <c r="H80" s="833">
        <f>SUM(G80:G82)</f>
        <v>2020000</v>
      </c>
      <c r="I80" s="835" t="s">
        <v>135</v>
      </c>
      <c r="J80" s="142">
        <f>SUM(H80:H86)</f>
        <v>7955000</v>
      </c>
    </row>
    <row r="81" spans="1:10">
      <c r="A81" s="208"/>
      <c r="B81" s="208" t="s">
        <v>919</v>
      </c>
      <c r="C81" s="209" t="s">
        <v>164</v>
      </c>
      <c r="D81" s="209">
        <v>1</v>
      </c>
      <c r="E81" s="209" t="s">
        <v>26</v>
      </c>
      <c r="F81" s="445">
        <v>640000</v>
      </c>
      <c r="G81" s="445">
        <f t="shared" si="3"/>
        <v>640000</v>
      </c>
      <c r="H81" s="949"/>
      <c r="I81" s="940"/>
    </row>
    <row r="82" spans="1:10">
      <c r="A82" s="208"/>
      <c r="B82" s="208" t="s">
        <v>917</v>
      </c>
      <c r="C82" s="209" t="s">
        <v>164</v>
      </c>
      <c r="D82" s="209">
        <v>1</v>
      </c>
      <c r="E82" s="209" t="s">
        <v>26</v>
      </c>
      <c r="F82" s="445">
        <v>740000</v>
      </c>
      <c r="G82" s="445">
        <f t="shared" si="3"/>
        <v>740000</v>
      </c>
      <c r="H82" s="834"/>
      <c r="I82" s="836"/>
    </row>
    <row r="83" spans="1:10">
      <c r="A83" s="207">
        <v>44438</v>
      </c>
      <c r="B83" s="208" t="s">
        <v>920</v>
      </c>
      <c r="C83" s="209" t="s">
        <v>164</v>
      </c>
      <c r="D83" s="209">
        <v>10</v>
      </c>
      <c r="E83" s="209" t="s">
        <v>26</v>
      </c>
      <c r="F83" s="445">
        <v>210000</v>
      </c>
      <c r="G83" s="445">
        <f t="shared" si="3"/>
        <v>2100000</v>
      </c>
      <c r="H83" s="833">
        <f>SUM(G83:G84)</f>
        <v>4150000</v>
      </c>
      <c r="I83" s="835" t="s">
        <v>135</v>
      </c>
      <c r="J83" s="142">
        <f>SUM(H80:H86)</f>
        <v>7955000</v>
      </c>
    </row>
    <row r="84" spans="1:10">
      <c r="A84" s="208"/>
      <c r="B84" s="208" t="s">
        <v>124</v>
      </c>
      <c r="C84" s="209" t="s">
        <v>164</v>
      </c>
      <c r="D84" s="209">
        <v>10</v>
      </c>
      <c r="E84" s="209" t="s">
        <v>26</v>
      </c>
      <c r="F84" s="445">
        <v>205000</v>
      </c>
      <c r="G84" s="445">
        <f t="shared" si="3"/>
        <v>2050000</v>
      </c>
      <c r="H84" s="834"/>
      <c r="I84" s="836"/>
    </row>
    <row r="85" spans="1:10">
      <c r="A85" s="207">
        <v>44438</v>
      </c>
      <c r="B85" s="208" t="s">
        <v>921</v>
      </c>
      <c r="C85" s="209" t="s">
        <v>164</v>
      </c>
      <c r="D85" s="209">
        <v>1</v>
      </c>
      <c r="E85" s="209" t="s">
        <v>26</v>
      </c>
      <c r="F85" s="445">
        <v>735000</v>
      </c>
      <c r="G85" s="445">
        <f t="shared" si="3"/>
        <v>735000</v>
      </c>
      <c r="H85" s="833">
        <f>SUM(G85:G86)</f>
        <v>1785000</v>
      </c>
      <c r="I85" s="835" t="s">
        <v>135</v>
      </c>
    </row>
    <row r="86" spans="1:10">
      <c r="A86" s="208"/>
      <c r="B86" s="208" t="s">
        <v>922</v>
      </c>
      <c r="C86" s="209" t="s">
        <v>164</v>
      </c>
      <c r="D86" s="209">
        <v>5</v>
      </c>
      <c r="E86" s="209" t="s">
        <v>26</v>
      </c>
      <c r="F86" s="445">
        <v>210000</v>
      </c>
      <c r="G86" s="445">
        <f t="shared" si="3"/>
        <v>1050000</v>
      </c>
      <c r="H86" s="834"/>
      <c r="I86" s="836"/>
    </row>
    <row r="87" spans="1:10">
      <c r="A87" s="40"/>
      <c r="B87" s="40"/>
      <c r="C87" s="40"/>
      <c r="D87" s="40"/>
      <c r="E87" s="40"/>
      <c r="F87" s="455"/>
      <c r="G87" s="455"/>
      <c r="H87" s="40"/>
      <c r="I87" s="40"/>
    </row>
    <row r="88" spans="1:10">
      <c r="A88" s="40"/>
      <c r="B88" s="40"/>
      <c r="C88" s="40"/>
      <c r="D88" s="40"/>
      <c r="E88" s="40"/>
      <c r="F88" s="455"/>
      <c r="G88" s="455"/>
      <c r="H88" s="40"/>
      <c r="I88" s="40"/>
    </row>
    <row r="89" spans="1:10">
      <c r="A89" s="40"/>
      <c r="B89" s="40"/>
      <c r="C89" s="40"/>
      <c r="D89" s="40"/>
      <c r="E89" s="40"/>
      <c r="F89" s="455"/>
      <c r="G89" s="455"/>
      <c r="H89" s="40"/>
      <c r="I89" s="40"/>
    </row>
    <row r="90" spans="1:10">
      <c r="A90" s="40"/>
      <c r="B90" s="40"/>
      <c r="C90" s="40"/>
      <c r="D90" s="40"/>
      <c r="E90" s="40"/>
      <c r="F90" s="455"/>
      <c r="G90" s="455"/>
      <c r="H90" s="40"/>
      <c r="I90" s="40"/>
    </row>
    <row r="91" spans="1:10">
      <c r="A91" s="40"/>
      <c r="B91" s="40"/>
      <c r="C91" s="40"/>
      <c r="D91" s="40"/>
      <c r="E91" s="40"/>
      <c r="F91" s="455"/>
      <c r="G91" s="455"/>
      <c r="H91" s="40"/>
      <c r="I91" s="40"/>
    </row>
    <row r="92" spans="1:10">
      <c r="A92" s="40"/>
      <c r="B92" s="40"/>
      <c r="C92" s="40"/>
      <c r="D92" s="40"/>
      <c r="E92" s="40"/>
      <c r="F92" s="455"/>
      <c r="G92" s="455"/>
      <c r="H92" s="40"/>
      <c r="I92" s="40"/>
    </row>
    <row r="93" spans="1:10">
      <c r="A93" s="40"/>
      <c r="B93" s="40"/>
      <c r="C93" s="40"/>
      <c r="D93" s="40"/>
      <c r="E93" s="40"/>
      <c r="F93" s="40"/>
      <c r="G93" s="40"/>
      <c r="H93" s="40"/>
      <c r="I93" s="40"/>
    </row>
    <row r="94" spans="1:10">
      <c r="A94" s="40"/>
      <c r="B94" s="40"/>
      <c r="C94" s="40"/>
      <c r="D94" s="40"/>
      <c r="E94" s="40"/>
      <c r="F94" s="40"/>
      <c r="G94" s="40"/>
      <c r="H94" s="40"/>
      <c r="I94" s="40"/>
    </row>
    <row r="95" spans="1:10">
      <c r="A95" s="40"/>
      <c r="B95" s="40"/>
      <c r="C95" s="40"/>
      <c r="D95" s="40"/>
      <c r="E95" s="40"/>
      <c r="F95" s="40"/>
      <c r="G95" s="40"/>
      <c r="H95" s="40"/>
      <c r="I95" s="40"/>
    </row>
    <row r="96" spans="1:10">
      <c r="A96" s="40"/>
      <c r="B96" s="40"/>
      <c r="C96" s="40"/>
      <c r="D96" s="40"/>
      <c r="E96" s="40"/>
      <c r="F96" s="40"/>
      <c r="G96" s="40"/>
      <c r="H96" s="40"/>
      <c r="I96" s="40"/>
    </row>
    <row r="97" spans="1:9">
      <c r="A97" s="40"/>
      <c r="B97" s="40"/>
      <c r="C97" s="40"/>
      <c r="D97" s="40"/>
      <c r="E97" s="40"/>
      <c r="F97" s="40"/>
      <c r="G97" s="40"/>
      <c r="H97" s="40"/>
      <c r="I97" s="40"/>
    </row>
    <row r="98" spans="1:9">
      <c r="A98" s="40"/>
      <c r="B98" s="40"/>
      <c r="C98" s="40"/>
      <c r="D98" s="40"/>
      <c r="E98" s="40"/>
      <c r="F98" s="40"/>
      <c r="G98" s="40"/>
      <c r="H98" s="40"/>
      <c r="I98" s="40"/>
    </row>
  </sheetData>
  <mergeCells count="34">
    <mergeCell ref="H72:H76"/>
    <mergeCell ref="I72:I76"/>
    <mergeCell ref="H43:H45"/>
    <mergeCell ref="I43:I45"/>
    <mergeCell ref="H46:H47"/>
    <mergeCell ref="I46:I47"/>
    <mergeCell ref="H60:H62"/>
    <mergeCell ref="H49:H55"/>
    <mergeCell ref="I49:I59"/>
    <mergeCell ref="H56:H59"/>
    <mergeCell ref="I64:I69"/>
    <mergeCell ref="H64:H69"/>
    <mergeCell ref="H70:H71"/>
    <mergeCell ref="I70:I71"/>
    <mergeCell ref="H80:H82"/>
    <mergeCell ref="I80:I82"/>
    <mergeCell ref="H83:H84"/>
    <mergeCell ref="I83:I84"/>
    <mergeCell ref="H85:H86"/>
    <mergeCell ref="I85:I86"/>
    <mergeCell ref="O21:O22"/>
    <mergeCell ref="I5:I6"/>
    <mergeCell ref="I11:I12"/>
    <mergeCell ref="H11:H12"/>
    <mergeCell ref="H38:H42"/>
    <mergeCell ref="I38:I42"/>
    <mergeCell ref="I13:I15"/>
    <mergeCell ref="H13:H15"/>
    <mergeCell ref="I17:I29"/>
    <mergeCell ref="H30:H31"/>
    <mergeCell ref="H17:H29"/>
    <mergeCell ref="I30:I31"/>
    <mergeCell ref="O3:O6"/>
    <mergeCell ref="H5:H6"/>
  </mergeCells>
  <pageMargins left="0.70866141732283472" right="0.70866141732283472" top="0.94488188976377963" bottom="0.74803149606299213" header="0.31496062992125984" footer="0.31496062992125984"/>
  <pageSetup paperSize="9" scale="90"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S202"/>
  <sheetViews>
    <sheetView topLeftCell="D1" workbookViewId="0">
      <selection activeCell="B34" sqref="B34"/>
    </sheetView>
  </sheetViews>
  <sheetFormatPr defaultRowHeight="15"/>
  <cols>
    <col min="2" max="2" width="61.7109375" customWidth="1"/>
    <col min="3" max="3" width="20.42578125" customWidth="1"/>
    <col min="4" max="4" width="9.5703125" customWidth="1"/>
    <col min="6" max="6" width="15.85546875" customWidth="1"/>
    <col min="7" max="7" width="16.85546875" customWidth="1"/>
    <col min="8" max="8" width="15.85546875" customWidth="1"/>
    <col min="9" max="9" width="17.140625" customWidth="1"/>
    <col min="10" max="10" width="15.85546875" customWidth="1"/>
    <col min="12" max="12" width="15.85546875" customWidth="1"/>
    <col min="13" max="13" width="17" customWidth="1"/>
    <col min="14" max="14" width="16.42578125" customWidth="1"/>
    <col min="15" max="15" width="26.5703125" customWidth="1"/>
    <col min="16" max="16" width="13.7109375" bestFit="1" customWidth="1"/>
    <col min="17" max="17" width="23.140625" customWidth="1"/>
    <col min="18" max="19" width="14" bestFit="1" customWidth="1"/>
  </cols>
  <sheetData>
    <row r="1" spans="1:19">
      <c r="A1" s="1" t="s">
        <v>0</v>
      </c>
      <c r="C1" s="2"/>
      <c r="D1" s="2"/>
      <c r="E1" s="2"/>
      <c r="F1" s="3"/>
      <c r="G1" s="3"/>
      <c r="H1" s="3"/>
      <c r="K1" s="4" t="s">
        <v>801</v>
      </c>
      <c r="L1" s="5"/>
      <c r="M1" s="5"/>
      <c r="N1" s="3"/>
    </row>
    <row r="2" spans="1:19" ht="30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9" t="s">
        <v>7</v>
      </c>
      <c r="H2" s="8" t="s">
        <v>8</v>
      </c>
      <c r="I2" s="7" t="s">
        <v>9</v>
      </c>
      <c r="K2" s="10" t="s">
        <v>10</v>
      </c>
      <c r="L2" s="11" t="s">
        <v>11</v>
      </c>
      <c r="M2" s="6" t="s">
        <v>12</v>
      </c>
      <c r="N2" s="9" t="s">
        <v>13</v>
      </c>
      <c r="O2" s="7" t="s">
        <v>9</v>
      </c>
    </row>
    <row r="3" spans="1:19">
      <c r="A3" s="562">
        <v>44441</v>
      </c>
      <c r="B3" s="558" t="s">
        <v>923</v>
      </c>
      <c r="C3" s="251" t="s">
        <v>49</v>
      </c>
      <c r="D3" s="251">
        <v>10</v>
      </c>
      <c r="E3" s="251" t="s">
        <v>26</v>
      </c>
      <c r="F3" s="320">
        <v>120000</v>
      </c>
      <c r="G3" s="142">
        <f>F3*D3</f>
        <v>1200000</v>
      </c>
      <c r="H3" s="978">
        <f>SUM(G3:G6)</f>
        <v>3600000</v>
      </c>
      <c r="I3" s="715" t="s">
        <v>122</v>
      </c>
      <c r="J3" s="18"/>
      <c r="K3" s="30">
        <v>1</v>
      </c>
      <c r="L3" s="544">
        <v>44404</v>
      </c>
      <c r="M3" s="535" t="s">
        <v>49</v>
      </c>
      <c r="N3" s="545">
        <v>9900000</v>
      </c>
      <c r="O3" s="557" t="s">
        <v>1046</v>
      </c>
    </row>
    <row r="4" spans="1:19">
      <c r="A4" s="558"/>
      <c r="B4" s="558" t="s">
        <v>924</v>
      </c>
      <c r="C4" s="251" t="s">
        <v>49</v>
      </c>
      <c r="D4" s="251">
        <v>10</v>
      </c>
      <c r="E4" s="251" t="s">
        <v>26</v>
      </c>
      <c r="F4" s="320">
        <v>120000</v>
      </c>
      <c r="G4" s="142">
        <f t="shared" ref="G4:G6" si="0">F4*D4</f>
        <v>1200000</v>
      </c>
      <c r="H4" s="985"/>
      <c r="I4" s="807"/>
      <c r="J4" s="19"/>
      <c r="K4" s="12">
        <v>2</v>
      </c>
      <c r="L4" s="392">
        <v>44410</v>
      </c>
      <c r="M4" s="393" t="s">
        <v>164</v>
      </c>
      <c r="N4" s="586">
        <v>3000000</v>
      </c>
      <c r="O4" s="599" t="s">
        <v>1179</v>
      </c>
    </row>
    <row r="5" spans="1:19">
      <c r="A5" s="558"/>
      <c r="B5" s="558" t="s">
        <v>925</v>
      </c>
      <c r="C5" s="251" t="s">
        <v>49</v>
      </c>
      <c r="D5" s="251">
        <v>5</v>
      </c>
      <c r="E5" s="251" t="s">
        <v>26</v>
      </c>
      <c r="F5" s="320">
        <v>120000</v>
      </c>
      <c r="G5" s="142">
        <f t="shared" si="0"/>
        <v>600000</v>
      </c>
      <c r="H5" s="985"/>
      <c r="I5" s="807"/>
      <c r="J5" s="20"/>
      <c r="K5" s="15">
        <v>3</v>
      </c>
      <c r="L5" s="544">
        <v>44411</v>
      </c>
      <c r="M5" s="535" t="s">
        <v>49</v>
      </c>
      <c r="N5" s="545">
        <v>2900000</v>
      </c>
      <c r="O5" s="557" t="s">
        <v>1046</v>
      </c>
    </row>
    <row r="6" spans="1:19">
      <c r="A6" s="558"/>
      <c r="B6" s="558" t="s">
        <v>926</v>
      </c>
      <c r="C6" s="251" t="s">
        <v>49</v>
      </c>
      <c r="D6" s="251">
        <v>5</v>
      </c>
      <c r="E6" s="251" t="s">
        <v>26</v>
      </c>
      <c r="F6" s="320">
        <v>120000</v>
      </c>
      <c r="G6" s="142">
        <f t="shared" si="0"/>
        <v>600000</v>
      </c>
      <c r="H6" s="979"/>
      <c r="I6" s="716"/>
      <c r="J6" s="14"/>
      <c r="K6" s="30">
        <v>4</v>
      </c>
      <c r="L6" s="392">
        <v>44411</v>
      </c>
      <c r="M6" s="393" t="s">
        <v>164</v>
      </c>
      <c r="N6" s="211">
        <v>4500000</v>
      </c>
      <c r="O6" s="599" t="s">
        <v>1179</v>
      </c>
      <c r="R6" s="349"/>
    </row>
    <row r="7" spans="1:19">
      <c r="A7" s="528">
        <v>44441</v>
      </c>
      <c r="B7" s="529" t="s">
        <v>927</v>
      </c>
      <c r="C7" s="530" t="s">
        <v>49</v>
      </c>
      <c r="D7" s="530">
        <v>5</v>
      </c>
      <c r="E7" s="530" t="s">
        <v>26</v>
      </c>
      <c r="F7" s="531">
        <v>420000</v>
      </c>
      <c r="G7" s="531">
        <f>F7*D7</f>
        <v>2100000</v>
      </c>
      <c r="H7" s="928">
        <f>SUM(G7:G12)</f>
        <v>4750000</v>
      </c>
      <c r="I7" s="928" t="s">
        <v>1048</v>
      </c>
      <c r="J7" s="14"/>
      <c r="K7" s="12">
        <v>5</v>
      </c>
      <c r="L7" s="392">
        <v>44414</v>
      </c>
      <c r="M7" s="393" t="s">
        <v>164</v>
      </c>
      <c r="N7" s="211">
        <v>9000000</v>
      </c>
      <c r="O7" s="599" t="s">
        <v>1179</v>
      </c>
    </row>
    <row r="8" spans="1:19">
      <c r="A8" s="528"/>
      <c r="B8" s="529" t="s">
        <v>928</v>
      </c>
      <c r="C8" s="530" t="s">
        <v>49</v>
      </c>
      <c r="D8" s="530">
        <v>2</v>
      </c>
      <c r="E8" s="530" t="s">
        <v>26</v>
      </c>
      <c r="F8" s="531">
        <v>650000</v>
      </c>
      <c r="G8" s="531">
        <f>F8*D8</f>
        <v>1300000</v>
      </c>
      <c r="H8" s="957"/>
      <c r="I8" s="929"/>
      <c r="J8" s="14"/>
      <c r="K8" s="15">
        <v>6</v>
      </c>
      <c r="L8" s="544">
        <v>44415</v>
      </c>
      <c r="M8" s="535" t="s">
        <v>49</v>
      </c>
      <c r="N8" s="532">
        <v>4950000</v>
      </c>
      <c r="O8" s="557" t="s">
        <v>1046</v>
      </c>
    </row>
    <row r="9" spans="1:19">
      <c r="A9" s="529"/>
      <c r="B9" s="529" t="s">
        <v>929</v>
      </c>
      <c r="C9" s="530" t="s">
        <v>49</v>
      </c>
      <c r="D9" s="530">
        <v>5</v>
      </c>
      <c r="E9" s="530" t="s">
        <v>26</v>
      </c>
      <c r="F9" s="531">
        <v>95000</v>
      </c>
      <c r="G9" s="531">
        <f t="shared" ref="G9:G96" si="1">F9*D9</f>
        <v>475000</v>
      </c>
      <c r="H9" s="957"/>
      <c r="I9" s="929"/>
      <c r="J9" s="14"/>
      <c r="K9" s="30">
        <v>7</v>
      </c>
      <c r="L9" s="392">
        <v>44415</v>
      </c>
      <c r="M9" s="393" t="s">
        <v>164</v>
      </c>
      <c r="N9" s="211">
        <v>2225000</v>
      </c>
      <c r="O9" s="599" t="s">
        <v>1179</v>
      </c>
    </row>
    <row r="10" spans="1:19">
      <c r="A10" s="534"/>
      <c r="B10" s="534" t="s">
        <v>930</v>
      </c>
      <c r="C10" s="530" t="s">
        <v>49</v>
      </c>
      <c r="D10" s="536">
        <v>5</v>
      </c>
      <c r="E10" s="530" t="s">
        <v>26</v>
      </c>
      <c r="F10" s="531">
        <v>85000</v>
      </c>
      <c r="G10" s="531">
        <f t="shared" si="1"/>
        <v>425000</v>
      </c>
      <c r="H10" s="957"/>
      <c r="I10" s="929"/>
      <c r="J10" s="14"/>
      <c r="K10" s="12">
        <v>8</v>
      </c>
      <c r="L10" s="61">
        <v>44417</v>
      </c>
      <c r="M10" s="52" t="s">
        <v>96</v>
      </c>
      <c r="N10" s="53">
        <v>12000000</v>
      </c>
      <c r="O10" s="980" t="s">
        <v>1494</v>
      </c>
      <c r="Q10" s="349"/>
      <c r="S10" s="349"/>
    </row>
    <row r="11" spans="1:19">
      <c r="A11" s="534"/>
      <c r="B11" s="534" t="s">
        <v>931</v>
      </c>
      <c r="C11" s="530" t="s">
        <v>49</v>
      </c>
      <c r="D11" s="536">
        <v>5</v>
      </c>
      <c r="E11" s="530" t="s">
        <v>26</v>
      </c>
      <c r="F11" s="531">
        <v>45000</v>
      </c>
      <c r="G11" s="531">
        <f t="shared" si="1"/>
        <v>225000</v>
      </c>
      <c r="H11" s="957"/>
      <c r="I11" s="929"/>
      <c r="J11" s="14"/>
      <c r="K11" s="15">
        <v>9</v>
      </c>
      <c r="L11" s="61">
        <v>44420</v>
      </c>
      <c r="M11" s="52" t="s">
        <v>96</v>
      </c>
      <c r="N11" s="53">
        <v>9000000</v>
      </c>
      <c r="O11" s="981"/>
      <c r="P11" s="142"/>
    </row>
    <row r="12" spans="1:19">
      <c r="A12" s="534"/>
      <c r="B12" s="534" t="s">
        <v>932</v>
      </c>
      <c r="C12" s="530" t="s">
        <v>49</v>
      </c>
      <c r="D12" s="536">
        <v>5</v>
      </c>
      <c r="E12" s="530" t="s">
        <v>26</v>
      </c>
      <c r="F12" s="532">
        <v>45000</v>
      </c>
      <c r="G12" s="531">
        <f t="shared" si="1"/>
        <v>225000</v>
      </c>
      <c r="H12" s="958"/>
      <c r="I12" s="930"/>
      <c r="J12" s="14"/>
      <c r="K12" s="30">
        <v>10</v>
      </c>
      <c r="L12" s="61">
        <v>44426</v>
      </c>
      <c r="M12" s="52" t="s">
        <v>96</v>
      </c>
      <c r="N12" s="53">
        <v>3600000</v>
      </c>
      <c r="O12" s="982"/>
    </row>
    <row r="13" spans="1:19">
      <c r="A13" s="510">
        <v>44442</v>
      </c>
      <c r="B13" s="436" t="s">
        <v>920</v>
      </c>
      <c r="C13" s="393" t="s">
        <v>164</v>
      </c>
      <c r="D13" s="210">
        <v>10</v>
      </c>
      <c r="E13" s="394" t="s">
        <v>26</v>
      </c>
      <c r="F13" s="211">
        <v>210000</v>
      </c>
      <c r="G13" s="211">
        <f t="shared" si="1"/>
        <v>2100000</v>
      </c>
      <c r="H13" s="211">
        <f>SUM(G13)</f>
        <v>2100000</v>
      </c>
      <c r="I13" s="393" t="s">
        <v>135</v>
      </c>
      <c r="J13" s="36">
        <f>SUM(H13:H16)</f>
        <v>4945000</v>
      </c>
      <c r="K13" s="12">
        <v>11</v>
      </c>
      <c r="L13" s="544">
        <v>44424</v>
      </c>
      <c r="M13" s="535" t="s">
        <v>49</v>
      </c>
      <c r="N13" s="532">
        <v>10550000</v>
      </c>
      <c r="O13" s="557" t="s">
        <v>1046</v>
      </c>
    </row>
    <row r="14" spans="1:19">
      <c r="A14" s="510">
        <v>44442</v>
      </c>
      <c r="B14" s="436" t="s">
        <v>947</v>
      </c>
      <c r="C14" s="393" t="s">
        <v>164</v>
      </c>
      <c r="D14" s="210">
        <v>2</v>
      </c>
      <c r="E14" s="394" t="s">
        <v>26</v>
      </c>
      <c r="F14" s="211">
        <v>735000</v>
      </c>
      <c r="G14" s="211">
        <f t="shared" si="1"/>
        <v>1470000</v>
      </c>
      <c r="H14" s="986">
        <f>SUM(G14:G16)</f>
        <v>2845000</v>
      </c>
      <c r="I14" s="910" t="s">
        <v>135</v>
      </c>
      <c r="J14" s="14"/>
      <c r="K14" s="15">
        <v>12</v>
      </c>
      <c r="L14" s="392">
        <v>44424</v>
      </c>
      <c r="M14" s="393" t="s">
        <v>164</v>
      </c>
      <c r="N14" s="211">
        <v>3065000</v>
      </c>
      <c r="O14" s="599" t="s">
        <v>1179</v>
      </c>
      <c r="Q14" s="349"/>
      <c r="R14" s="349"/>
    </row>
    <row r="15" spans="1:19">
      <c r="A15" s="436"/>
      <c r="B15" s="436" t="s">
        <v>948</v>
      </c>
      <c r="C15" s="393" t="s">
        <v>164</v>
      </c>
      <c r="D15" s="210">
        <v>1</v>
      </c>
      <c r="E15" s="394" t="s">
        <v>26</v>
      </c>
      <c r="F15" s="211">
        <v>735000</v>
      </c>
      <c r="G15" s="211">
        <f t="shared" si="1"/>
        <v>735000</v>
      </c>
      <c r="H15" s="987"/>
      <c r="I15" s="911"/>
      <c r="J15" s="14"/>
      <c r="K15" s="30">
        <v>13</v>
      </c>
      <c r="L15" s="392">
        <v>44426</v>
      </c>
      <c r="M15" s="393" t="s">
        <v>164</v>
      </c>
      <c r="N15" s="211">
        <v>12930000</v>
      </c>
      <c r="O15" s="599" t="s">
        <v>1179</v>
      </c>
    </row>
    <row r="16" spans="1:19">
      <c r="A16" s="436"/>
      <c r="B16" s="436" t="s">
        <v>949</v>
      </c>
      <c r="C16" s="393" t="s">
        <v>164</v>
      </c>
      <c r="D16" s="210">
        <v>1</v>
      </c>
      <c r="E16" s="394" t="s">
        <v>26</v>
      </c>
      <c r="F16" s="211">
        <v>640000</v>
      </c>
      <c r="G16" s="211">
        <f t="shared" si="1"/>
        <v>640000</v>
      </c>
      <c r="H16" s="988"/>
      <c r="I16" s="912"/>
      <c r="J16" s="14"/>
      <c r="K16" s="12">
        <v>14</v>
      </c>
      <c r="L16" s="544">
        <v>44427</v>
      </c>
      <c r="M16" s="535" t="s">
        <v>49</v>
      </c>
      <c r="N16" s="532">
        <v>6025000</v>
      </c>
      <c r="O16" s="557" t="s">
        <v>1046</v>
      </c>
    </row>
    <row r="17" spans="1:17">
      <c r="A17" s="163">
        <v>44442</v>
      </c>
      <c r="B17" s="159" t="s">
        <v>950</v>
      </c>
      <c r="C17" s="174" t="s">
        <v>951</v>
      </c>
      <c r="D17" s="160">
        <v>1</v>
      </c>
      <c r="E17" s="160" t="s">
        <v>61</v>
      </c>
      <c r="F17" s="161">
        <v>2500000</v>
      </c>
      <c r="G17" s="161">
        <f t="shared" si="1"/>
        <v>2500000</v>
      </c>
      <c r="H17" s="161">
        <f>SUM(G17)</f>
        <v>2500000</v>
      </c>
      <c r="I17" s="161" t="s">
        <v>952</v>
      </c>
      <c r="J17" s="167"/>
      <c r="K17" s="15">
        <v>15</v>
      </c>
      <c r="L17" s="392">
        <v>44432</v>
      </c>
      <c r="M17" s="393" t="s">
        <v>164</v>
      </c>
      <c r="N17" s="211">
        <v>6055000</v>
      </c>
      <c r="O17" s="599" t="s">
        <v>1179</v>
      </c>
    </row>
    <row r="18" spans="1:17">
      <c r="A18" s="51">
        <v>44442</v>
      </c>
      <c r="B18" s="73" t="s">
        <v>953</v>
      </c>
      <c r="C18" s="52" t="s">
        <v>60</v>
      </c>
      <c r="D18" s="74">
        <v>1</v>
      </c>
      <c r="E18" s="74" t="s">
        <v>61</v>
      </c>
      <c r="F18" s="53">
        <v>19800000</v>
      </c>
      <c r="G18" s="53">
        <f t="shared" si="1"/>
        <v>19800000</v>
      </c>
      <c r="H18" s="53">
        <f>SUM(G18)</f>
        <v>19800000</v>
      </c>
      <c r="I18" s="53" t="s">
        <v>1167</v>
      </c>
      <c r="J18" s="14"/>
      <c r="K18" s="30">
        <v>16</v>
      </c>
      <c r="L18" s="382">
        <v>44448</v>
      </c>
      <c r="M18" s="372" t="s">
        <v>28</v>
      </c>
      <c r="N18" s="205">
        <v>4690000</v>
      </c>
      <c r="O18" s="383" t="s">
        <v>1419</v>
      </c>
    </row>
    <row r="19" spans="1:17">
      <c r="A19" s="510">
        <v>44443</v>
      </c>
      <c r="B19" s="436" t="s">
        <v>954</v>
      </c>
      <c r="C19" s="393" t="s">
        <v>164</v>
      </c>
      <c r="D19" s="210">
        <v>50</v>
      </c>
      <c r="E19" s="210" t="s">
        <v>26</v>
      </c>
      <c r="F19" s="211">
        <v>35000</v>
      </c>
      <c r="G19" s="211">
        <f t="shared" si="1"/>
        <v>1750000</v>
      </c>
      <c r="H19" s="211">
        <f>SUM(G19)</f>
        <v>1750000</v>
      </c>
      <c r="I19" s="393" t="s">
        <v>135</v>
      </c>
      <c r="J19" s="14"/>
      <c r="K19" s="12">
        <v>17</v>
      </c>
      <c r="L19" s="371">
        <v>44452</v>
      </c>
      <c r="M19" s="203" t="s">
        <v>28</v>
      </c>
      <c r="N19" s="205">
        <v>5055000</v>
      </c>
      <c r="O19" s="383" t="s">
        <v>1419</v>
      </c>
      <c r="Q19" s="142"/>
    </row>
    <row r="20" spans="1:17">
      <c r="A20" s="510">
        <v>44445</v>
      </c>
      <c r="B20" s="436" t="s">
        <v>955</v>
      </c>
      <c r="C20" s="393" t="s">
        <v>164</v>
      </c>
      <c r="D20" s="210">
        <v>1</v>
      </c>
      <c r="E20" s="210" t="s">
        <v>26</v>
      </c>
      <c r="F20" s="211">
        <v>640000</v>
      </c>
      <c r="G20" s="211">
        <f t="shared" si="1"/>
        <v>640000</v>
      </c>
      <c r="H20" s="984">
        <f>SUM(G20:G22)</f>
        <v>4020000</v>
      </c>
      <c r="I20" s="910" t="s">
        <v>135</v>
      </c>
      <c r="J20" s="36">
        <f>SUM(H20:H24)</f>
        <v>6095000</v>
      </c>
      <c r="K20" s="15">
        <v>18</v>
      </c>
      <c r="L20" s="371">
        <v>44453</v>
      </c>
      <c r="M20" s="203" t="s">
        <v>28</v>
      </c>
      <c r="N20" s="205">
        <v>6300000</v>
      </c>
      <c r="O20" s="383" t="s">
        <v>1419</v>
      </c>
    </row>
    <row r="21" spans="1:17">
      <c r="A21" s="436"/>
      <c r="B21" s="436" t="s">
        <v>956</v>
      </c>
      <c r="C21" s="393" t="s">
        <v>164</v>
      </c>
      <c r="D21" s="210">
        <v>2</v>
      </c>
      <c r="E21" s="210" t="s">
        <v>26</v>
      </c>
      <c r="F21" s="211">
        <v>640000</v>
      </c>
      <c r="G21" s="211">
        <f t="shared" si="1"/>
        <v>1280000</v>
      </c>
      <c r="H21" s="984"/>
      <c r="I21" s="911"/>
      <c r="J21" s="14"/>
      <c r="K21" s="30">
        <v>19</v>
      </c>
      <c r="L21" s="371">
        <v>44466</v>
      </c>
      <c r="M21" s="203" t="s">
        <v>28</v>
      </c>
      <c r="N21" s="205">
        <v>2880000</v>
      </c>
      <c r="O21" s="383" t="s">
        <v>1419</v>
      </c>
    </row>
    <row r="22" spans="1:17">
      <c r="A22" s="436"/>
      <c r="B22" s="436" t="s">
        <v>957</v>
      </c>
      <c r="C22" s="393" t="s">
        <v>164</v>
      </c>
      <c r="D22" s="210">
        <v>10</v>
      </c>
      <c r="E22" s="210" t="s">
        <v>26</v>
      </c>
      <c r="F22" s="211">
        <v>210000</v>
      </c>
      <c r="G22" s="211">
        <f t="shared" si="1"/>
        <v>2100000</v>
      </c>
      <c r="H22" s="984"/>
      <c r="I22" s="912"/>
      <c r="J22" s="14"/>
      <c r="K22" s="12">
        <v>20</v>
      </c>
      <c r="L22" s="371">
        <v>44491</v>
      </c>
      <c r="M22" s="203" t="s">
        <v>28</v>
      </c>
      <c r="N22" s="205">
        <v>3600000</v>
      </c>
      <c r="O22" s="383" t="s">
        <v>1419</v>
      </c>
      <c r="Q22" s="142"/>
    </row>
    <row r="23" spans="1:17">
      <c r="A23" s="510">
        <v>44445</v>
      </c>
      <c r="B23" s="436" t="s">
        <v>959</v>
      </c>
      <c r="C23" s="393" t="s">
        <v>164</v>
      </c>
      <c r="D23" s="210">
        <v>5</v>
      </c>
      <c r="E23" s="210" t="s">
        <v>26</v>
      </c>
      <c r="F23" s="211">
        <v>205000</v>
      </c>
      <c r="G23" s="211">
        <f t="shared" si="1"/>
        <v>1025000</v>
      </c>
      <c r="H23" s="984">
        <f>SUM(G23:G24)</f>
        <v>2075000</v>
      </c>
      <c r="I23" s="910" t="s">
        <v>135</v>
      </c>
      <c r="J23" s="14"/>
      <c r="K23" s="15">
        <v>21</v>
      </c>
      <c r="L23" s="306">
        <v>44522</v>
      </c>
      <c r="M23" s="307" t="s">
        <v>28</v>
      </c>
      <c r="N23" s="308">
        <v>12500000</v>
      </c>
      <c r="O23" s="495" t="s">
        <v>1501</v>
      </c>
      <c r="Q23" s="142"/>
    </row>
    <row r="24" spans="1:17">
      <c r="A24" s="208"/>
      <c r="B24" s="436" t="s">
        <v>958</v>
      </c>
      <c r="C24" s="393" t="s">
        <v>164</v>
      </c>
      <c r="D24" s="210">
        <v>5</v>
      </c>
      <c r="E24" s="210" t="s">
        <v>26</v>
      </c>
      <c r="F24" s="211">
        <v>210000</v>
      </c>
      <c r="G24" s="211">
        <f t="shared" si="1"/>
        <v>1050000</v>
      </c>
      <c r="H24" s="984"/>
      <c r="I24" s="912"/>
      <c r="K24" s="14"/>
      <c r="O24" s="14"/>
    </row>
    <row r="25" spans="1:17">
      <c r="A25" s="66">
        <v>44445</v>
      </c>
      <c r="B25" s="40" t="s">
        <v>960</v>
      </c>
      <c r="C25" s="518" t="s">
        <v>745</v>
      </c>
      <c r="D25" s="518">
        <v>2</v>
      </c>
      <c r="E25" s="41" t="s">
        <v>26</v>
      </c>
      <c r="F25" s="65">
        <v>1900000</v>
      </c>
      <c r="G25" s="65">
        <f t="shared" si="1"/>
        <v>3800000</v>
      </c>
      <c r="H25" s="715">
        <f>SUM(G25:G28)</f>
        <v>9900000</v>
      </c>
      <c r="I25" s="808" t="s">
        <v>967</v>
      </c>
      <c r="K25" s="14"/>
      <c r="L25" s="39"/>
      <c r="M25" s="39" t="s">
        <v>883</v>
      </c>
      <c r="N25" s="22">
        <f>SUM(N3:N24)</f>
        <v>134725000</v>
      </c>
      <c r="O25" s="14"/>
    </row>
    <row r="26" spans="1:17">
      <c r="A26" s="40"/>
      <c r="B26" s="40" t="s">
        <v>961</v>
      </c>
      <c r="C26" s="518" t="s">
        <v>745</v>
      </c>
      <c r="D26" s="518">
        <v>2</v>
      </c>
      <c r="E26" s="41" t="s">
        <v>26</v>
      </c>
      <c r="F26" s="65">
        <v>1900000</v>
      </c>
      <c r="G26" s="65">
        <f t="shared" si="1"/>
        <v>3800000</v>
      </c>
      <c r="H26" s="807"/>
      <c r="I26" s="809"/>
      <c r="Q26" s="142"/>
    </row>
    <row r="27" spans="1:17">
      <c r="A27" s="40"/>
      <c r="B27" s="40" t="s">
        <v>962</v>
      </c>
      <c r="C27" s="518" t="s">
        <v>745</v>
      </c>
      <c r="D27" s="518">
        <v>1</v>
      </c>
      <c r="E27" s="41" t="s">
        <v>26</v>
      </c>
      <c r="F27" s="65">
        <v>2300000</v>
      </c>
      <c r="G27" s="65">
        <f t="shared" si="1"/>
        <v>2300000</v>
      </c>
      <c r="H27" s="807"/>
      <c r="I27" s="809"/>
      <c r="M27" s="5" t="s">
        <v>1465</v>
      </c>
      <c r="N27" s="142">
        <f>N22+N21+N20+N19+N18+N17+N16+N15+N14+N13+N9+N8+N7+N6+N5+N4+N3</f>
        <v>97625000</v>
      </c>
    </row>
    <row r="28" spans="1:17">
      <c r="A28" s="40"/>
      <c r="B28" s="40" t="s">
        <v>963</v>
      </c>
      <c r="C28" s="518" t="s">
        <v>745</v>
      </c>
      <c r="D28" s="518">
        <v>1</v>
      </c>
      <c r="E28" s="41" t="s">
        <v>26</v>
      </c>
      <c r="F28" s="65">
        <v>0</v>
      </c>
      <c r="G28" s="65">
        <f t="shared" si="1"/>
        <v>0</v>
      </c>
      <c r="H28" s="716"/>
      <c r="I28" s="810"/>
      <c r="Q28" s="349"/>
    </row>
    <row r="29" spans="1:17">
      <c r="A29" s="66">
        <v>44445</v>
      </c>
      <c r="B29" s="40" t="s">
        <v>964</v>
      </c>
      <c r="C29" s="67" t="s">
        <v>60</v>
      </c>
      <c r="D29" s="518">
        <v>1</v>
      </c>
      <c r="E29" s="67" t="s">
        <v>26</v>
      </c>
      <c r="F29" s="65">
        <v>0</v>
      </c>
      <c r="G29" s="65">
        <f t="shared" si="1"/>
        <v>0</v>
      </c>
      <c r="H29" s="715">
        <v>0</v>
      </c>
      <c r="I29" s="808" t="s">
        <v>205</v>
      </c>
      <c r="N29" s="349"/>
      <c r="O29" s="349"/>
      <c r="Q29" s="349"/>
    </row>
    <row r="30" spans="1:17">
      <c r="A30" s="40"/>
      <c r="B30" s="40" t="s">
        <v>965</v>
      </c>
      <c r="C30" s="67" t="s">
        <v>60</v>
      </c>
      <c r="D30" s="67">
        <v>1</v>
      </c>
      <c r="E30" s="67" t="s">
        <v>26</v>
      </c>
      <c r="F30" s="65">
        <v>0</v>
      </c>
      <c r="G30" s="65">
        <f t="shared" si="1"/>
        <v>0</v>
      </c>
      <c r="H30" s="807"/>
      <c r="I30" s="809"/>
    </row>
    <row r="31" spans="1:17">
      <c r="A31" s="40"/>
      <c r="B31" s="40" t="s">
        <v>966</v>
      </c>
      <c r="C31" s="67" t="s">
        <v>60</v>
      </c>
      <c r="D31" s="67">
        <v>1</v>
      </c>
      <c r="E31" s="67" t="s">
        <v>26</v>
      </c>
      <c r="F31" s="65">
        <v>0</v>
      </c>
      <c r="G31" s="65">
        <f t="shared" si="1"/>
        <v>0</v>
      </c>
      <c r="H31" s="716"/>
      <c r="I31" s="810"/>
    </row>
    <row r="32" spans="1:17">
      <c r="A32" s="66">
        <v>44446</v>
      </c>
      <c r="B32" s="40" t="s">
        <v>968</v>
      </c>
      <c r="C32" s="67" t="s">
        <v>49</v>
      </c>
      <c r="D32" s="67">
        <v>10</v>
      </c>
      <c r="E32" s="67" t="s">
        <v>26</v>
      </c>
      <c r="F32" s="65">
        <v>45000</v>
      </c>
      <c r="G32" s="65">
        <f t="shared" si="1"/>
        <v>450000</v>
      </c>
      <c r="H32" s="715">
        <f>SUM(G32:G41)</f>
        <v>15300000</v>
      </c>
      <c r="I32" s="808" t="s">
        <v>135</v>
      </c>
    </row>
    <row r="33" spans="1:12">
      <c r="A33" s="40"/>
      <c r="B33" s="40" t="s">
        <v>969</v>
      </c>
      <c r="C33" s="67" t="s">
        <v>49</v>
      </c>
      <c r="D33" s="67">
        <v>5</v>
      </c>
      <c r="E33" s="67" t="s">
        <v>26</v>
      </c>
      <c r="F33" s="65">
        <v>95000</v>
      </c>
      <c r="G33" s="65">
        <f t="shared" si="1"/>
        <v>475000</v>
      </c>
      <c r="H33" s="807"/>
      <c r="I33" s="809"/>
    </row>
    <row r="34" spans="1:12">
      <c r="A34" s="40"/>
      <c r="B34" s="40" t="s">
        <v>930</v>
      </c>
      <c r="C34" s="67" t="s">
        <v>49</v>
      </c>
      <c r="D34" s="67">
        <v>5</v>
      </c>
      <c r="E34" s="67" t="s">
        <v>26</v>
      </c>
      <c r="F34" s="65">
        <v>85000</v>
      </c>
      <c r="G34" s="65">
        <f t="shared" si="1"/>
        <v>425000</v>
      </c>
      <c r="H34" s="807"/>
      <c r="I34" s="809"/>
    </row>
    <row r="35" spans="1:12">
      <c r="A35" s="40"/>
      <c r="B35" s="40" t="s">
        <v>970</v>
      </c>
      <c r="C35" s="67" t="s">
        <v>49</v>
      </c>
      <c r="D35" s="67">
        <v>10</v>
      </c>
      <c r="E35" s="67" t="s">
        <v>26</v>
      </c>
      <c r="F35" s="65">
        <v>110000</v>
      </c>
      <c r="G35" s="65">
        <f t="shared" si="1"/>
        <v>1100000</v>
      </c>
      <c r="H35" s="807"/>
      <c r="I35" s="809"/>
    </row>
    <row r="36" spans="1:12">
      <c r="A36" s="40"/>
      <c r="B36" s="40" t="s">
        <v>971</v>
      </c>
      <c r="C36" s="67" t="s">
        <v>49</v>
      </c>
      <c r="D36" s="67">
        <v>1</v>
      </c>
      <c r="E36" s="67" t="s">
        <v>26</v>
      </c>
      <c r="F36" s="65">
        <v>130000</v>
      </c>
      <c r="G36" s="65">
        <f t="shared" si="1"/>
        <v>130000</v>
      </c>
      <c r="H36" s="807"/>
      <c r="I36" s="809"/>
    </row>
    <row r="37" spans="1:12">
      <c r="A37" s="40"/>
      <c r="B37" s="40" t="s">
        <v>972</v>
      </c>
      <c r="C37" s="67" t="s">
        <v>49</v>
      </c>
      <c r="D37" s="67">
        <v>22</v>
      </c>
      <c r="E37" s="67" t="s">
        <v>26</v>
      </c>
      <c r="F37" s="65">
        <v>120000</v>
      </c>
      <c r="G37" s="65">
        <f t="shared" si="1"/>
        <v>2640000</v>
      </c>
      <c r="H37" s="807"/>
      <c r="I37" s="809"/>
    </row>
    <row r="38" spans="1:12">
      <c r="A38" s="40"/>
      <c r="B38" s="40" t="s">
        <v>973</v>
      </c>
      <c r="C38" s="67" t="s">
        <v>49</v>
      </c>
      <c r="D38" s="67">
        <v>20</v>
      </c>
      <c r="E38" s="67" t="s">
        <v>26</v>
      </c>
      <c r="F38" s="65">
        <v>120000</v>
      </c>
      <c r="G38" s="65">
        <f t="shared" si="1"/>
        <v>2400000</v>
      </c>
      <c r="H38" s="807"/>
      <c r="I38" s="809"/>
    </row>
    <row r="39" spans="1:12">
      <c r="A39" s="40"/>
      <c r="B39" s="40" t="s">
        <v>974</v>
      </c>
      <c r="C39" s="67" t="s">
        <v>49</v>
      </c>
      <c r="D39" s="67">
        <v>14</v>
      </c>
      <c r="E39" s="67" t="s">
        <v>26</v>
      </c>
      <c r="F39" s="65">
        <v>120000</v>
      </c>
      <c r="G39" s="65">
        <f t="shared" si="1"/>
        <v>1680000</v>
      </c>
      <c r="H39" s="807"/>
      <c r="I39" s="809"/>
    </row>
    <row r="40" spans="1:12">
      <c r="A40" s="40"/>
      <c r="B40" s="40" t="s">
        <v>975</v>
      </c>
      <c r="C40" s="67" t="s">
        <v>49</v>
      </c>
      <c r="D40" s="67">
        <v>2</v>
      </c>
      <c r="E40" s="67" t="s">
        <v>26</v>
      </c>
      <c r="F40" s="65">
        <v>1500000</v>
      </c>
      <c r="G40" s="65">
        <f t="shared" si="1"/>
        <v>3000000</v>
      </c>
      <c r="H40" s="807"/>
      <c r="I40" s="809"/>
    </row>
    <row r="41" spans="1:12">
      <c r="A41" s="40"/>
      <c r="B41" s="40" t="s">
        <v>976</v>
      </c>
      <c r="C41" s="67" t="s">
        <v>49</v>
      </c>
      <c r="D41" s="67">
        <v>2</v>
      </c>
      <c r="E41" s="67" t="s">
        <v>26</v>
      </c>
      <c r="F41" s="65">
        <v>1500000</v>
      </c>
      <c r="G41" s="65">
        <f t="shared" si="1"/>
        <v>3000000</v>
      </c>
      <c r="H41" s="716"/>
      <c r="I41" s="810"/>
    </row>
    <row r="42" spans="1:12">
      <c r="A42" s="169">
        <v>44446</v>
      </c>
      <c r="B42" s="170" t="s">
        <v>987</v>
      </c>
      <c r="C42" s="171" t="s">
        <v>510</v>
      </c>
      <c r="D42" s="171">
        <v>3</v>
      </c>
      <c r="E42" s="171" t="s">
        <v>26</v>
      </c>
      <c r="F42" s="172">
        <v>1300000</v>
      </c>
      <c r="G42" s="172">
        <f t="shared" si="1"/>
        <v>3900000</v>
      </c>
      <c r="H42" s="717">
        <f>SUM(G42:G52)</f>
        <v>6910000</v>
      </c>
      <c r="I42" s="725" t="s">
        <v>135</v>
      </c>
      <c r="J42" s="142">
        <f>SUM(H42:H64)</f>
        <v>23891000</v>
      </c>
    </row>
    <row r="43" spans="1:12">
      <c r="A43" s="170"/>
      <c r="B43" s="170" t="s">
        <v>977</v>
      </c>
      <c r="C43" s="171" t="s">
        <v>510</v>
      </c>
      <c r="D43" s="171">
        <v>10</v>
      </c>
      <c r="E43" s="171" t="s">
        <v>26</v>
      </c>
      <c r="F43" s="172">
        <v>36000</v>
      </c>
      <c r="G43" s="172">
        <f t="shared" si="1"/>
        <v>360000</v>
      </c>
      <c r="H43" s="983"/>
      <c r="I43" s="726"/>
    </row>
    <row r="44" spans="1:12">
      <c r="A44" s="170"/>
      <c r="B44" s="170" t="s">
        <v>978</v>
      </c>
      <c r="C44" s="171" t="s">
        <v>510</v>
      </c>
      <c r="D44" s="171">
        <v>10</v>
      </c>
      <c r="E44" s="171" t="s">
        <v>26</v>
      </c>
      <c r="F44" s="172">
        <v>36000</v>
      </c>
      <c r="G44" s="172">
        <f t="shared" si="1"/>
        <v>360000</v>
      </c>
      <c r="H44" s="983"/>
      <c r="I44" s="726"/>
    </row>
    <row r="45" spans="1:12">
      <c r="A45" s="170"/>
      <c r="B45" s="170" t="s">
        <v>979</v>
      </c>
      <c r="C45" s="171" t="s">
        <v>510</v>
      </c>
      <c r="D45" s="171">
        <v>10</v>
      </c>
      <c r="E45" s="171" t="s">
        <v>26</v>
      </c>
      <c r="F45" s="172">
        <v>36000</v>
      </c>
      <c r="G45" s="172">
        <f t="shared" si="1"/>
        <v>360000</v>
      </c>
      <c r="H45" s="983"/>
      <c r="I45" s="726"/>
    </row>
    <row r="46" spans="1:12">
      <c r="A46" s="170"/>
      <c r="B46" s="170" t="s">
        <v>980</v>
      </c>
      <c r="C46" s="171" t="s">
        <v>510</v>
      </c>
      <c r="D46" s="171">
        <v>10</v>
      </c>
      <c r="E46" s="171" t="s">
        <v>26</v>
      </c>
      <c r="F46" s="172">
        <v>36000</v>
      </c>
      <c r="G46" s="172">
        <f t="shared" si="1"/>
        <v>360000</v>
      </c>
      <c r="H46" s="983"/>
      <c r="I46" s="726"/>
    </row>
    <row r="47" spans="1:12">
      <c r="A47" s="170"/>
      <c r="B47" s="170" t="s">
        <v>981</v>
      </c>
      <c r="C47" s="171" t="s">
        <v>510</v>
      </c>
      <c r="D47" s="171">
        <v>10</v>
      </c>
      <c r="E47" s="171" t="s">
        <v>26</v>
      </c>
      <c r="F47" s="172">
        <v>36000</v>
      </c>
      <c r="G47" s="172">
        <f t="shared" si="1"/>
        <v>360000</v>
      </c>
      <c r="H47" s="983"/>
      <c r="I47" s="726"/>
      <c r="L47" s="142">
        <f>H42+H53+H57</f>
        <v>23891000</v>
      </c>
    </row>
    <row r="48" spans="1:12">
      <c r="A48" s="170"/>
      <c r="B48" s="170" t="s">
        <v>982</v>
      </c>
      <c r="C48" s="171" t="s">
        <v>510</v>
      </c>
      <c r="D48" s="171">
        <v>10</v>
      </c>
      <c r="E48" s="171" t="s">
        <v>26</v>
      </c>
      <c r="F48" s="172">
        <v>36000</v>
      </c>
      <c r="G48" s="172">
        <f t="shared" si="1"/>
        <v>360000</v>
      </c>
      <c r="H48" s="983"/>
      <c r="I48" s="726"/>
    </row>
    <row r="49" spans="1:9">
      <c r="A49" s="170"/>
      <c r="B49" s="170" t="s">
        <v>983</v>
      </c>
      <c r="C49" s="171" t="s">
        <v>510</v>
      </c>
      <c r="D49" s="171">
        <v>10</v>
      </c>
      <c r="E49" s="171" t="s">
        <v>26</v>
      </c>
      <c r="F49" s="172">
        <v>35000</v>
      </c>
      <c r="G49" s="172">
        <f t="shared" si="1"/>
        <v>350000</v>
      </c>
      <c r="H49" s="983"/>
      <c r="I49" s="726"/>
    </row>
    <row r="50" spans="1:9">
      <c r="A50" s="170"/>
      <c r="B50" s="170" t="s">
        <v>984</v>
      </c>
      <c r="C50" s="171" t="s">
        <v>510</v>
      </c>
      <c r="D50" s="171">
        <v>5</v>
      </c>
      <c r="E50" s="171" t="s">
        <v>26</v>
      </c>
      <c r="F50" s="172">
        <v>23000</v>
      </c>
      <c r="G50" s="172">
        <f t="shared" si="1"/>
        <v>115000</v>
      </c>
      <c r="H50" s="983"/>
      <c r="I50" s="726"/>
    </row>
    <row r="51" spans="1:9">
      <c r="A51" s="170"/>
      <c r="B51" s="170" t="s">
        <v>985</v>
      </c>
      <c r="C51" s="171" t="s">
        <v>510</v>
      </c>
      <c r="D51" s="171">
        <v>5</v>
      </c>
      <c r="E51" s="171" t="s">
        <v>26</v>
      </c>
      <c r="F51" s="172">
        <v>28000</v>
      </c>
      <c r="G51" s="172">
        <f t="shared" si="1"/>
        <v>140000</v>
      </c>
      <c r="H51" s="983"/>
      <c r="I51" s="726"/>
    </row>
    <row r="52" spans="1:9">
      <c r="A52" s="170"/>
      <c r="B52" s="170" t="s">
        <v>986</v>
      </c>
      <c r="C52" s="171" t="s">
        <v>510</v>
      </c>
      <c r="D52" s="171">
        <v>1</v>
      </c>
      <c r="E52" s="171" t="s">
        <v>546</v>
      </c>
      <c r="F52" s="172">
        <v>245000</v>
      </c>
      <c r="G52" s="172">
        <f t="shared" si="1"/>
        <v>245000</v>
      </c>
      <c r="H52" s="718"/>
      <c r="I52" s="727"/>
    </row>
    <row r="53" spans="1:9">
      <c r="A53" s="40"/>
      <c r="B53" s="40" t="s">
        <v>988</v>
      </c>
      <c r="C53" s="67" t="s">
        <v>510</v>
      </c>
      <c r="D53" s="67">
        <v>3</v>
      </c>
      <c r="E53" s="67" t="s">
        <v>26</v>
      </c>
      <c r="F53" s="65">
        <v>1400000</v>
      </c>
      <c r="G53" s="65">
        <f t="shared" si="1"/>
        <v>4200000</v>
      </c>
      <c r="H53" s="715">
        <f>SUM(G53:G56)</f>
        <v>5800000</v>
      </c>
      <c r="I53" s="808" t="s">
        <v>135</v>
      </c>
    </row>
    <row r="54" spans="1:9">
      <c r="A54" s="40"/>
      <c r="B54" s="40" t="s">
        <v>989</v>
      </c>
      <c r="C54" s="67" t="s">
        <v>510</v>
      </c>
      <c r="D54" s="67">
        <v>3</v>
      </c>
      <c r="E54" s="67" t="s">
        <v>26</v>
      </c>
      <c r="F54" s="65">
        <v>160000</v>
      </c>
      <c r="G54" s="65">
        <f t="shared" si="1"/>
        <v>480000</v>
      </c>
      <c r="H54" s="807"/>
      <c r="I54" s="809"/>
    </row>
    <row r="55" spans="1:9">
      <c r="A55" s="40"/>
      <c r="B55" s="40" t="s">
        <v>990</v>
      </c>
      <c r="C55" s="67" t="s">
        <v>510</v>
      </c>
      <c r="D55" s="67">
        <v>3</v>
      </c>
      <c r="E55" s="67" t="s">
        <v>26</v>
      </c>
      <c r="F55" s="65">
        <v>160000</v>
      </c>
      <c r="G55" s="65">
        <f t="shared" si="1"/>
        <v>480000</v>
      </c>
      <c r="H55" s="807"/>
      <c r="I55" s="809"/>
    </row>
    <row r="56" spans="1:9">
      <c r="A56" s="40"/>
      <c r="B56" s="40" t="s">
        <v>989</v>
      </c>
      <c r="C56" s="67" t="s">
        <v>510</v>
      </c>
      <c r="D56" s="67">
        <v>4</v>
      </c>
      <c r="E56" s="67" t="s">
        <v>26</v>
      </c>
      <c r="F56" s="65">
        <v>160000</v>
      </c>
      <c r="G56" s="65">
        <f t="shared" si="1"/>
        <v>640000</v>
      </c>
      <c r="H56" s="716"/>
      <c r="I56" s="810"/>
    </row>
    <row r="57" spans="1:9">
      <c r="A57" s="40"/>
      <c r="B57" s="40" t="s">
        <v>991</v>
      </c>
      <c r="C57" s="519" t="s">
        <v>510</v>
      </c>
      <c r="D57" s="519">
        <v>10</v>
      </c>
      <c r="E57" s="519" t="s">
        <v>26</v>
      </c>
      <c r="F57" s="65">
        <v>126125</v>
      </c>
      <c r="G57" s="65">
        <f t="shared" si="1"/>
        <v>1261250</v>
      </c>
      <c r="H57" s="715">
        <f>SUM(G57:G64)</f>
        <v>11181000</v>
      </c>
      <c r="I57" s="808" t="s">
        <v>135</v>
      </c>
    </row>
    <row r="58" spans="1:9">
      <c r="A58" s="40"/>
      <c r="B58" s="40" t="s">
        <v>992</v>
      </c>
      <c r="C58" s="519" t="s">
        <v>510</v>
      </c>
      <c r="D58" s="519">
        <v>20</v>
      </c>
      <c r="E58" s="519" t="s">
        <v>26</v>
      </c>
      <c r="F58" s="65">
        <v>126125</v>
      </c>
      <c r="G58" s="65">
        <f t="shared" si="1"/>
        <v>2522500</v>
      </c>
      <c r="H58" s="807"/>
      <c r="I58" s="809"/>
    </row>
    <row r="59" spans="1:9">
      <c r="A59" s="40"/>
      <c r="B59" s="40" t="s">
        <v>993</v>
      </c>
      <c r="C59" s="519" t="s">
        <v>510</v>
      </c>
      <c r="D59" s="519">
        <v>10</v>
      </c>
      <c r="E59" s="519" t="s">
        <v>26</v>
      </c>
      <c r="F59" s="65">
        <v>126125</v>
      </c>
      <c r="G59" s="65">
        <f t="shared" si="1"/>
        <v>1261250</v>
      </c>
      <c r="H59" s="807"/>
      <c r="I59" s="809"/>
    </row>
    <row r="60" spans="1:9">
      <c r="A60" s="40"/>
      <c r="B60" s="40" t="s">
        <v>994</v>
      </c>
      <c r="C60" s="519" t="s">
        <v>510</v>
      </c>
      <c r="D60" s="519">
        <v>10</v>
      </c>
      <c r="E60" s="519" t="s">
        <v>26</v>
      </c>
      <c r="F60" s="65">
        <v>131875</v>
      </c>
      <c r="G60" s="65">
        <f t="shared" si="1"/>
        <v>1318750</v>
      </c>
      <c r="H60" s="807"/>
      <c r="I60" s="809"/>
    </row>
    <row r="61" spans="1:9">
      <c r="A61" s="40"/>
      <c r="B61" s="40" t="s">
        <v>995</v>
      </c>
      <c r="C61" s="519" t="s">
        <v>510</v>
      </c>
      <c r="D61" s="519">
        <v>7</v>
      </c>
      <c r="E61" s="519" t="s">
        <v>26</v>
      </c>
      <c r="F61" s="65">
        <v>131875</v>
      </c>
      <c r="G61" s="65">
        <f t="shared" si="1"/>
        <v>923125</v>
      </c>
      <c r="H61" s="807"/>
      <c r="I61" s="809"/>
    </row>
    <row r="62" spans="1:9">
      <c r="A62" s="40"/>
      <c r="B62" s="40" t="s">
        <v>996</v>
      </c>
      <c r="C62" s="519" t="s">
        <v>510</v>
      </c>
      <c r="D62" s="519">
        <v>10</v>
      </c>
      <c r="E62" s="519" t="s">
        <v>26</v>
      </c>
      <c r="F62" s="65">
        <v>140500</v>
      </c>
      <c r="G62" s="65">
        <f t="shared" si="1"/>
        <v>1405000</v>
      </c>
      <c r="H62" s="807"/>
      <c r="I62" s="809"/>
    </row>
    <row r="63" spans="1:9">
      <c r="A63" s="40"/>
      <c r="B63" s="40" t="s">
        <v>997</v>
      </c>
      <c r="C63" s="519" t="s">
        <v>510</v>
      </c>
      <c r="D63" s="519">
        <v>10</v>
      </c>
      <c r="E63" s="519" t="s">
        <v>26</v>
      </c>
      <c r="F63" s="65">
        <v>140500</v>
      </c>
      <c r="G63" s="65">
        <f t="shared" si="1"/>
        <v>1405000</v>
      </c>
      <c r="H63" s="807"/>
      <c r="I63" s="809"/>
    </row>
    <row r="64" spans="1:9">
      <c r="A64" s="40"/>
      <c r="B64" s="40" t="s">
        <v>998</v>
      </c>
      <c r="C64" s="519" t="s">
        <v>510</v>
      </c>
      <c r="D64" s="519">
        <v>7</v>
      </c>
      <c r="E64" s="519" t="s">
        <v>26</v>
      </c>
      <c r="F64" s="65">
        <v>154875</v>
      </c>
      <c r="G64" s="65">
        <f t="shared" si="1"/>
        <v>1084125</v>
      </c>
      <c r="H64" s="716"/>
      <c r="I64" s="810"/>
    </row>
    <row r="65" spans="1:9">
      <c r="A65" s="207">
        <v>44446</v>
      </c>
      <c r="B65" s="208" t="s">
        <v>999</v>
      </c>
      <c r="C65" s="394" t="s">
        <v>164</v>
      </c>
      <c r="D65" s="394">
        <v>1</v>
      </c>
      <c r="E65" s="209" t="s">
        <v>26</v>
      </c>
      <c r="F65" s="212">
        <v>740000</v>
      </c>
      <c r="G65" s="212">
        <f t="shared" si="1"/>
        <v>740000</v>
      </c>
      <c r="H65" s="833">
        <f>SUM(G65:G66)</f>
        <v>9740000</v>
      </c>
      <c r="I65" s="835" t="s">
        <v>135</v>
      </c>
    </row>
    <row r="66" spans="1:9">
      <c r="A66" s="208"/>
      <c r="B66" s="208" t="s">
        <v>1000</v>
      </c>
      <c r="C66" s="394" t="s">
        <v>164</v>
      </c>
      <c r="D66" s="394">
        <v>60</v>
      </c>
      <c r="E66" s="209" t="s">
        <v>26</v>
      </c>
      <c r="F66" s="212">
        <v>150000</v>
      </c>
      <c r="G66" s="212">
        <f t="shared" si="1"/>
        <v>9000000</v>
      </c>
      <c r="H66" s="834"/>
      <c r="I66" s="836"/>
    </row>
    <row r="67" spans="1:9">
      <c r="A67" s="80">
        <v>44446</v>
      </c>
      <c r="B67" s="81" t="s">
        <v>726</v>
      </c>
      <c r="C67" s="82" t="s">
        <v>33</v>
      </c>
      <c r="D67" s="82">
        <v>1</v>
      </c>
      <c r="E67" s="234" t="s">
        <v>26</v>
      </c>
      <c r="F67" s="235">
        <v>85000</v>
      </c>
      <c r="G67" s="235">
        <f t="shared" si="1"/>
        <v>85000</v>
      </c>
      <c r="H67" s="757">
        <f>SUM(G67:G80)</f>
        <v>7200000</v>
      </c>
      <c r="I67" s="762" t="s">
        <v>135</v>
      </c>
    </row>
    <row r="68" spans="1:9">
      <c r="A68" s="81"/>
      <c r="B68" s="81" t="s">
        <v>1001</v>
      </c>
      <c r="C68" s="82" t="s">
        <v>33</v>
      </c>
      <c r="D68" s="82">
        <v>3</v>
      </c>
      <c r="E68" s="234" t="s">
        <v>26</v>
      </c>
      <c r="F68" s="235">
        <v>30000</v>
      </c>
      <c r="G68" s="235">
        <f t="shared" si="1"/>
        <v>90000</v>
      </c>
      <c r="H68" s="758"/>
      <c r="I68" s="763"/>
    </row>
    <row r="69" spans="1:9">
      <c r="A69" s="81"/>
      <c r="B69" s="81" t="s">
        <v>1002</v>
      </c>
      <c r="C69" s="82" t="s">
        <v>33</v>
      </c>
      <c r="D69" s="82">
        <v>10</v>
      </c>
      <c r="E69" s="234" t="s">
        <v>26</v>
      </c>
      <c r="F69" s="235">
        <v>175000</v>
      </c>
      <c r="G69" s="235">
        <f t="shared" si="1"/>
        <v>1750000</v>
      </c>
      <c r="H69" s="758"/>
      <c r="I69" s="763"/>
    </row>
    <row r="70" spans="1:9">
      <c r="A70" s="81"/>
      <c r="B70" s="81" t="s">
        <v>1003</v>
      </c>
      <c r="C70" s="82" t="s">
        <v>33</v>
      </c>
      <c r="D70" s="82">
        <v>10</v>
      </c>
      <c r="E70" s="234" t="s">
        <v>26</v>
      </c>
      <c r="F70" s="235">
        <v>75000</v>
      </c>
      <c r="G70" s="235">
        <f t="shared" si="1"/>
        <v>750000</v>
      </c>
      <c r="H70" s="758"/>
      <c r="I70" s="763"/>
    </row>
    <row r="71" spans="1:9">
      <c r="A71" s="81"/>
      <c r="B71" s="81" t="s">
        <v>1004</v>
      </c>
      <c r="C71" s="82" t="s">
        <v>33</v>
      </c>
      <c r="D71" s="82">
        <v>10</v>
      </c>
      <c r="E71" s="234" t="s">
        <v>26</v>
      </c>
      <c r="F71" s="235">
        <v>30000</v>
      </c>
      <c r="G71" s="235">
        <f t="shared" si="1"/>
        <v>300000</v>
      </c>
      <c r="H71" s="758"/>
      <c r="I71" s="763"/>
    </row>
    <row r="72" spans="1:9">
      <c r="A72" s="81"/>
      <c r="B72" s="81" t="s">
        <v>85</v>
      </c>
      <c r="C72" s="82" t="s">
        <v>33</v>
      </c>
      <c r="D72" s="82">
        <v>10</v>
      </c>
      <c r="E72" s="234" t="s">
        <v>26</v>
      </c>
      <c r="F72" s="235">
        <v>85000</v>
      </c>
      <c r="G72" s="235">
        <f t="shared" si="1"/>
        <v>850000</v>
      </c>
      <c r="H72" s="758"/>
      <c r="I72" s="763"/>
    </row>
    <row r="73" spans="1:9">
      <c r="A73" s="81"/>
      <c r="B73" s="81" t="s">
        <v>1005</v>
      </c>
      <c r="C73" s="82" t="s">
        <v>33</v>
      </c>
      <c r="D73" s="82">
        <v>5</v>
      </c>
      <c r="E73" s="234" t="s">
        <v>26</v>
      </c>
      <c r="F73" s="235">
        <v>150000</v>
      </c>
      <c r="G73" s="235">
        <f t="shared" si="1"/>
        <v>750000</v>
      </c>
      <c r="H73" s="758"/>
      <c r="I73" s="763"/>
    </row>
    <row r="74" spans="1:9">
      <c r="A74" s="81"/>
      <c r="B74" s="81" t="s">
        <v>1006</v>
      </c>
      <c r="C74" s="82" t="s">
        <v>33</v>
      </c>
      <c r="D74" s="82">
        <v>10</v>
      </c>
      <c r="E74" s="234" t="s">
        <v>26</v>
      </c>
      <c r="F74" s="235">
        <v>35000</v>
      </c>
      <c r="G74" s="235">
        <f t="shared" si="1"/>
        <v>350000</v>
      </c>
      <c r="H74" s="758"/>
      <c r="I74" s="763"/>
    </row>
    <row r="75" spans="1:9">
      <c r="A75" s="81"/>
      <c r="B75" s="81" t="s">
        <v>1007</v>
      </c>
      <c r="C75" s="82" t="s">
        <v>33</v>
      </c>
      <c r="D75" s="82">
        <v>10</v>
      </c>
      <c r="E75" s="234" t="s">
        <v>26</v>
      </c>
      <c r="F75" s="235">
        <v>35000</v>
      </c>
      <c r="G75" s="235">
        <f t="shared" si="1"/>
        <v>350000</v>
      </c>
      <c r="H75" s="758"/>
      <c r="I75" s="763"/>
    </row>
    <row r="76" spans="1:9">
      <c r="A76" s="81"/>
      <c r="B76" s="81" t="s">
        <v>1008</v>
      </c>
      <c r="C76" s="82" t="s">
        <v>33</v>
      </c>
      <c r="D76" s="82">
        <v>10</v>
      </c>
      <c r="E76" s="234" t="s">
        <v>26</v>
      </c>
      <c r="F76" s="235">
        <v>35000</v>
      </c>
      <c r="G76" s="235">
        <f t="shared" si="1"/>
        <v>350000</v>
      </c>
      <c r="H76" s="758"/>
      <c r="I76" s="763"/>
    </row>
    <row r="77" spans="1:9">
      <c r="A77" s="81"/>
      <c r="B77" s="81" t="s">
        <v>1009</v>
      </c>
      <c r="C77" s="82" t="s">
        <v>33</v>
      </c>
      <c r="D77" s="82">
        <v>5</v>
      </c>
      <c r="E77" s="234" t="s">
        <v>26</v>
      </c>
      <c r="F77" s="235">
        <v>125000</v>
      </c>
      <c r="G77" s="235">
        <f t="shared" si="1"/>
        <v>625000</v>
      </c>
      <c r="H77" s="758"/>
      <c r="I77" s="763"/>
    </row>
    <row r="78" spans="1:9">
      <c r="A78" s="81"/>
      <c r="B78" s="81" t="s">
        <v>1010</v>
      </c>
      <c r="C78" s="82" t="s">
        <v>33</v>
      </c>
      <c r="D78" s="82">
        <v>4</v>
      </c>
      <c r="E78" s="234" t="s">
        <v>26</v>
      </c>
      <c r="F78" s="235">
        <v>80000</v>
      </c>
      <c r="G78" s="235">
        <f t="shared" si="1"/>
        <v>320000</v>
      </c>
      <c r="H78" s="758"/>
      <c r="I78" s="763"/>
    </row>
    <row r="79" spans="1:9">
      <c r="A79" s="81"/>
      <c r="B79" s="81" t="s">
        <v>1011</v>
      </c>
      <c r="C79" s="82" t="s">
        <v>33</v>
      </c>
      <c r="D79" s="82">
        <v>10</v>
      </c>
      <c r="E79" s="234" t="s">
        <v>26</v>
      </c>
      <c r="F79" s="235">
        <v>55000</v>
      </c>
      <c r="G79" s="235">
        <f t="shared" si="1"/>
        <v>550000</v>
      </c>
      <c r="H79" s="758"/>
      <c r="I79" s="763"/>
    </row>
    <row r="80" spans="1:9">
      <c r="A80" s="81"/>
      <c r="B80" s="81" t="s">
        <v>1010</v>
      </c>
      <c r="C80" s="82" t="s">
        <v>33</v>
      </c>
      <c r="D80" s="82">
        <v>1</v>
      </c>
      <c r="E80" s="234" t="s">
        <v>26</v>
      </c>
      <c r="F80" s="235">
        <v>80000</v>
      </c>
      <c r="G80" s="235">
        <f t="shared" si="1"/>
        <v>80000</v>
      </c>
      <c r="H80" s="759"/>
      <c r="I80" s="764"/>
    </row>
    <row r="81" spans="1:10">
      <c r="A81" s="66">
        <v>44448</v>
      </c>
      <c r="B81" s="40" t="s">
        <v>1012</v>
      </c>
      <c r="C81" s="67" t="s">
        <v>28</v>
      </c>
      <c r="D81" s="67">
        <v>4</v>
      </c>
      <c r="E81" s="521" t="s">
        <v>26</v>
      </c>
      <c r="F81" s="65">
        <v>180000</v>
      </c>
      <c r="G81" s="65">
        <f t="shared" si="1"/>
        <v>720000</v>
      </c>
      <c r="H81" s="715">
        <f>SUM(G81:G82)</f>
        <v>1090000</v>
      </c>
      <c r="I81" s="808" t="s">
        <v>800</v>
      </c>
      <c r="J81" s="142">
        <f>SUM(H81:H83)</f>
        <v>4690000</v>
      </c>
    </row>
    <row r="82" spans="1:10">
      <c r="A82" s="40"/>
      <c r="B82" s="40" t="s">
        <v>1013</v>
      </c>
      <c r="C82" s="67" t="s">
        <v>28</v>
      </c>
      <c r="D82" s="67">
        <v>2</v>
      </c>
      <c r="E82" s="521" t="s">
        <v>26</v>
      </c>
      <c r="F82" s="65">
        <v>185000</v>
      </c>
      <c r="G82" s="65">
        <f t="shared" si="1"/>
        <v>370000</v>
      </c>
      <c r="H82" s="716"/>
      <c r="I82" s="809"/>
    </row>
    <row r="83" spans="1:10">
      <c r="A83" s="40"/>
      <c r="B83" s="40" t="s">
        <v>1014</v>
      </c>
      <c r="C83" s="67" t="s">
        <v>28</v>
      </c>
      <c r="D83" s="67">
        <v>30</v>
      </c>
      <c r="E83" s="521" t="s">
        <v>26</v>
      </c>
      <c r="F83" s="65">
        <v>120000</v>
      </c>
      <c r="G83" s="65">
        <f t="shared" si="1"/>
        <v>3600000</v>
      </c>
      <c r="H83" s="65">
        <f>SUM(G83)</f>
        <v>3600000</v>
      </c>
      <c r="I83" s="810"/>
    </row>
    <row r="84" spans="1:10">
      <c r="A84" s="66">
        <v>44449</v>
      </c>
      <c r="B84" s="40" t="s">
        <v>1150</v>
      </c>
      <c r="C84" s="67" t="s">
        <v>49</v>
      </c>
      <c r="D84" s="67">
        <v>30</v>
      </c>
      <c r="E84" s="522" t="s">
        <v>26</v>
      </c>
      <c r="F84" s="65">
        <v>320000</v>
      </c>
      <c r="G84" s="65">
        <f t="shared" si="1"/>
        <v>9600000</v>
      </c>
      <c r="H84" s="715">
        <f>SUM(G84:G91)</f>
        <v>16880000</v>
      </c>
      <c r="I84" s="808" t="s">
        <v>135</v>
      </c>
    </row>
    <row r="85" spans="1:10">
      <c r="A85" s="40"/>
      <c r="B85" s="40" t="s">
        <v>1015</v>
      </c>
      <c r="C85" s="67" t="s">
        <v>49</v>
      </c>
      <c r="D85" s="67">
        <v>5</v>
      </c>
      <c r="E85" s="522" t="s">
        <v>26</v>
      </c>
      <c r="F85" s="65">
        <v>120000</v>
      </c>
      <c r="G85" s="65">
        <f t="shared" si="1"/>
        <v>600000</v>
      </c>
      <c r="H85" s="807"/>
      <c r="I85" s="809"/>
    </row>
    <row r="86" spans="1:10">
      <c r="A86" s="40"/>
      <c r="B86" s="40" t="s">
        <v>1016</v>
      </c>
      <c r="C86" s="67" t="s">
        <v>49</v>
      </c>
      <c r="D86" s="67">
        <v>20</v>
      </c>
      <c r="E86" s="522" t="s">
        <v>26</v>
      </c>
      <c r="F86" s="65">
        <v>95000</v>
      </c>
      <c r="G86" s="65">
        <f t="shared" si="1"/>
        <v>1900000</v>
      </c>
      <c r="H86" s="807"/>
      <c r="I86" s="809"/>
    </row>
    <row r="87" spans="1:10">
      <c r="A87" s="40"/>
      <c r="B87" s="40" t="s">
        <v>589</v>
      </c>
      <c r="C87" s="67" t="s">
        <v>49</v>
      </c>
      <c r="D87" s="67">
        <v>10</v>
      </c>
      <c r="E87" s="522" t="s">
        <v>26</v>
      </c>
      <c r="F87" s="65">
        <v>45000</v>
      </c>
      <c r="G87" s="65">
        <f t="shared" si="1"/>
        <v>450000</v>
      </c>
      <c r="H87" s="807"/>
      <c r="I87" s="809"/>
    </row>
    <row r="88" spans="1:10">
      <c r="A88" s="40"/>
      <c r="B88" s="40" t="s">
        <v>1017</v>
      </c>
      <c r="C88" s="67" t="s">
        <v>49</v>
      </c>
      <c r="D88" s="67">
        <v>5</v>
      </c>
      <c r="E88" s="522" t="s">
        <v>26</v>
      </c>
      <c r="F88" s="65">
        <v>100000</v>
      </c>
      <c r="G88" s="65">
        <f t="shared" si="1"/>
        <v>500000</v>
      </c>
      <c r="H88" s="807"/>
      <c r="I88" s="809"/>
    </row>
    <row r="89" spans="1:10">
      <c r="A89" s="40"/>
      <c r="B89" s="40" t="s">
        <v>1018</v>
      </c>
      <c r="C89" s="67" t="s">
        <v>49</v>
      </c>
      <c r="D89" s="67">
        <v>3</v>
      </c>
      <c r="E89" s="522" t="s">
        <v>26</v>
      </c>
      <c r="F89" s="65">
        <v>110000</v>
      </c>
      <c r="G89" s="65">
        <f t="shared" si="1"/>
        <v>330000</v>
      </c>
      <c r="H89" s="807"/>
      <c r="I89" s="809"/>
      <c r="J89">
        <v>3600</v>
      </c>
    </row>
    <row r="90" spans="1:10">
      <c r="A90" s="40"/>
      <c r="B90" s="40" t="s">
        <v>1019</v>
      </c>
      <c r="C90" s="67" t="s">
        <v>49</v>
      </c>
      <c r="D90" s="67">
        <v>1</v>
      </c>
      <c r="E90" s="522" t="s">
        <v>26</v>
      </c>
      <c r="F90" s="65">
        <v>1750000</v>
      </c>
      <c r="G90" s="65">
        <f t="shared" si="1"/>
        <v>1750000</v>
      </c>
      <c r="H90" s="807"/>
      <c r="I90" s="809"/>
      <c r="J90">
        <v>1090</v>
      </c>
    </row>
    <row r="91" spans="1:10">
      <c r="A91" s="40"/>
      <c r="B91" s="40" t="s">
        <v>1020</v>
      </c>
      <c r="C91" s="67" t="s">
        <v>49</v>
      </c>
      <c r="D91" s="67">
        <v>1</v>
      </c>
      <c r="E91" s="522" t="s">
        <v>26</v>
      </c>
      <c r="F91" s="65">
        <v>1750000</v>
      </c>
      <c r="G91" s="65">
        <f t="shared" si="1"/>
        <v>1750000</v>
      </c>
      <c r="H91" s="716"/>
      <c r="I91" s="810"/>
    </row>
    <row r="92" spans="1:10">
      <c r="A92" s="66">
        <v>44452</v>
      </c>
      <c r="B92" s="40" t="s">
        <v>1104</v>
      </c>
      <c r="C92" s="67" t="s">
        <v>28</v>
      </c>
      <c r="D92" s="67">
        <v>10</v>
      </c>
      <c r="E92" s="523" t="s">
        <v>26</v>
      </c>
      <c r="F92" s="65">
        <v>180000</v>
      </c>
      <c r="G92" s="65">
        <f t="shared" si="1"/>
        <v>1800000</v>
      </c>
      <c r="H92" s="715">
        <f>SUM(G92:G95)</f>
        <v>5055000</v>
      </c>
      <c r="I92" s="808" t="s">
        <v>800</v>
      </c>
      <c r="J92">
        <f>SUM(J89:J91)</f>
        <v>4690</v>
      </c>
    </row>
    <row r="93" spans="1:10">
      <c r="A93" s="40"/>
      <c r="B93" s="40" t="s">
        <v>1021</v>
      </c>
      <c r="C93" s="67" t="s">
        <v>28</v>
      </c>
      <c r="D93" s="67">
        <v>10</v>
      </c>
      <c r="E93" s="523" t="s">
        <v>26</v>
      </c>
      <c r="F93" s="65">
        <v>180000</v>
      </c>
      <c r="G93" s="65">
        <f t="shared" si="1"/>
        <v>1800000</v>
      </c>
      <c r="H93" s="807"/>
      <c r="I93" s="809"/>
    </row>
    <row r="94" spans="1:10">
      <c r="A94" s="40"/>
      <c r="B94" s="40" t="s">
        <v>1022</v>
      </c>
      <c r="C94" s="67" t="s">
        <v>28</v>
      </c>
      <c r="D94" s="67">
        <v>3</v>
      </c>
      <c r="E94" s="523" t="s">
        <v>26</v>
      </c>
      <c r="F94" s="65">
        <v>185000</v>
      </c>
      <c r="G94" s="65">
        <f t="shared" si="1"/>
        <v>555000</v>
      </c>
      <c r="H94" s="807"/>
      <c r="I94" s="809"/>
    </row>
    <row r="95" spans="1:10">
      <c r="A95" s="40"/>
      <c r="B95" s="40" t="s">
        <v>1023</v>
      </c>
      <c r="C95" s="67" t="s">
        <v>28</v>
      </c>
      <c r="D95" s="67">
        <v>5</v>
      </c>
      <c r="E95" s="523" t="s">
        <v>26</v>
      </c>
      <c r="F95" s="65">
        <v>180000</v>
      </c>
      <c r="G95" s="65">
        <f t="shared" si="1"/>
        <v>900000</v>
      </c>
      <c r="H95" s="716"/>
      <c r="I95" s="810"/>
    </row>
    <row r="96" spans="1:10">
      <c r="A96" s="169">
        <v>44452</v>
      </c>
      <c r="B96" s="170" t="s">
        <v>1024</v>
      </c>
      <c r="C96" s="171" t="s">
        <v>1466</v>
      </c>
      <c r="D96" s="171">
        <v>1</v>
      </c>
      <c r="E96" s="171" t="s">
        <v>61</v>
      </c>
      <c r="F96" s="172">
        <v>1800000</v>
      </c>
      <c r="G96" s="172">
        <f t="shared" si="1"/>
        <v>1800000</v>
      </c>
      <c r="H96" s="717">
        <f>SUM(G96:G97)</f>
        <v>3600000</v>
      </c>
      <c r="I96" s="725" t="s">
        <v>1467</v>
      </c>
    </row>
    <row r="97" spans="1:10">
      <c r="A97" s="170"/>
      <c r="B97" s="170" t="s">
        <v>1025</v>
      </c>
      <c r="C97" s="171" t="s">
        <v>1466</v>
      </c>
      <c r="D97" s="171">
        <v>1</v>
      </c>
      <c r="E97" s="171" t="s">
        <v>61</v>
      </c>
      <c r="F97" s="172">
        <v>1800000</v>
      </c>
      <c r="G97" s="172">
        <f t="shared" ref="G97:G108" si="2">F97*D97</f>
        <v>1800000</v>
      </c>
      <c r="H97" s="718"/>
      <c r="I97" s="727"/>
    </row>
    <row r="98" spans="1:10">
      <c r="A98" s="207">
        <v>44452</v>
      </c>
      <c r="B98" s="208" t="s">
        <v>1026</v>
      </c>
      <c r="C98" s="394" t="s">
        <v>164</v>
      </c>
      <c r="D98" s="394">
        <v>1</v>
      </c>
      <c r="E98" s="394" t="s">
        <v>26</v>
      </c>
      <c r="F98" s="212">
        <v>740000</v>
      </c>
      <c r="G98" s="212">
        <f t="shared" si="2"/>
        <v>740000</v>
      </c>
      <c r="H98" s="833">
        <f>SUM(G98:G100)</f>
        <v>2815000</v>
      </c>
      <c r="I98" s="835" t="s">
        <v>135</v>
      </c>
    </row>
    <row r="99" spans="1:10">
      <c r="A99" s="208"/>
      <c r="B99" s="208" t="s">
        <v>1027</v>
      </c>
      <c r="C99" s="394" t="s">
        <v>164</v>
      </c>
      <c r="D99" s="394">
        <v>5</v>
      </c>
      <c r="E99" s="394" t="s">
        <v>26</v>
      </c>
      <c r="F99" s="212">
        <v>205000</v>
      </c>
      <c r="G99" s="212">
        <f t="shared" si="2"/>
        <v>1025000</v>
      </c>
      <c r="H99" s="949"/>
      <c r="I99" s="940"/>
    </row>
    <row r="100" spans="1:10">
      <c r="A100" s="208"/>
      <c r="B100" s="208" t="s">
        <v>1028</v>
      </c>
      <c r="C100" s="394" t="s">
        <v>164</v>
      </c>
      <c r="D100" s="394">
        <v>5</v>
      </c>
      <c r="E100" s="394" t="s">
        <v>26</v>
      </c>
      <c r="F100" s="212">
        <v>210000</v>
      </c>
      <c r="G100" s="212">
        <f t="shared" si="2"/>
        <v>1050000</v>
      </c>
      <c r="H100" s="834"/>
      <c r="I100" s="836"/>
    </row>
    <row r="101" spans="1:10">
      <c r="A101" s="66">
        <v>44453</v>
      </c>
      <c r="B101" s="40" t="s">
        <v>1029</v>
      </c>
      <c r="C101" s="67" t="s">
        <v>280</v>
      </c>
      <c r="D101" s="67">
        <v>1</v>
      </c>
      <c r="E101" s="67" t="s">
        <v>26</v>
      </c>
      <c r="F101" s="65">
        <v>0</v>
      </c>
      <c r="G101" s="65">
        <f t="shared" si="2"/>
        <v>0</v>
      </c>
      <c r="H101" s="65">
        <v>0</v>
      </c>
      <c r="I101" s="40"/>
    </row>
    <row r="102" spans="1:10">
      <c r="A102" s="66">
        <v>44453</v>
      </c>
      <c r="B102" s="40" t="s">
        <v>1030</v>
      </c>
      <c r="C102" s="524" t="s">
        <v>28</v>
      </c>
      <c r="D102" s="524">
        <v>2</v>
      </c>
      <c r="E102" s="524" t="s">
        <v>26</v>
      </c>
      <c r="F102" s="65">
        <v>950000</v>
      </c>
      <c r="G102" s="65">
        <f t="shared" si="2"/>
        <v>1900000</v>
      </c>
      <c r="H102" s="715">
        <f>SUM(G102:G104)</f>
        <v>6300000</v>
      </c>
      <c r="I102" s="808" t="s">
        <v>800</v>
      </c>
    </row>
    <row r="103" spans="1:10">
      <c r="A103" s="40"/>
      <c r="B103" s="40" t="s">
        <v>1031</v>
      </c>
      <c r="C103" s="524" t="s">
        <v>28</v>
      </c>
      <c r="D103" s="524">
        <v>1</v>
      </c>
      <c r="E103" s="524" t="s">
        <v>26</v>
      </c>
      <c r="F103" s="65">
        <v>2500000</v>
      </c>
      <c r="G103" s="65">
        <f t="shared" si="2"/>
        <v>2500000</v>
      </c>
      <c r="H103" s="807"/>
      <c r="I103" s="809"/>
    </row>
    <row r="104" spans="1:10">
      <c r="A104" s="40"/>
      <c r="B104" s="40" t="s">
        <v>1032</v>
      </c>
      <c r="C104" s="524" t="s">
        <v>28</v>
      </c>
      <c r="D104" s="524">
        <v>2</v>
      </c>
      <c r="E104" s="524" t="s">
        <v>26</v>
      </c>
      <c r="F104" s="65">
        <v>950000</v>
      </c>
      <c r="G104" s="65">
        <f t="shared" si="2"/>
        <v>1900000</v>
      </c>
      <c r="H104" s="716"/>
      <c r="I104" s="810"/>
    </row>
    <row r="105" spans="1:10">
      <c r="A105" s="66">
        <v>44454</v>
      </c>
      <c r="B105" s="40" t="s">
        <v>1033</v>
      </c>
      <c r="C105" s="67" t="s">
        <v>951</v>
      </c>
      <c r="D105" s="67">
        <v>1</v>
      </c>
      <c r="E105" s="67" t="s">
        <v>61</v>
      </c>
      <c r="F105" s="65">
        <v>0</v>
      </c>
      <c r="G105" s="65">
        <f t="shared" si="2"/>
        <v>0</v>
      </c>
      <c r="H105" s="65">
        <v>0</v>
      </c>
      <c r="I105" s="40" t="s">
        <v>1034</v>
      </c>
    </row>
    <row r="106" spans="1:10">
      <c r="A106" s="66">
        <v>44459</v>
      </c>
      <c r="B106" s="40" t="s">
        <v>1035</v>
      </c>
      <c r="C106" s="67" t="s">
        <v>49</v>
      </c>
      <c r="D106" s="67">
        <v>7</v>
      </c>
      <c r="E106" s="67" t="s">
        <v>134</v>
      </c>
      <c r="F106" s="65">
        <v>45000</v>
      </c>
      <c r="G106" s="65">
        <f t="shared" si="2"/>
        <v>315000</v>
      </c>
      <c r="H106" s="715">
        <f>SUM(G106:G107)</f>
        <v>1815000</v>
      </c>
      <c r="I106" s="808" t="s">
        <v>122</v>
      </c>
      <c r="J106" s="142">
        <f>SUM(H106:H111)</f>
        <v>14365000</v>
      </c>
    </row>
    <row r="107" spans="1:10">
      <c r="A107" s="40"/>
      <c r="B107" s="40" t="s">
        <v>1036</v>
      </c>
      <c r="C107" s="67" t="s">
        <v>49</v>
      </c>
      <c r="D107" s="67">
        <v>5</v>
      </c>
      <c r="E107" s="67" t="s">
        <v>26</v>
      </c>
      <c r="F107" s="65">
        <v>300000</v>
      </c>
      <c r="G107" s="65">
        <f t="shared" si="2"/>
        <v>1500000</v>
      </c>
      <c r="H107" s="716"/>
      <c r="I107" s="809"/>
    </row>
    <row r="108" spans="1:10">
      <c r="A108" s="66">
        <v>44459</v>
      </c>
      <c r="B108" s="40" t="s">
        <v>972</v>
      </c>
      <c r="C108" s="67" t="s">
        <v>49</v>
      </c>
      <c r="D108" s="67">
        <v>15</v>
      </c>
      <c r="E108" s="67" t="s">
        <v>26</v>
      </c>
      <c r="F108" s="65">
        <v>120000</v>
      </c>
      <c r="G108" s="65">
        <f t="shared" si="2"/>
        <v>1800000</v>
      </c>
      <c r="H108" s="715">
        <f>SUM(G108:G111)</f>
        <v>12550000</v>
      </c>
      <c r="I108" s="809"/>
    </row>
    <row r="109" spans="1:10">
      <c r="A109" s="40"/>
      <c r="B109" s="40" t="s">
        <v>1037</v>
      </c>
      <c r="C109" s="67" t="s">
        <v>49</v>
      </c>
      <c r="D109" s="67">
        <v>25</v>
      </c>
      <c r="E109" s="67" t="s">
        <v>26</v>
      </c>
      <c r="F109" s="364">
        <v>85000</v>
      </c>
      <c r="G109" s="364">
        <f>SUM(F109*D109)</f>
        <v>2125000</v>
      </c>
      <c r="H109" s="807"/>
      <c r="I109" s="809"/>
    </row>
    <row r="110" spans="1:10">
      <c r="A110" s="40"/>
      <c r="B110" s="40" t="s">
        <v>1038</v>
      </c>
      <c r="C110" s="67" t="s">
        <v>49</v>
      </c>
      <c r="D110" s="67">
        <v>25</v>
      </c>
      <c r="E110" s="67" t="s">
        <v>26</v>
      </c>
      <c r="F110" s="364">
        <v>95000</v>
      </c>
      <c r="G110" s="364">
        <f t="shared" ref="G110:G158" si="3">SUM(F110*D110)</f>
        <v>2375000</v>
      </c>
      <c r="H110" s="807"/>
      <c r="I110" s="809"/>
    </row>
    <row r="111" spans="1:10">
      <c r="A111" s="40"/>
      <c r="B111" s="40" t="s">
        <v>1039</v>
      </c>
      <c r="C111" s="67" t="s">
        <v>49</v>
      </c>
      <c r="D111" s="67">
        <v>25</v>
      </c>
      <c r="E111" s="67" t="s">
        <v>26</v>
      </c>
      <c r="F111" s="364">
        <v>250000</v>
      </c>
      <c r="G111" s="364">
        <f t="shared" si="3"/>
        <v>6250000</v>
      </c>
      <c r="H111" s="716"/>
      <c r="I111" s="810"/>
    </row>
    <row r="112" spans="1:10">
      <c r="A112" s="562">
        <v>44459</v>
      </c>
      <c r="B112" s="558" t="s">
        <v>1040</v>
      </c>
      <c r="C112" s="251" t="s">
        <v>17</v>
      </c>
      <c r="D112" s="251">
        <v>1</v>
      </c>
      <c r="E112" s="251" t="s">
        <v>26</v>
      </c>
      <c r="F112" s="619">
        <v>1790000</v>
      </c>
      <c r="G112" s="620">
        <f t="shared" si="3"/>
        <v>1790000</v>
      </c>
      <c r="H112" s="620">
        <f>SUM(G112)</f>
        <v>1790000</v>
      </c>
      <c r="I112" s="451" t="s">
        <v>67</v>
      </c>
      <c r="J112" s="502">
        <f>SUM(H112:H113)</f>
        <v>2570000</v>
      </c>
    </row>
    <row r="113" spans="1:9">
      <c r="A113" s="207">
        <v>44459</v>
      </c>
      <c r="B113" s="208" t="s">
        <v>1041</v>
      </c>
      <c r="C113" s="394" t="s">
        <v>17</v>
      </c>
      <c r="D113" s="394">
        <v>10</v>
      </c>
      <c r="E113" s="394" t="s">
        <v>26</v>
      </c>
      <c r="F113" s="585">
        <v>78000</v>
      </c>
      <c r="G113" s="447">
        <f t="shared" si="3"/>
        <v>780000</v>
      </c>
      <c r="H113" s="447">
        <f>SUM(G113)</f>
        <v>780000</v>
      </c>
      <c r="I113" s="627" t="s">
        <v>1181</v>
      </c>
    </row>
    <row r="114" spans="1:9">
      <c r="A114" s="398">
        <v>44459</v>
      </c>
      <c r="B114" s="399" t="s">
        <v>1042</v>
      </c>
      <c r="C114" s="401" t="s">
        <v>21</v>
      </c>
      <c r="D114" s="401">
        <v>2</v>
      </c>
      <c r="E114" s="401" t="s">
        <v>546</v>
      </c>
      <c r="F114" s="616">
        <v>1100000</v>
      </c>
      <c r="G114" s="616">
        <f t="shared" si="3"/>
        <v>2200000</v>
      </c>
      <c r="H114" s="616">
        <f>SUM(G114)</f>
        <v>2200000</v>
      </c>
      <c r="I114" s="401" t="s">
        <v>122</v>
      </c>
    </row>
    <row r="115" spans="1:9">
      <c r="A115" s="66">
        <v>44461</v>
      </c>
      <c r="B115" s="40" t="s">
        <v>1050</v>
      </c>
      <c r="C115" s="67" t="s">
        <v>60</v>
      </c>
      <c r="D115" s="67">
        <v>1</v>
      </c>
      <c r="E115" s="67" t="s">
        <v>546</v>
      </c>
      <c r="F115" s="40">
        <v>0</v>
      </c>
      <c r="G115" s="364">
        <f t="shared" si="3"/>
        <v>0</v>
      </c>
      <c r="H115" s="40">
        <v>0</v>
      </c>
      <c r="I115" s="547" t="s">
        <v>205</v>
      </c>
    </row>
    <row r="116" spans="1:9">
      <c r="A116" s="398">
        <v>44462</v>
      </c>
      <c r="B116" s="399" t="s">
        <v>1052</v>
      </c>
      <c r="C116" s="401" t="s">
        <v>21</v>
      </c>
      <c r="D116" s="401">
        <v>1</v>
      </c>
      <c r="E116" s="401" t="s">
        <v>546</v>
      </c>
      <c r="F116" s="616">
        <v>1056000</v>
      </c>
      <c r="G116" s="616">
        <f t="shared" si="3"/>
        <v>1056000</v>
      </c>
      <c r="H116" s="992">
        <f>SUM(G116:G119)</f>
        <v>5368000</v>
      </c>
      <c r="I116" s="989" t="s">
        <v>122</v>
      </c>
    </row>
    <row r="117" spans="1:9">
      <c r="A117" s="399"/>
      <c r="B117" s="399" t="s">
        <v>1053</v>
      </c>
      <c r="C117" s="401" t="s">
        <v>21</v>
      </c>
      <c r="D117" s="401">
        <v>1</v>
      </c>
      <c r="E117" s="401" t="s">
        <v>546</v>
      </c>
      <c r="F117" s="616">
        <v>1056000</v>
      </c>
      <c r="G117" s="616">
        <f t="shared" si="3"/>
        <v>1056000</v>
      </c>
      <c r="H117" s="993"/>
      <c r="I117" s="990"/>
    </row>
    <row r="118" spans="1:9">
      <c r="A118" s="399"/>
      <c r="B118" s="399" t="s">
        <v>1054</v>
      </c>
      <c r="C118" s="401" t="s">
        <v>21</v>
      </c>
      <c r="D118" s="401">
        <v>1</v>
      </c>
      <c r="E118" s="401" t="s">
        <v>546</v>
      </c>
      <c r="F118" s="616">
        <v>1056000</v>
      </c>
      <c r="G118" s="616">
        <f t="shared" si="3"/>
        <v>1056000</v>
      </c>
      <c r="H118" s="993"/>
      <c r="I118" s="990"/>
    </row>
    <row r="119" spans="1:9">
      <c r="A119" s="399"/>
      <c r="B119" s="399" t="s">
        <v>1055</v>
      </c>
      <c r="C119" s="401" t="s">
        <v>21</v>
      </c>
      <c r="D119" s="401">
        <v>2</v>
      </c>
      <c r="E119" s="401" t="s">
        <v>546</v>
      </c>
      <c r="F119" s="616">
        <v>1100000</v>
      </c>
      <c r="G119" s="616">
        <f t="shared" si="3"/>
        <v>2200000</v>
      </c>
      <c r="H119" s="994"/>
      <c r="I119" s="991"/>
    </row>
    <row r="120" spans="1:9">
      <c r="A120" s="66">
        <v>44464</v>
      </c>
      <c r="B120" s="40" t="s">
        <v>1059</v>
      </c>
      <c r="C120" s="67" t="s">
        <v>49</v>
      </c>
      <c r="D120" s="67">
        <v>416</v>
      </c>
      <c r="E120" s="67" t="s">
        <v>26</v>
      </c>
      <c r="F120" s="364">
        <v>4200</v>
      </c>
      <c r="G120" s="364">
        <f t="shared" si="3"/>
        <v>1747200</v>
      </c>
      <c r="H120" s="943">
        <f>SUM(G120:G124)</f>
        <v>6672200</v>
      </c>
      <c r="I120" s="808" t="s">
        <v>122</v>
      </c>
    </row>
    <row r="121" spans="1:9">
      <c r="A121" s="40"/>
      <c r="B121" s="40" t="s">
        <v>1350</v>
      </c>
      <c r="C121" s="67" t="s">
        <v>49</v>
      </c>
      <c r="D121" s="67">
        <v>10</v>
      </c>
      <c r="E121" s="67" t="s">
        <v>26</v>
      </c>
      <c r="F121" s="364">
        <v>120000</v>
      </c>
      <c r="G121" s="364">
        <f t="shared" si="3"/>
        <v>1200000</v>
      </c>
      <c r="H121" s="995"/>
      <c r="I121" s="809"/>
    </row>
    <row r="122" spans="1:9">
      <c r="A122" s="40"/>
      <c r="B122" s="40" t="s">
        <v>1061</v>
      </c>
      <c r="C122" s="67" t="s">
        <v>49</v>
      </c>
      <c r="D122" s="67">
        <v>20</v>
      </c>
      <c r="E122" s="67" t="s">
        <v>26</v>
      </c>
      <c r="F122" s="364">
        <v>120000</v>
      </c>
      <c r="G122" s="364">
        <f t="shared" si="3"/>
        <v>2400000</v>
      </c>
      <c r="H122" s="995"/>
      <c r="I122" s="809"/>
    </row>
    <row r="123" spans="1:9">
      <c r="A123" s="40"/>
      <c r="B123" s="40" t="s">
        <v>1060</v>
      </c>
      <c r="C123" s="67" t="s">
        <v>49</v>
      </c>
      <c r="D123" s="67">
        <v>2</v>
      </c>
      <c r="E123" s="67" t="s">
        <v>26</v>
      </c>
      <c r="F123" s="364">
        <v>120000</v>
      </c>
      <c r="G123" s="364">
        <f t="shared" si="3"/>
        <v>240000</v>
      </c>
      <c r="H123" s="995"/>
      <c r="I123" s="809"/>
    </row>
    <row r="124" spans="1:9">
      <c r="A124" s="40"/>
      <c r="B124" s="40" t="s">
        <v>1062</v>
      </c>
      <c r="C124" s="67" t="s">
        <v>49</v>
      </c>
      <c r="D124" s="67">
        <v>7</v>
      </c>
      <c r="E124" s="67" t="s">
        <v>26</v>
      </c>
      <c r="F124" s="364">
        <v>155000</v>
      </c>
      <c r="G124" s="364">
        <f t="shared" si="3"/>
        <v>1085000</v>
      </c>
      <c r="H124" s="996"/>
      <c r="I124" s="810"/>
    </row>
    <row r="125" spans="1:9">
      <c r="A125" s="477">
        <v>44464</v>
      </c>
      <c r="B125" s="478" t="s">
        <v>1063</v>
      </c>
      <c r="C125" s="482" t="s">
        <v>17</v>
      </c>
      <c r="D125" s="482">
        <v>4</v>
      </c>
      <c r="E125" s="482" t="s">
        <v>546</v>
      </c>
      <c r="F125" s="584">
        <v>357500</v>
      </c>
      <c r="G125" s="584">
        <f t="shared" si="3"/>
        <v>1430000</v>
      </c>
      <c r="H125" s="904">
        <f>SUM(G125:G130)</f>
        <v>14645000</v>
      </c>
      <c r="I125" s="890" t="s">
        <v>685</v>
      </c>
    </row>
    <row r="126" spans="1:9">
      <c r="A126" s="478"/>
      <c r="B126" s="478" t="s">
        <v>1064</v>
      </c>
      <c r="C126" s="482" t="s">
        <v>17</v>
      </c>
      <c r="D126" s="482">
        <v>2</v>
      </c>
      <c r="E126" s="482" t="s">
        <v>546</v>
      </c>
      <c r="F126" s="584">
        <v>357500</v>
      </c>
      <c r="G126" s="584">
        <f t="shared" si="3"/>
        <v>715000</v>
      </c>
      <c r="H126" s="905"/>
      <c r="I126" s="891"/>
    </row>
    <row r="127" spans="1:9">
      <c r="A127" s="478"/>
      <c r="B127" s="478" t="s">
        <v>1065</v>
      </c>
      <c r="C127" s="482" t="s">
        <v>17</v>
      </c>
      <c r="D127" s="482">
        <v>10</v>
      </c>
      <c r="E127" s="482" t="s">
        <v>546</v>
      </c>
      <c r="F127" s="584">
        <v>500000</v>
      </c>
      <c r="G127" s="584">
        <f t="shared" si="3"/>
        <v>5000000</v>
      </c>
      <c r="H127" s="905"/>
      <c r="I127" s="891"/>
    </row>
    <row r="128" spans="1:9">
      <c r="A128" s="478"/>
      <c r="B128" s="478" t="s">
        <v>1066</v>
      </c>
      <c r="C128" s="482" t="s">
        <v>17</v>
      </c>
      <c r="D128" s="482">
        <v>5</v>
      </c>
      <c r="E128" s="482" t="s">
        <v>546</v>
      </c>
      <c r="F128" s="584">
        <v>500000</v>
      </c>
      <c r="G128" s="584">
        <f t="shared" si="3"/>
        <v>2500000</v>
      </c>
      <c r="H128" s="905"/>
      <c r="I128" s="891"/>
    </row>
    <row r="129" spans="1:10">
      <c r="A129" s="478"/>
      <c r="B129" s="478" t="s">
        <v>1067</v>
      </c>
      <c r="C129" s="482" t="s">
        <v>17</v>
      </c>
      <c r="D129" s="482">
        <v>5</v>
      </c>
      <c r="E129" s="482" t="s">
        <v>546</v>
      </c>
      <c r="F129" s="584">
        <v>500000</v>
      </c>
      <c r="G129" s="584">
        <f t="shared" si="3"/>
        <v>2500000</v>
      </c>
      <c r="H129" s="905"/>
      <c r="I129" s="891"/>
    </row>
    <row r="130" spans="1:10">
      <c r="A130" s="478"/>
      <c r="B130" s="478" t="s">
        <v>1068</v>
      </c>
      <c r="C130" s="482" t="s">
        <v>17</v>
      </c>
      <c r="D130" s="482">
        <v>5</v>
      </c>
      <c r="E130" s="482" t="s">
        <v>546</v>
      </c>
      <c r="F130" s="584">
        <v>500000</v>
      </c>
      <c r="G130" s="584">
        <f t="shared" si="3"/>
        <v>2500000</v>
      </c>
      <c r="H130" s="906"/>
      <c r="I130" s="892"/>
    </row>
    <row r="131" spans="1:10">
      <c r="A131" s="207">
        <v>44464</v>
      </c>
      <c r="B131" s="208" t="s">
        <v>1069</v>
      </c>
      <c r="C131" s="394" t="s">
        <v>1074</v>
      </c>
      <c r="D131" s="394">
        <v>2</v>
      </c>
      <c r="E131" s="394" t="s">
        <v>26</v>
      </c>
      <c r="F131" s="447">
        <v>1500000</v>
      </c>
      <c r="G131" s="447">
        <f t="shared" si="3"/>
        <v>3000000</v>
      </c>
      <c r="H131" s="921">
        <f>SUM(G131:G132)</f>
        <v>4500000</v>
      </c>
      <c r="I131" s="835" t="s">
        <v>135</v>
      </c>
    </row>
    <row r="132" spans="1:10">
      <c r="A132" s="208"/>
      <c r="B132" s="208" t="s">
        <v>1070</v>
      </c>
      <c r="C132" s="394" t="s">
        <v>1074</v>
      </c>
      <c r="D132" s="394">
        <v>1</v>
      </c>
      <c r="E132" s="394" t="s">
        <v>26</v>
      </c>
      <c r="F132" s="447">
        <v>1500000</v>
      </c>
      <c r="G132" s="447">
        <f t="shared" si="3"/>
        <v>1500000</v>
      </c>
      <c r="H132" s="923"/>
      <c r="I132" s="836"/>
    </row>
    <row r="133" spans="1:10">
      <c r="A133" s="66">
        <v>44464</v>
      </c>
      <c r="B133" s="40" t="s">
        <v>694</v>
      </c>
      <c r="C133" s="67" t="s">
        <v>158</v>
      </c>
      <c r="D133" s="67">
        <v>2</v>
      </c>
      <c r="E133" s="67" t="s">
        <v>26</v>
      </c>
      <c r="F133" s="67">
        <v>0</v>
      </c>
      <c r="G133" s="67">
        <f t="shared" si="3"/>
        <v>0</v>
      </c>
      <c r="H133" s="997">
        <v>0</v>
      </c>
      <c r="I133" s="997" t="s">
        <v>1073</v>
      </c>
    </row>
    <row r="134" spans="1:10">
      <c r="A134" s="40"/>
      <c r="B134" s="40" t="s">
        <v>696</v>
      </c>
      <c r="C134" s="67" t="s">
        <v>158</v>
      </c>
      <c r="D134" s="67">
        <v>1</v>
      </c>
      <c r="E134" s="67" t="s">
        <v>26</v>
      </c>
      <c r="F134" s="67">
        <v>0</v>
      </c>
      <c r="G134" s="67">
        <f t="shared" si="3"/>
        <v>0</v>
      </c>
      <c r="H134" s="997"/>
      <c r="I134" s="997"/>
    </row>
    <row r="135" spans="1:10">
      <c r="A135" s="40"/>
      <c r="B135" s="40" t="s">
        <v>1071</v>
      </c>
      <c r="C135" s="67" t="s">
        <v>158</v>
      </c>
      <c r="D135" s="67">
        <v>1</v>
      </c>
      <c r="E135" s="67" t="s">
        <v>26</v>
      </c>
      <c r="F135" s="67">
        <v>0</v>
      </c>
      <c r="G135" s="67">
        <f t="shared" si="3"/>
        <v>0</v>
      </c>
      <c r="H135" s="997"/>
      <c r="I135" s="997"/>
    </row>
    <row r="136" spans="1:10">
      <c r="A136" s="40"/>
      <c r="B136" s="40" t="s">
        <v>705</v>
      </c>
      <c r="C136" s="67" t="s">
        <v>158</v>
      </c>
      <c r="D136" s="67">
        <v>1</v>
      </c>
      <c r="E136" s="67" t="s">
        <v>26</v>
      </c>
      <c r="F136" s="67">
        <v>0</v>
      </c>
      <c r="G136" s="67">
        <f t="shared" si="3"/>
        <v>0</v>
      </c>
      <c r="H136" s="997"/>
      <c r="I136" s="997"/>
    </row>
    <row r="137" spans="1:10">
      <c r="A137" s="40"/>
      <c r="B137" s="40" t="s">
        <v>1072</v>
      </c>
      <c r="C137" s="67" t="s">
        <v>158</v>
      </c>
      <c r="D137" s="251">
        <v>1</v>
      </c>
      <c r="E137" s="67" t="s">
        <v>26</v>
      </c>
      <c r="F137" s="251">
        <v>0</v>
      </c>
      <c r="G137" s="251">
        <f t="shared" si="3"/>
        <v>0</v>
      </c>
      <c r="H137" s="997"/>
      <c r="I137" s="997"/>
    </row>
    <row r="138" spans="1:10">
      <c r="A138" s="66">
        <v>44466</v>
      </c>
      <c r="B138" s="40" t="s">
        <v>1021</v>
      </c>
      <c r="C138" s="578" t="s">
        <v>28</v>
      </c>
      <c r="D138" s="578">
        <v>16</v>
      </c>
      <c r="E138" s="578" t="s">
        <v>26</v>
      </c>
      <c r="F138" s="364">
        <v>180000</v>
      </c>
      <c r="G138" s="364">
        <f t="shared" si="3"/>
        <v>2880000</v>
      </c>
      <c r="H138" s="364">
        <f>SUM(G138)</f>
        <v>2880000</v>
      </c>
      <c r="I138" s="578" t="s">
        <v>685</v>
      </c>
    </row>
    <row r="139" spans="1:10">
      <c r="A139" s="66">
        <v>44466</v>
      </c>
      <c r="B139" s="40" t="s">
        <v>1075</v>
      </c>
      <c r="C139" s="67" t="s">
        <v>328</v>
      </c>
      <c r="D139" s="67">
        <v>10</v>
      </c>
      <c r="E139" s="578" t="s">
        <v>26</v>
      </c>
      <c r="F139" s="364">
        <v>18000</v>
      </c>
      <c r="G139" s="364">
        <f t="shared" si="3"/>
        <v>180000</v>
      </c>
      <c r="H139" s="943">
        <f>SUM(G139:G148)</f>
        <v>7810000</v>
      </c>
      <c r="I139" s="808" t="s">
        <v>122</v>
      </c>
      <c r="J139" s="502">
        <f>SUM(H139:H158)</f>
        <v>7990000</v>
      </c>
    </row>
    <row r="140" spans="1:10">
      <c r="A140" s="40"/>
      <c r="B140" s="40" t="s">
        <v>1076</v>
      </c>
      <c r="C140" s="67" t="s">
        <v>328</v>
      </c>
      <c r="D140" s="67">
        <v>10</v>
      </c>
      <c r="E140" s="578" t="s">
        <v>26</v>
      </c>
      <c r="F140" s="364">
        <v>18000</v>
      </c>
      <c r="G140" s="364">
        <f t="shared" si="3"/>
        <v>180000</v>
      </c>
      <c r="H140" s="995"/>
      <c r="I140" s="809"/>
    </row>
    <row r="141" spans="1:10">
      <c r="A141" s="40"/>
      <c r="B141" s="40" t="s">
        <v>1077</v>
      </c>
      <c r="C141" s="67" t="s">
        <v>328</v>
      </c>
      <c r="D141" s="67">
        <v>10</v>
      </c>
      <c r="E141" s="578" t="s">
        <v>26</v>
      </c>
      <c r="F141" s="364">
        <v>18000</v>
      </c>
      <c r="G141" s="364">
        <f t="shared" si="3"/>
        <v>180000</v>
      </c>
      <c r="H141" s="995"/>
      <c r="I141" s="809"/>
    </row>
    <row r="142" spans="1:10">
      <c r="A142" s="40"/>
      <c r="B142" s="40" t="s">
        <v>1078</v>
      </c>
      <c r="C142" s="67" t="s">
        <v>328</v>
      </c>
      <c r="D142" s="67">
        <v>10</v>
      </c>
      <c r="E142" s="578" t="s">
        <v>26</v>
      </c>
      <c r="F142" s="364">
        <v>18000</v>
      </c>
      <c r="G142" s="364">
        <f t="shared" si="3"/>
        <v>180000</v>
      </c>
      <c r="H142" s="995"/>
      <c r="I142" s="809"/>
    </row>
    <row r="143" spans="1:10">
      <c r="A143" s="40"/>
      <c r="B143" s="40" t="s">
        <v>1079</v>
      </c>
      <c r="C143" s="67" t="s">
        <v>328</v>
      </c>
      <c r="D143" s="67">
        <v>5</v>
      </c>
      <c r="E143" s="578" t="s">
        <v>26</v>
      </c>
      <c r="F143" s="364">
        <v>18000</v>
      </c>
      <c r="G143" s="364">
        <f t="shared" si="3"/>
        <v>90000</v>
      </c>
      <c r="H143" s="995"/>
      <c r="I143" s="809"/>
    </row>
    <row r="144" spans="1:10">
      <c r="A144" s="40"/>
      <c r="B144" s="40" t="s">
        <v>1080</v>
      </c>
      <c r="C144" s="67" t="s">
        <v>328</v>
      </c>
      <c r="D144" s="67">
        <v>12</v>
      </c>
      <c r="E144" s="578" t="s">
        <v>26</v>
      </c>
      <c r="F144" s="364">
        <v>150000</v>
      </c>
      <c r="G144" s="364">
        <f t="shared" si="3"/>
        <v>1800000</v>
      </c>
      <c r="H144" s="995"/>
      <c r="I144" s="809"/>
    </row>
    <row r="145" spans="1:9">
      <c r="A145" s="40"/>
      <c r="B145" s="40" t="s">
        <v>1081</v>
      </c>
      <c r="C145" s="67" t="s">
        <v>328</v>
      </c>
      <c r="D145" s="67">
        <v>12</v>
      </c>
      <c r="E145" s="578" t="s">
        <v>26</v>
      </c>
      <c r="F145" s="364">
        <v>150000</v>
      </c>
      <c r="G145" s="364">
        <f t="shared" si="3"/>
        <v>1800000</v>
      </c>
      <c r="H145" s="995"/>
      <c r="I145" s="809"/>
    </row>
    <row r="146" spans="1:9">
      <c r="A146" s="40"/>
      <c r="B146" s="40" t="s">
        <v>1082</v>
      </c>
      <c r="C146" s="67" t="s">
        <v>328</v>
      </c>
      <c r="D146" s="67">
        <v>20</v>
      </c>
      <c r="E146" s="578" t="s">
        <v>26</v>
      </c>
      <c r="F146" s="364">
        <v>22000</v>
      </c>
      <c r="G146" s="364">
        <f t="shared" si="3"/>
        <v>440000</v>
      </c>
      <c r="H146" s="995"/>
      <c r="I146" s="809"/>
    </row>
    <row r="147" spans="1:9">
      <c r="A147" s="40"/>
      <c r="B147" s="40" t="s">
        <v>1083</v>
      </c>
      <c r="C147" s="67" t="s">
        <v>328</v>
      </c>
      <c r="D147" s="67">
        <v>2</v>
      </c>
      <c r="E147" s="578" t="s">
        <v>26</v>
      </c>
      <c r="F147" s="364">
        <v>1200000</v>
      </c>
      <c r="G147" s="364">
        <f t="shared" si="3"/>
        <v>2400000</v>
      </c>
      <c r="H147" s="995"/>
      <c r="I147" s="809"/>
    </row>
    <row r="148" spans="1:9">
      <c r="A148" s="40"/>
      <c r="B148" s="40" t="s">
        <v>348</v>
      </c>
      <c r="C148" s="67" t="s">
        <v>328</v>
      </c>
      <c r="D148" s="67">
        <v>4</v>
      </c>
      <c r="E148" s="578" t="s">
        <v>26</v>
      </c>
      <c r="F148" s="364">
        <v>140000</v>
      </c>
      <c r="G148" s="364">
        <f t="shared" si="3"/>
        <v>560000</v>
      </c>
      <c r="H148" s="996"/>
      <c r="I148" s="809"/>
    </row>
    <row r="149" spans="1:9">
      <c r="A149" s="40"/>
      <c r="B149" s="40" t="s">
        <v>1084</v>
      </c>
      <c r="C149" s="67" t="s">
        <v>328</v>
      </c>
      <c r="D149" s="67">
        <v>2</v>
      </c>
      <c r="E149" s="578" t="s">
        <v>26</v>
      </c>
      <c r="F149" s="364"/>
      <c r="G149" s="364">
        <f t="shared" si="3"/>
        <v>0</v>
      </c>
      <c r="H149" s="943">
        <f>SUM(G149:G158)</f>
        <v>180000</v>
      </c>
      <c r="I149" s="809"/>
    </row>
    <row r="150" spans="1:9">
      <c r="A150" s="40"/>
      <c r="B150" s="40" t="s">
        <v>1085</v>
      </c>
      <c r="C150" s="67" t="s">
        <v>328</v>
      </c>
      <c r="D150" s="67">
        <v>2</v>
      </c>
      <c r="E150" s="578" t="s">
        <v>26</v>
      </c>
      <c r="F150" s="364"/>
      <c r="G150" s="364">
        <f t="shared" si="3"/>
        <v>0</v>
      </c>
      <c r="H150" s="995"/>
      <c r="I150" s="809"/>
    </row>
    <row r="151" spans="1:9">
      <c r="A151" s="40"/>
      <c r="B151" s="40" t="s">
        <v>1086</v>
      </c>
      <c r="C151" s="67" t="s">
        <v>328</v>
      </c>
      <c r="D151" s="67">
        <v>2</v>
      </c>
      <c r="E151" s="578" t="s">
        <v>26</v>
      </c>
      <c r="F151" s="364"/>
      <c r="G151" s="364">
        <f t="shared" si="3"/>
        <v>0</v>
      </c>
      <c r="H151" s="995"/>
      <c r="I151" s="809"/>
    </row>
    <row r="152" spans="1:9">
      <c r="A152" s="40"/>
      <c r="B152" s="40" t="s">
        <v>1087</v>
      </c>
      <c r="C152" s="67" t="s">
        <v>328</v>
      </c>
      <c r="D152" s="67">
        <v>2</v>
      </c>
      <c r="E152" s="578" t="s">
        <v>26</v>
      </c>
      <c r="F152" s="364"/>
      <c r="G152" s="364">
        <f t="shared" si="3"/>
        <v>0</v>
      </c>
      <c r="H152" s="995"/>
      <c r="I152" s="809"/>
    </row>
    <row r="153" spans="1:9">
      <c r="A153" s="40"/>
      <c r="B153" s="40" t="s">
        <v>1088</v>
      </c>
      <c r="C153" s="67" t="s">
        <v>328</v>
      </c>
      <c r="D153" s="67">
        <v>2</v>
      </c>
      <c r="E153" s="578" t="s">
        <v>26</v>
      </c>
      <c r="F153" s="364"/>
      <c r="G153" s="364">
        <f t="shared" si="3"/>
        <v>0</v>
      </c>
      <c r="H153" s="995"/>
      <c r="I153" s="809"/>
    </row>
    <row r="154" spans="1:9">
      <c r="A154" s="40"/>
      <c r="B154" s="40" t="s">
        <v>1089</v>
      </c>
      <c r="C154" s="67" t="s">
        <v>328</v>
      </c>
      <c r="D154" s="67">
        <v>4</v>
      </c>
      <c r="E154" s="578" t="s">
        <v>26</v>
      </c>
      <c r="F154" s="364"/>
      <c r="G154" s="364">
        <f t="shared" si="3"/>
        <v>0</v>
      </c>
      <c r="H154" s="995"/>
      <c r="I154" s="809"/>
    </row>
    <row r="155" spans="1:9">
      <c r="A155" s="40"/>
      <c r="B155" s="40" t="s">
        <v>1090</v>
      </c>
      <c r="C155" s="67" t="s">
        <v>328</v>
      </c>
      <c r="D155" s="67">
        <v>4</v>
      </c>
      <c r="E155" s="578" t="s">
        <v>26</v>
      </c>
      <c r="F155" s="364"/>
      <c r="G155" s="364">
        <f t="shared" si="3"/>
        <v>0</v>
      </c>
      <c r="H155" s="995"/>
      <c r="I155" s="809"/>
    </row>
    <row r="156" spans="1:9">
      <c r="A156" s="40"/>
      <c r="B156" s="40" t="s">
        <v>1091</v>
      </c>
      <c r="C156" s="67" t="s">
        <v>328</v>
      </c>
      <c r="D156" s="67">
        <v>1</v>
      </c>
      <c r="E156" s="578" t="s">
        <v>26</v>
      </c>
      <c r="F156" s="364"/>
      <c r="G156" s="364">
        <f t="shared" si="3"/>
        <v>0</v>
      </c>
      <c r="H156" s="995"/>
      <c r="I156" s="809"/>
    </row>
    <row r="157" spans="1:9">
      <c r="A157" s="40"/>
      <c r="B157" s="40" t="s">
        <v>1092</v>
      </c>
      <c r="C157" s="67" t="s">
        <v>328</v>
      </c>
      <c r="D157" s="67">
        <v>1</v>
      </c>
      <c r="E157" s="578" t="s">
        <v>26</v>
      </c>
      <c r="F157" s="364"/>
      <c r="G157" s="364">
        <f t="shared" si="3"/>
        <v>0</v>
      </c>
      <c r="H157" s="995"/>
      <c r="I157" s="809"/>
    </row>
    <row r="158" spans="1:9">
      <c r="A158" s="40"/>
      <c r="B158" s="40" t="s">
        <v>1093</v>
      </c>
      <c r="C158" s="67" t="s">
        <v>328</v>
      </c>
      <c r="D158" s="67">
        <v>10</v>
      </c>
      <c r="E158" s="578" t="s">
        <v>26</v>
      </c>
      <c r="F158" s="364">
        <v>18000</v>
      </c>
      <c r="G158" s="364">
        <f t="shared" si="3"/>
        <v>180000</v>
      </c>
      <c r="H158" s="996"/>
      <c r="I158" s="810"/>
    </row>
    <row r="159" spans="1:9">
      <c r="A159" s="40"/>
      <c r="B159" s="40"/>
      <c r="C159" s="40"/>
      <c r="D159" s="40"/>
      <c r="E159" s="40"/>
      <c r="F159" s="40"/>
      <c r="G159" s="40"/>
      <c r="H159" s="40"/>
      <c r="I159" s="40"/>
    </row>
    <row r="160" spans="1:9">
      <c r="A160" s="40"/>
      <c r="B160" s="40"/>
      <c r="C160" s="40"/>
      <c r="D160" s="40"/>
      <c r="E160" s="40"/>
      <c r="F160" s="40"/>
      <c r="G160" s="40"/>
      <c r="H160" s="40"/>
      <c r="I160" s="40"/>
    </row>
    <row r="161" spans="1:9">
      <c r="A161" s="40"/>
      <c r="B161" s="40"/>
      <c r="C161" s="40"/>
      <c r="D161" s="40"/>
      <c r="E161" s="40"/>
      <c r="F161" s="40"/>
      <c r="G161" s="40"/>
      <c r="H161" s="40"/>
      <c r="I161" s="40"/>
    </row>
    <row r="162" spans="1:9">
      <c r="A162" s="40"/>
      <c r="B162" s="40"/>
      <c r="C162" s="40"/>
      <c r="D162" s="40"/>
      <c r="E162" s="40"/>
      <c r="F162" s="40"/>
      <c r="G162" s="40"/>
      <c r="H162" s="40"/>
      <c r="I162" s="40"/>
    </row>
    <row r="163" spans="1:9">
      <c r="A163" s="40"/>
      <c r="B163" s="40"/>
      <c r="C163" s="40"/>
      <c r="D163" s="40"/>
      <c r="E163" s="40"/>
      <c r="F163" s="40"/>
      <c r="G163" s="40"/>
      <c r="H163" s="40"/>
      <c r="I163" s="40"/>
    </row>
    <row r="164" spans="1:9">
      <c r="A164" s="40"/>
      <c r="B164" s="40"/>
      <c r="C164" s="40"/>
      <c r="D164" s="40"/>
      <c r="E164" s="40"/>
      <c r="F164" s="40"/>
      <c r="G164" s="40"/>
      <c r="H164" s="40"/>
      <c r="I164" s="40"/>
    </row>
    <row r="165" spans="1:9">
      <c r="A165" s="40"/>
      <c r="B165" s="40"/>
      <c r="C165" s="40"/>
      <c r="D165" s="40"/>
      <c r="E165" s="40"/>
      <c r="F165" s="40"/>
      <c r="G165" s="40"/>
      <c r="H165" s="40"/>
      <c r="I165" s="40"/>
    </row>
    <row r="166" spans="1:9">
      <c r="A166" s="40"/>
      <c r="B166" s="40"/>
      <c r="C166" s="40"/>
      <c r="D166" s="40"/>
      <c r="E166" s="40"/>
      <c r="F166" s="40"/>
      <c r="G166" s="40"/>
      <c r="H166" s="40"/>
      <c r="I166" s="40"/>
    </row>
    <row r="167" spans="1:9">
      <c r="A167" s="40"/>
      <c r="B167" s="40"/>
      <c r="C167" s="40"/>
      <c r="D167" s="40"/>
      <c r="E167" s="40"/>
      <c r="F167" s="40"/>
      <c r="G167" s="40"/>
      <c r="H167" s="40"/>
      <c r="I167" s="40"/>
    </row>
    <row r="168" spans="1:9">
      <c r="A168" s="40"/>
      <c r="B168" s="40"/>
      <c r="C168" s="40"/>
      <c r="D168" s="40"/>
      <c r="E168" s="40"/>
      <c r="F168" s="40"/>
      <c r="G168" s="40"/>
      <c r="H168" s="40"/>
      <c r="I168" s="40"/>
    </row>
    <row r="169" spans="1:9">
      <c r="A169" s="40"/>
      <c r="B169" s="40"/>
      <c r="C169" s="40"/>
      <c r="D169" s="40"/>
      <c r="E169" s="40"/>
      <c r="F169" s="40"/>
      <c r="G169" s="40"/>
      <c r="H169" s="40"/>
      <c r="I169" s="40"/>
    </row>
    <row r="170" spans="1:9">
      <c r="A170" s="40"/>
      <c r="B170" s="40"/>
      <c r="C170" s="40"/>
      <c r="D170" s="40"/>
      <c r="E170" s="40"/>
      <c r="F170" s="40"/>
      <c r="G170" s="40"/>
      <c r="H170" s="40"/>
      <c r="I170" s="40"/>
    </row>
    <row r="171" spans="1:9">
      <c r="A171" s="40"/>
      <c r="B171" s="40"/>
      <c r="C171" s="40"/>
      <c r="D171" s="40"/>
      <c r="E171" s="40"/>
      <c r="F171" s="40"/>
      <c r="G171" s="40"/>
      <c r="H171" s="40"/>
      <c r="I171" s="40"/>
    </row>
    <row r="172" spans="1:9">
      <c r="A172" s="40"/>
      <c r="B172" s="40"/>
      <c r="C172" s="40"/>
      <c r="D172" s="40"/>
      <c r="E172" s="40"/>
      <c r="F172" s="40"/>
      <c r="G172" s="40"/>
      <c r="H172" s="40"/>
      <c r="I172" s="40"/>
    </row>
    <row r="173" spans="1:9">
      <c r="A173" s="40"/>
      <c r="B173" s="40"/>
      <c r="C173" s="40"/>
      <c r="D173" s="40"/>
      <c r="E173" s="40"/>
      <c r="F173" s="40"/>
      <c r="G173" s="40"/>
      <c r="H173" s="40"/>
      <c r="I173" s="40"/>
    </row>
    <row r="174" spans="1:9">
      <c r="A174" s="40"/>
      <c r="B174" s="40"/>
      <c r="C174" s="40"/>
      <c r="D174" s="40"/>
      <c r="E174" s="40"/>
      <c r="F174" s="40"/>
      <c r="G174" s="40"/>
      <c r="H174" s="40"/>
      <c r="I174" s="40"/>
    </row>
    <row r="175" spans="1:9">
      <c r="A175" s="40"/>
      <c r="B175" s="40"/>
      <c r="C175" s="40"/>
      <c r="D175" s="40"/>
      <c r="E175" s="40"/>
      <c r="F175" s="40"/>
      <c r="G175" s="40"/>
      <c r="H175" s="40"/>
      <c r="I175" s="40"/>
    </row>
    <row r="176" spans="1:9">
      <c r="A176" s="40"/>
      <c r="B176" s="40"/>
      <c r="C176" s="40"/>
      <c r="D176" s="40"/>
      <c r="E176" s="40"/>
      <c r="F176" s="40"/>
      <c r="G176" s="40"/>
      <c r="H176" s="40"/>
      <c r="I176" s="40"/>
    </row>
    <row r="177" spans="1:9">
      <c r="A177" s="40"/>
      <c r="B177" s="40"/>
      <c r="C177" s="40"/>
      <c r="D177" s="40"/>
      <c r="E177" s="40"/>
      <c r="F177" s="40"/>
      <c r="G177" s="40"/>
      <c r="H177" s="40"/>
      <c r="I177" s="40"/>
    </row>
    <row r="178" spans="1:9">
      <c r="A178" s="40"/>
      <c r="B178" s="40"/>
      <c r="C178" s="40"/>
      <c r="D178" s="40"/>
      <c r="E178" s="40"/>
      <c r="F178" s="40"/>
      <c r="G178" s="40"/>
      <c r="H178" s="40"/>
      <c r="I178" s="40"/>
    </row>
    <row r="179" spans="1:9">
      <c r="A179" s="40"/>
      <c r="B179" s="40"/>
      <c r="C179" s="40"/>
      <c r="D179" s="40"/>
      <c r="E179" s="40"/>
      <c r="F179" s="40"/>
      <c r="G179" s="40"/>
      <c r="H179" s="40"/>
      <c r="I179" s="40"/>
    </row>
    <row r="180" spans="1:9">
      <c r="A180" s="40"/>
      <c r="B180" s="40"/>
      <c r="C180" s="40"/>
      <c r="D180" s="40"/>
      <c r="E180" s="40"/>
      <c r="F180" s="40"/>
      <c r="G180" s="40"/>
      <c r="H180" s="40"/>
      <c r="I180" s="40"/>
    </row>
    <row r="181" spans="1:9">
      <c r="A181" s="40"/>
      <c r="B181" s="40"/>
      <c r="C181" s="40"/>
      <c r="D181" s="40"/>
      <c r="E181" s="40"/>
      <c r="F181" s="40"/>
      <c r="G181" s="40"/>
      <c r="H181" s="40"/>
      <c r="I181" s="40"/>
    </row>
    <row r="182" spans="1:9">
      <c r="A182" s="40"/>
      <c r="B182" s="40"/>
      <c r="C182" s="40"/>
      <c r="D182" s="40"/>
      <c r="E182" s="40"/>
      <c r="F182" s="40"/>
      <c r="G182" s="40"/>
      <c r="H182" s="40"/>
      <c r="I182" s="40"/>
    </row>
    <row r="183" spans="1:9">
      <c r="A183" s="40"/>
      <c r="B183" s="40"/>
      <c r="C183" s="40"/>
      <c r="D183" s="40"/>
      <c r="E183" s="40"/>
      <c r="F183" s="40"/>
      <c r="G183" s="40"/>
      <c r="H183" s="40"/>
      <c r="I183" s="40"/>
    </row>
    <row r="184" spans="1:9">
      <c r="A184" s="40"/>
      <c r="B184" s="40"/>
      <c r="C184" s="40"/>
      <c r="D184" s="40"/>
      <c r="E184" s="40"/>
      <c r="F184" s="40"/>
      <c r="G184" s="40"/>
      <c r="H184" s="40"/>
      <c r="I184" s="40"/>
    </row>
    <row r="185" spans="1:9">
      <c r="A185" s="40"/>
      <c r="B185" s="40"/>
      <c r="C185" s="40"/>
      <c r="D185" s="40"/>
      <c r="E185" s="40"/>
      <c r="F185" s="40"/>
      <c r="G185" s="40"/>
      <c r="H185" s="40"/>
      <c r="I185" s="40"/>
    </row>
    <row r="186" spans="1:9">
      <c r="A186" s="40"/>
      <c r="B186" s="40"/>
      <c r="C186" s="40"/>
      <c r="D186" s="40"/>
      <c r="E186" s="40"/>
      <c r="F186" s="40"/>
      <c r="G186" s="40"/>
      <c r="H186" s="40"/>
      <c r="I186" s="40"/>
    </row>
    <row r="187" spans="1:9">
      <c r="A187" s="40"/>
      <c r="B187" s="40"/>
      <c r="C187" s="40"/>
      <c r="D187" s="40"/>
      <c r="E187" s="40"/>
      <c r="F187" s="40"/>
      <c r="G187" s="40"/>
      <c r="H187" s="40"/>
      <c r="I187" s="40"/>
    </row>
    <row r="188" spans="1:9">
      <c r="A188" s="40"/>
      <c r="B188" s="40"/>
      <c r="C188" s="40"/>
      <c r="D188" s="40"/>
      <c r="E188" s="40"/>
      <c r="F188" s="40"/>
      <c r="G188" s="40"/>
      <c r="H188" s="40"/>
      <c r="I188" s="40"/>
    </row>
    <row r="189" spans="1:9">
      <c r="A189" s="40"/>
      <c r="B189" s="40"/>
      <c r="C189" s="40"/>
      <c r="D189" s="40"/>
      <c r="E189" s="40"/>
      <c r="F189" s="40"/>
      <c r="G189" s="40"/>
      <c r="H189" s="40"/>
      <c r="I189" s="40"/>
    </row>
    <row r="190" spans="1:9">
      <c r="A190" s="40"/>
      <c r="B190" s="40"/>
      <c r="C190" s="40"/>
      <c r="D190" s="40"/>
      <c r="E190" s="40"/>
      <c r="F190" s="40"/>
      <c r="G190" s="40"/>
      <c r="H190" s="40"/>
      <c r="I190" s="40"/>
    </row>
    <row r="191" spans="1:9">
      <c r="A191" s="40"/>
      <c r="B191" s="40"/>
      <c r="C191" s="40"/>
      <c r="D191" s="40"/>
      <c r="E191" s="40"/>
      <c r="F191" s="40"/>
      <c r="G191" s="40"/>
      <c r="H191" s="40"/>
      <c r="I191" s="40"/>
    </row>
    <row r="192" spans="1:9">
      <c r="A192" s="40"/>
      <c r="B192" s="40"/>
      <c r="C192" s="40"/>
      <c r="D192" s="40"/>
      <c r="E192" s="40"/>
      <c r="F192" s="40"/>
      <c r="G192" s="40"/>
      <c r="H192" s="40"/>
      <c r="I192" s="40"/>
    </row>
    <row r="193" spans="1:9">
      <c r="A193" s="40"/>
      <c r="B193" s="40"/>
      <c r="C193" s="40"/>
      <c r="D193" s="40"/>
      <c r="E193" s="40"/>
      <c r="F193" s="40"/>
      <c r="G193" s="40"/>
      <c r="H193" s="40"/>
      <c r="I193" s="40"/>
    </row>
    <row r="194" spans="1:9">
      <c r="A194" s="40"/>
      <c r="B194" s="40"/>
      <c r="C194" s="40"/>
      <c r="D194" s="40"/>
      <c r="E194" s="40"/>
      <c r="F194" s="40"/>
      <c r="G194" s="40"/>
      <c r="H194" s="40"/>
      <c r="I194" s="40"/>
    </row>
    <row r="195" spans="1:9">
      <c r="A195" s="40"/>
      <c r="B195" s="40"/>
      <c r="C195" s="40"/>
      <c r="D195" s="40"/>
      <c r="E195" s="40"/>
      <c r="F195" s="40"/>
      <c r="G195" s="40"/>
      <c r="H195" s="40"/>
      <c r="I195" s="40"/>
    </row>
    <row r="196" spans="1:9">
      <c r="A196" s="40"/>
      <c r="B196" s="40"/>
      <c r="C196" s="40"/>
      <c r="D196" s="40"/>
      <c r="E196" s="40"/>
      <c r="F196" s="40"/>
      <c r="G196" s="40"/>
      <c r="H196" s="40"/>
      <c r="I196" s="40"/>
    </row>
    <row r="197" spans="1:9">
      <c r="A197" s="40"/>
      <c r="B197" s="40"/>
      <c r="C197" s="40"/>
      <c r="D197" s="40"/>
      <c r="E197" s="40"/>
      <c r="F197" s="40"/>
      <c r="G197" s="40"/>
      <c r="H197" s="40"/>
      <c r="I197" s="40"/>
    </row>
    <row r="198" spans="1:9">
      <c r="A198" s="40"/>
      <c r="B198" s="40"/>
      <c r="C198" s="40"/>
      <c r="D198" s="40"/>
      <c r="E198" s="40"/>
      <c r="F198" s="40"/>
      <c r="G198" s="40"/>
      <c r="H198" s="40"/>
      <c r="I198" s="40"/>
    </row>
    <row r="199" spans="1:9">
      <c r="A199" s="40"/>
      <c r="B199" s="40"/>
      <c r="C199" s="40"/>
      <c r="D199" s="40"/>
      <c r="E199" s="40"/>
      <c r="F199" s="40"/>
      <c r="G199" s="40"/>
      <c r="H199" s="40"/>
      <c r="I199" s="40"/>
    </row>
    <row r="200" spans="1:9">
      <c r="A200" s="40"/>
      <c r="B200" s="40"/>
      <c r="C200" s="40"/>
      <c r="D200" s="40"/>
      <c r="E200" s="40"/>
      <c r="F200" s="40"/>
      <c r="G200" s="40"/>
      <c r="H200" s="40"/>
      <c r="I200" s="40"/>
    </row>
    <row r="201" spans="1:9">
      <c r="A201" s="40"/>
      <c r="B201" s="40"/>
      <c r="C201" s="40"/>
      <c r="D201" s="40"/>
      <c r="E201" s="40"/>
      <c r="F201" s="40"/>
      <c r="G201" s="40"/>
      <c r="H201" s="40"/>
      <c r="I201" s="40"/>
    </row>
    <row r="202" spans="1:9">
      <c r="A202" s="40"/>
      <c r="B202" s="40"/>
      <c r="C202" s="40"/>
      <c r="D202" s="40"/>
      <c r="E202" s="40"/>
      <c r="F202" s="40"/>
      <c r="G202" s="40"/>
      <c r="H202" s="40"/>
      <c r="I202" s="40"/>
    </row>
  </sheetData>
  <mergeCells count="55">
    <mergeCell ref="H139:H148"/>
    <mergeCell ref="H149:H158"/>
    <mergeCell ref="I139:I158"/>
    <mergeCell ref="H120:H124"/>
    <mergeCell ref="H125:H130"/>
    <mergeCell ref="H131:H132"/>
    <mergeCell ref="H133:H137"/>
    <mergeCell ref="I133:I137"/>
    <mergeCell ref="I125:I130"/>
    <mergeCell ref="I131:I132"/>
    <mergeCell ref="I120:I124"/>
    <mergeCell ref="I116:I119"/>
    <mergeCell ref="H116:H119"/>
    <mergeCell ref="I106:I111"/>
    <mergeCell ref="H106:H107"/>
    <mergeCell ref="H108:H111"/>
    <mergeCell ref="I81:I83"/>
    <mergeCell ref="H81:H82"/>
    <mergeCell ref="I84:I91"/>
    <mergeCell ref="H84:H91"/>
    <mergeCell ref="I102:I104"/>
    <mergeCell ref="H92:H95"/>
    <mergeCell ref="I92:I95"/>
    <mergeCell ref="H96:H97"/>
    <mergeCell ref="I96:I97"/>
    <mergeCell ref="H98:H100"/>
    <mergeCell ref="I98:I100"/>
    <mergeCell ref="H102:H104"/>
    <mergeCell ref="I57:I64"/>
    <mergeCell ref="H65:H66"/>
    <mergeCell ref="I65:I66"/>
    <mergeCell ref="H67:H80"/>
    <mergeCell ref="I67:I80"/>
    <mergeCell ref="H57:H64"/>
    <mergeCell ref="H3:H6"/>
    <mergeCell ref="I7:I12"/>
    <mergeCell ref="I3:I6"/>
    <mergeCell ref="H14:H16"/>
    <mergeCell ref="I14:I16"/>
    <mergeCell ref="O10:O12"/>
    <mergeCell ref="H42:H52"/>
    <mergeCell ref="I42:I52"/>
    <mergeCell ref="H53:H56"/>
    <mergeCell ref="I53:I56"/>
    <mergeCell ref="H7:H12"/>
    <mergeCell ref="H23:H24"/>
    <mergeCell ref="H25:H28"/>
    <mergeCell ref="I20:I22"/>
    <mergeCell ref="I23:I24"/>
    <mergeCell ref="I25:I28"/>
    <mergeCell ref="I29:I31"/>
    <mergeCell ref="H29:H31"/>
    <mergeCell ref="H20:H22"/>
    <mergeCell ref="H32:H41"/>
    <mergeCell ref="I32:I41"/>
  </mergeCells>
  <pageMargins left="0.7" right="0.7" top="0.75" bottom="0.75" header="0.3" footer="0.3"/>
  <pageSetup paperSize="9"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186"/>
  <sheetViews>
    <sheetView topLeftCell="A76" workbookViewId="0">
      <selection activeCell="P23" sqref="P23"/>
    </sheetView>
  </sheetViews>
  <sheetFormatPr defaultRowHeight="15"/>
  <cols>
    <col min="2" max="2" width="73.85546875" customWidth="1"/>
    <col min="3" max="3" width="19" customWidth="1"/>
    <col min="4" max="4" width="9.5703125" customWidth="1"/>
    <col min="6" max="6" width="16.5703125" customWidth="1"/>
    <col min="7" max="7" width="18.28515625" customWidth="1"/>
    <col min="8" max="8" width="15.85546875" customWidth="1"/>
    <col min="9" max="9" width="16.140625" customWidth="1"/>
    <col min="10" max="10" width="13.7109375" bestFit="1" customWidth="1"/>
    <col min="12" max="12" width="12.42578125" customWidth="1"/>
    <col min="13" max="13" width="18.140625" customWidth="1"/>
    <col min="14" max="14" width="16.42578125" customWidth="1"/>
    <col min="15" max="15" width="24" customWidth="1"/>
    <col min="16" max="16" width="7.28515625" customWidth="1"/>
    <col min="17" max="17" width="18" customWidth="1"/>
  </cols>
  <sheetData>
    <row r="1" spans="1:17">
      <c r="A1" s="1" t="s">
        <v>0</v>
      </c>
      <c r="C1" s="2"/>
      <c r="D1" s="2"/>
      <c r="E1" s="2"/>
      <c r="F1" s="3"/>
      <c r="G1" s="3"/>
      <c r="H1" s="3"/>
      <c r="K1" s="4" t="s">
        <v>911</v>
      </c>
      <c r="L1" s="5"/>
      <c r="M1" s="5"/>
      <c r="N1" s="3"/>
    </row>
    <row r="2" spans="1:17" ht="30">
      <c r="A2" s="6" t="s">
        <v>1</v>
      </c>
      <c r="B2" s="491" t="s">
        <v>2</v>
      </c>
      <c r="C2" s="491" t="s">
        <v>3</v>
      </c>
      <c r="D2" s="491" t="s">
        <v>4</v>
      </c>
      <c r="E2" s="491" t="s">
        <v>5</v>
      </c>
      <c r="F2" s="8" t="s">
        <v>6</v>
      </c>
      <c r="G2" s="9" t="s">
        <v>7</v>
      </c>
      <c r="H2" s="8" t="s">
        <v>8</v>
      </c>
      <c r="I2" s="491" t="s">
        <v>9</v>
      </c>
      <c r="K2" s="10" t="s">
        <v>10</v>
      </c>
      <c r="L2" s="11" t="s">
        <v>11</v>
      </c>
      <c r="M2" s="6" t="s">
        <v>12</v>
      </c>
      <c r="N2" s="9" t="s">
        <v>13</v>
      </c>
      <c r="O2" s="491" t="s">
        <v>9</v>
      </c>
    </row>
    <row r="3" spans="1:17">
      <c r="A3" s="66">
        <v>44473</v>
      </c>
      <c r="B3" s="40" t="s">
        <v>1099</v>
      </c>
      <c r="C3" s="67" t="s">
        <v>280</v>
      </c>
      <c r="D3" s="67">
        <v>1</v>
      </c>
      <c r="E3" s="67" t="s">
        <v>26</v>
      </c>
      <c r="F3" s="65">
        <v>0</v>
      </c>
      <c r="G3" s="65">
        <v>0</v>
      </c>
      <c r="H3" s="124">
        <v>0</v>
      </c>
      <c r="I3" s="124"/>
      <c r="J3" s="18"/>
      <c r="K3" s="30">
        <v>1</v>
      </c>
      <c r="L3" s="392">
        <v>44438</v>
      </c>
      <c r="M3" s="393" t="s">
        <v>164</v>
      </c>
      <c r="N3" s="586">
        <v>7975000</v>
      </c>
      <c r="O3" s="599" t="s">
        <v>1180</v>
      </c>
    </row>
    <row r="4" spans="1:17">
      <c r="A4" s="66">
        <v>44474</v>
      </c>
      <c r="B4" s="40" t="s">
        <v>1100</v>
      </c>
      <c r="C4" s="67" t="s">
        <v>97</v>
      </c>
      <c r="D4" s="67">
        <v>50</v>
      </c>
      <c r="E4" s="67" t="s">
        <v>26</v>
      </c>
      <c r="F4" s="65">
        <v>300000</v>
      </c>
      <c r="G4" s="65">
        <f>F4*D4</f>
        <v>15000000</v>
      </c>
      <c r="H4" s="124">
        <f>SUM(G4)</f>
        <v>15000000</v>
      </c>
      <c r="I4" s="581" t="s">
        <v>122</v>
      </c>
      <c r="J4" s="19"/>
      <c r="K4" s="12">
        <v>2</v>
      </c>
      <c r="L4" s="544">
        <v>44441</v>
      </c>
      <c r="M4" s="535" t="s">
        <v>49</v>
      </c>
      <c r="N4" s="545">
        <v>4750000</v>
      </c>
      <c r="O4" s="557" t="s">
        <v>1047</v>
      </c>
    </row>
    <row r="5" spans="1:17">
      <c r="A5" s="66">
        <v>44474</v>
      </c>
      <c r="B5" s="40" t="s">
        <v>1101</v>
      </c>
      <c r="C5" s="67" t="s">
        <v>60</v>
      </c>
      <c r="D5" s="67">
        <v>1</v>
      </c>
      <c r="E5" s="67" t="s">
        <v>546</v>
      </c>
      <c r="F5" s="65">
        <v>0</v>
      </c>
      <c r="G5" s="65">
        <f t="shared" ref="G5:G69" si="0">F5*D5</f>
        <v>0</v>
      </c>
      <c r="H5" s="124">
        <v>0</v>
      </c>
      <c r="I5" s="581" t="s">
        <v>205</v>
      </c>
      <c r="J5" s="20"/>
      <c r="K5" s="15">
        <v>3</v>
      </c>
      <c r="L5" s="392">
        <v>44442</v>
      </c>
      <c r="M5" s="393" t="s">
        <v>164</v>
      </c>
      <c r="N5" s="586">
        <v>4945000</v>
      </c>
      <c r="O5" s="599" t="s">
        <v>1180</v>
      </c>
    </row>
    <row r="6" spans="1:17">
      <c r="A6" s="66">
        <v>44476</v>
      </c>
      <c r="B6" s="40" t="s">
        <v>1105</v>
      </c>
      <c r="C6" s="67" t="s">
        <v>49</v>
      </c>
      <c r="D6" s="67">
        <v>22</v>
      </c>
      <c r="E6" s="67" t="s">
        <v>26</v>
      </c>
      <c r="F6" s="65">
        <v>120000</v>
      </c>
      <c r="G6" s="65">
        <f t="shared" si="0"/>
        <v>2640000</v>
      </c>
      <c r="H6" s="1004">
        <f>SUM(G6:G9)</f>
        <v>12490000</v>
      </c>
      <c r="I6" s="1004" t="s">
        <v>122</v>
      </c>
      <c r="J6" s="14"/>
      <c r="K6" s="30">
        <v>4</v>
      </c>
      <c r="L6" s="392">
        <v>44443</v>
      </c>
      <c r="M6" s="393" t="s">
        <v>164</v>
      </c>
      <c r="N6" s="211">
        <v>1750000</v>
      </c>
      <c r="O6" s="599" t="s">
        <v>1180</v>
      </c>
      <c r="Q6" s="142">
        <f>N8+N14</f>
        <v>32180000</v>
      </c>
    </row>
    <row r="7" spans="1:17">
      <c r="A7" s="40"/>
      <c r="B7" s="40" t="s">
        <v>1106</v>
      </c>
      <c r="C7" s="67" t="s">
        <v>49</v>
      </c>
      <c r="D7" s="67">
        <v>1</v>
      </c>
      <c r="E7" s="67" t="s">
        <v>26</v>
      </c>
      <c r="F7" s="65">
        <v>1450000</v>
      </c>
      <c r="G7" s="65">
        <f t="shared" si="0"/>
        <v>1450000</v>
      </c>
      <c r="H7" s="1004"/>
      <c r="I7" s="1004"/>
      <c r="J7" s="14"/>
      <c r="K7" s="12">
        <v>5</v>
      </c>
      <c r="L7" s="392">
        <v>44445</v>
      </c>
      <c r="M7" s="393" t="s">
        <v>164</v>
      </c>
      <c r="N7" s="211">
        <v>6095000</v>
      </c>
      <c r="O7" s="599" t="s">
        <v>1180</v>
      </c>
      <c r="Q7" s="349"/>
    </row>
    <row r="8" spans="1:17">
      <c r="A8" s="66"/>
      <c r="B8" s="40" t="s">
        <v>927</v>
      </c>
      <c r="C8" s="67" t="s">
        <v>49</v>
      </c>
      <c r="D8" s="67">
        <v>10</v>
      </c>
      <c r="E8" s="67" t="s">
        <v>26</v>
      </c>
      <c r="F8" s="65">
        <v>420000</v>
      </c>
      <c r="G8" s="65">
        <f t="shared" si="0"/>
        <v>4200000</v>
      </c>
      <c r="H8" s="1004"/>
      <c r="I8" s="1004"/>
      <c r="J8" s="14"/>
      <c r="K8" s="15">
        <v>6</v>
      </c>
      <c r="L8" s="306">
        <v>44446</v>
      </c>
      <c r="M8" s="307" t="s">
        <v>49</v>
      </c>
      <c r="N8" s="308">
        <v>15300000</v>
      </c>
      <c r="O8" s="339" t="s">
        <v>1180</v>
      </c>
    </row>
    <row r="9" spans="1:17">
      <c r="A9" s="40"/>
      <c r="B9" s="40" t="s">
        <v>1107</v>
      </c>
      <c r="C9" s="67" t="s">
        <v>49</v>
      </c>
      <c r="D9" s="67">
        <v>10</v>
      </c>
      <c r="E9" s="67" t="s">
        <v>26</v>
      </c>
      <c r="F9" s="65">
        <v>420000</v>
      </c>
      <c r="G9" s="65">
        <f t="shared" si="0"/>
        <v>4200000</v>
      </c>
      <c r="H9" s="1004"/>
      <c r="I9" s="1004"/>
      <c r="J9" s="14"/>
      <c r="K9" s="30">
        <v>7</v>
      </c>
      <c r="L9" s="61">
        <v>44446</v>
      </c>
      <c r="M9" s="52" t="s">
        <v>33</v>
      </c>
      <c r="N9" s="53">
        <v>7200000</v>
      </c>
      <c r="O9" s="244" t="s">
        <v>1232</v>
      </c>
    </row>
    <row r="10" spans="1:17">
      <c r="A10" s="21"/>
      <c r="B10" s="21" t="s">
        <v>1108</v>
      </c>
      <c r="C10" s="67" t="s">
        <v>49</v>
      </c>
      <c r="D10" s="41">
        <v>2</v>
      </c>
      <c r="E10" s="67" t="s">
        <v>26</v>
      </c>
      <c r="F10" s="65">
        <v>1750000</v>
      </c>
      <c r="G10" s="65">
        <f t="shared" si="0"/>
        <v>3500000</v>
      </c>
      <c r="H10" s="1004">
        <f>SUM(G10:G13)</f>
        <v>10400000</v>
      </c>
      <c r="I10" s="1004" t="s">
        <v>67</v>
      </c>
      <c r="J10" s="14"/>
      <c r="K10" s="12">
        <v>8</v>
      </c>
      <c r="L10" s="392">
        <v>44446</v>
      </c>
      <c r="M10" s="393" t="s">
        <v>164</v>
      </c>
      <c r="N10" s="211">
        <v>9740000</v>
      </c>
      <c r="O10" s="599" t="s">
        <v>1180</v>
      </c>
      <c r="Q10" s="142"/>
    </row>
    <row r="11" spans="1:17">
      <c r="A11" s="21"/>
      <c r="B11" s="21" t="s">
        <v>1109</v>
      </c>
      <c r="C11" s="67" t="s">
        <v>49</v>
      </c>
      <c r="D11" s="41">
        <v>1</v>
      </c>
      <c r="E11" s="67" t="s">
        <v>26</v>
      </c>
      <c r="F11" s="65">
        <v>1700000</v>
      </c>
      <c r="G11" s="65">
        <f t="shared" si="0"/>
        <v>1700000</v>
      </c>
      <c r="H11" s="1004"/>
      <c r="I11" s="1004"/>
      <c r="J11" s="14"/>
      <c r="K11" s="15">
        <v>9</v>
      </c>
      <c r="L11" s="175">
        <v>44446</v>
      </c>
      <c r="M11" s="174" t="s">
        <v>510</v>
      </c>
      <c r="N11" s="161">
        <v>11181000</v>
      </c>
      <c r="O11" s="998" t="s">
        <v>1430</v>
      </c>
      <c r="Q11" s="142"/>
    </row>
    <row r="12" spans="1:17">
      <c r="A12" s="21"/>
      <c r="B12" s="21" t="s">
        <v>1110</v>
      </c>
      <c r="C12" s="67" t="s">
        <v>49</v>
      </c>
      <c r="D12" s="41">
        <v>2</v>
      </c>
      <c r="E12" s="67" t="s">
        <v>26</v>
      </c>
      <c r="F12" s="24">
        <v>1650000</v>
      </c>
      <c r="G12" s="65">
        <f t="shared" si="0"/>
        <v>3300000</v>
      </c>
      <c r="H12" s="1004"/>
      <c r="I12" s="1004"/>
      <c r="J12" s="14"/>
      <c r="K12" s="30">
        <v>10</v>
      </c>
      <c r="L12" s="175">
        <v>44446</v>
      </c>
      <c r="M12" s="174" t="s">
        <v>510</v>
      </c>
      <c r="N12" s="161">
        <v>5800000</v>
      </c>
      <c r="O12" s="999"/>
      <c r="Q12" s="142"/>
    </row>
    <row r="13" spans="1:17">
      <c r="A13" s="23"/>
      <c r="B13" s="21" t="s">
        <v>1111</v>
      </c>
      <c r="C13" s="67" t="s">
        <v>49</v>
      </c>
      <c r="D13" s="41">
        <v>2</v>
      </c>
      <c r="E13" s="67" t="s">
        <v>26</v>
      </c>
      <c r="F13" s="24">
        <v>950000</v>
      </c>
      <c r="G13" s="65">
        <f t="shared" si="0"/>
        <v>1900000</v>
      </c>
      <c r="H13" s="1004"/>
      <c r="I13" s="1004"/>
      <c r="J13" s="14"/>
      <c r="K13" s="12">
        <v>11</v>
      </c>
      <c r="L13" s="175">
        <v>44446</v>
      </c>
      <c r="M13" s="174" t="s">
        <v>510</v>
      </c>
      <c r="N13" s="161">
        <v>6910000</v>
      </c>
      <c r="O13" s="1000"/>
      <c r="Q13" s="142"/>
    </row>
    <row r="14" spans="1:17">
      <c r="A14" s="21"/>
      <c r="B14" s="21" t="s">
        <v>47</v>
      </c>
      <c r="C14" s="67" t="s">
        <v>49</v>
      </c>
      <c r="D14" s="41">
        <v>10</v>
      </c>
      <c r="E14" s="67" t="s">
        <v>26</v>
      </c>
      <c r="F14" s="24">
        <v>400000</v>
      </c>
      <c r="G14" s="65">
        <f t="shared" si="0"/>
        <v>4000000</v>
      </c>
      <c r="H14" s="1004">
        <f>SUM(G14:G17)</f>
        <v>16000000</v>
      </c>
      <c r="I14" s="1004" t="s">
        <v>35</v>
      </c>
      <c r="J14" s="14"/>
      <c r="K14" s="15">
        <v>12</v>
      </c>
      <c r="L14" s="306">
        <v>44449</v>
      </c>
      <c r="M14" s="307" t="s">
        <v>49</v>
      </c>
      <c r="N14" s="308">
        <v>16880000</v>
      </c>
      <c r="O14" s="339" t="s">
        <v>1180</v>
      </c>
    </row>
    <row r="15" spans="1:17">
      <c r="A15" s="21"/>
      <c r="B15" s="21" t="s">
        <v>44</v>
      </c>
      <c r="C15" s="67" t="s">
        <v>49</v>
      </c>
      <c r="D15" s="41">
        <v>10</v>
      </c>
      <c r="E15" s="67" t="s">
        <v>26</v>
      </c>
      <c r="F15" s="24">
        <v>400000</v>
      </c>
      <c r="G15" s="65">
        <f t="shared" si="0"/>
        <v>4000000</v>
      </c>
      <c r="H15" s="1004"/>
      <c r="I15" s="1004"/>
      <c r="J15" s="14"/>
      <c r="K15" s="30">
        <v>13</v>
      </c>
      <c r="L15" s="392">
        <v>44452</v>
      </c>
      <c r="M15" s="393" t="s">
        <v>164</v>
      </c>
      <c r="N15" s="211">
        <v>2815000</v>
      </c>
      <c r="O15" s="599" t="s">
        <v>1180</v>
      </c>
    </row>
    <row r="16" spans="1:17">
      <c r="A16" s="21"/>
      <c r="B16" s="21" t="s">
        <v>45</v>
      </c>
      <c r="C16" s="67" t="s">
        <v>49</v>
      </c>
      <c r="D16" s="41">
        <v>10</v>
      </c>
      <c r="E16" s="67" t="s">
        <v>26</v>
      </c>
      <c r="F16" s="24">
        <v>400000</v>
      </c>
      <c r="G16" s="65">
        <f t="shared" si="0"/>
        <v>4000000</v>
      </c>
      <c r="H16" s="1004"/>
      <c r="I16" s="1004"/>
      <c r="J16" s="14"/>
      <c r="K16" s="12">
        <v>14</v>
      </c>
      <c r="L16" s="388">
        <v>44464</v>
      </c>
      <c r="M16" s="389" t="s">
        <v>712</v>
      </c>
      <c r="N16" s="404">
        <v>4500000</v>
      </c>
      <c r="O16" s="387" t="s">
        <v>1502</v>
      </c>
      <c r="Q16" s="142"/>
    </row>
    <row r="17" spans="1:17">
      <c r="A17" s="21"/>
      <c r="B17" s="21" t="s">
        <v>46</v>
      </c>
      <c r="C17" s="67" t="s">
        <v>49</v>
      </c>
      <c r="D17" s="41">
        <v>10</v>
      </c>
      <c r="E17" s="67" t="s">
        <v>26</v>
      </c>
      <c r="F17" s="24">
        <v>400000</v>
      </c>
      <c r="G17" s="65">
        <f t="shared" si="0"/>
        <v>4000000</v>
      </c>
      <c r="H17" s="1004"/>
      <c r="I17" s="1004"/>
      <c r="J17" s="14"/>
      <c r="K17" s="15">
        <v>15</v>
      </c>
      <c r="L17" s="371">
        <v>44487</v>
      </c>
      <c r="M17" s="203" t="s">
        <v>28</v>
      </c>
      <c r="N17" s="205">
        <v>5400000</v>
      </c>
      <c r="O17" s="386" t="s">
        <v>1180</v>
      </c>
    </row>
    <row r="18" spans="1:17">
      <c r="A18" s="23">
        <v>44476</v>
      </c>
      <c r="B18" s="21" t="s">
        <v>1112</v>
      </c>
      <c r="C18" s="25" t="s">
        <v>280</v>
      </c>
      <c r="D18" s="41">
        <v>1</v>
      </c>
      <c r="E18" s="41" t="s">
        <v>26</v>
      </c>
      <c r="F18" s="24">
        <v>0</v>
      </c>
      <c r="G18" s="65">
        <f t="shared" si="0"/>
        <v>0</v>
      </c>
      <c r="H18" s="24">
        <v>0</v>
      </c>
      <c r="I18" s="21"/>
      <c r="J18" s="14"/>
      <c r="K18" s="30">
        <v>16</v>
      </c>
      <c r="L18" s="371">
        <v>44494</v>
      </c>
      <c r="M18" s="203" t="s">
        <v>28</v>
      </c>
      <c r="N18" s="205">
        <v>4830000</v>
      </c>
      <c r="O18" s="386" t="s">
        <v>1180</v>
      </c>
    </row>
    <row r="19" spans="1:17">
      <c r="A19" s="163">
        <v>44477</v>
      </c>
      <c r="B19" s="159" t="s">
        <v>1113</v>
      </c>
      <c r="C19" s="174" t="s">
        <v>1504</v>
      </c>
      <c r="D19" s="160">
        <v>3</v>
      </c>
      <c r="E19" s="160" t="s">
        <v>26</v>
      </c>
      <c r="F19" s="161">
        <v>450000</v>
      </c>
      <c r="G19" s="172">
        <f t="shared" si="0"/>
        <v>1350000</v>
      </c>
      <c r="H19" s="672">
        <f>SUM(G19:G20)</f>
        <v>2205000</v>
      </c>
      <c r="I19" s="675" t="s">
        <v>122</v>
      </c>
      <c r="J19" s="14"/>
      <c r="K19" s="411">
        <v>17</v>
      </c>
      <c r="L19" s="63">
        <v>44480</v>
      </c>
      <c r="M19" s="25" t="s">
        <v>96</v>
      </c>
      <c r="N19" s="24">
        <v>8500000</v>
      </c>
      <c r="O19" s="21" t="s">
        <v>1505</v>
      </c>
      <c r="P19" s="21"/>
    </row>
    <row r="20" spans="1:17">
      <c r="A20" s="159"/>
      <c r="B20" s="159" t="s">
        <v>1114</v>
      </c>
      <c r="C20" s="174" t="s">
        <v>1504</v>
      </c>
      <c r="D20" s="160">
        <v>3</v>
      </c>
      <c r="E20" s="160" t="s">
        <v>26</v>
      </c>
      <c r="F20" s="161">
        <v>285000</v>
      </c>
      <c r="G20" s="172">
        <f t="shared" si="0"/>
        <v>855000</v>
      </c>
      <c r="H20" s="674"/>
      <c r="I20" s="677"/>
      <c r="J20" s="14"/>
      <c r="K20" s="15"/>
      <c r="L20" s="63"/>
      <c r="M20" s="25"/>
      <c r="N20" s="24"/>
      <c r="O20" s="21"/>
    </row>
    <row r="21" spans="1:17">
      <c r="A21" s="163">
        <v>44477</v>
      </c>
      <c r="B21" s="159" t="s">
        <v>1115</v>
      </c>
      <c r="C21" s="174" t="s">
        <v>1504</v>
      </c>
      <c r="D21" s="160">
        <v>6</v>
      </c>
      <c r="E21" s="160" t="s">
        <v>26</v>
      </c>
      <c r="F21" s="161">
        <v>250000</v>
      </c>
      <c r="G21" s="161">
        <f t="shared" si="0"/>
        <v>1500000</v>
      </c>
      <c r="H21" s="161">
        <v>1500000</v>
      </c>
      <c r="I21" s="174" t="s">
        <v>1116</v>
      </c>
      <c r="J21" s="14"/>
      <c r="K21" s="30"/>
      <c r="L21" s="63"/>
      <c r="M21" s="25"/>
      <c r="N21" s="24"/>
      <c r="O21" s="21"/>
    </row>
    <row r="22" spans="1:17">
      <c r="A22" s="23">
        <v>44477</v>
      </c>
      <c r="B22" s="21" t="s">
        <v>1117</v>
      </c>
      <c r="C22" s="25" t="s">
        <v>49</v>
      </c>
      <c r="D22" s="41">
        <v>2</v>
      </c>
      <c r="E22" s="41" t="s">
        <v>26</v>
      </c>
      <c r="F22" s="24">
        <v>650000</v>
      </c>
      <c r="G22" s="24">
        <f t="shared" si="0"/>
        <v>1300000</v>
      </c>
      <c r="H22" s="1005">
        <f>SUM(G22:G30)</f>
        <v>9545000</v>
      </c>
      <c r="I22" s="1006" t="s">
        <v>67</v>
      </c>
      <c r="J22" s="36">
        <f>SUM(H22:H41)</f>
        <v>15975000</v>
      </c>
      <c r="K22" s="12"/>
      <c r="L22" s="63"/>
      <c r="M22" s="25"/>
      <c r="N22" s="24"/>
      <c r="O22" s="21"/>
    </row>
    <row r="23" spans="1:17">
      <c r="A23" s="21"/>
      <c r="B23" s="21" t="s">
        <v>1149</v>
      </c>
      <c r="C23" s="25" t="s">
        <v>49</v>
      </c>
      <c r="D23" s="41">
        <v>11</v>
      </c>
      <c r="E23" s="41" t="s">
        <v>26</v>
      </c>
      <c r="F23" s="24">
        <v>120000</v>
      </c>
      <c r="G23" s="24">
        <f t="shared" si="0"/>
        <v>1320000</v>
      </c>
      <c r="H23" s="1005"/>
      <c r="I23" s="1006"/>
      <c r="J23" s="14"/>
      <c r="K23" s="15"/>
      <c r="L23" s="63"/>
      <c r="M23" s="25"/>
      <c r="N23" s="24"/>
      <c r="O23" s="21"/>
    </row>
    <row r="24" spans="1:17">
      <c r="A24" s="40"/>
      <c r="B24" s="32" t="s">
        <v>1118</v>
      </c>
      <c r="C24" s="25" t="s">
        <v>49</v>
      </c>
      <c r="D24" s="67">
        <v>9</v>
      </c>
      <c r="E24" s="41" t="s">
        <v>26</v>
      </c>
      <c r="F24" s="364">
        <v>500000</v>
      </c>
      <c r="G24" s="24">
        <f t="shared" si="0"/>
        <v>4500000</v>
      </c>
      <c r="H24" s="1005"/>
      <c r="I24" s="1006"/>
      <c r="J24" s="142"/>
      <c r="K24" s="14"/>
      <c r="L24" s="39"/>
      <c r="M24" s="39"/>
      <c r="N24" s="14"/>
      <c r="O24" s="14"/>
    </row>
    <row r="25" spans="1:17">
      <c r="A25" s="40"/>
      <c r="B25" s="73" t="s">
        <v>1119</v>
      </c>
      <c r="C25" s="52" t="s">
        <v>49</v>
      </c>
      <c r="D25" s="82">
        <v>15</v>
      </c>
      <c r="E25" s="74" t="s">
        <v>26</v>
      </c>
      <c r="F25" s="636">
        <v>10000</v>
      </c>
      <c r="G25" s="24">
        <f t="shared" si="0"/>
        <v>150000</v>
      </c>
      <c r="H25" s="1005"/>
      <c r="I25" s="1006"/>
      <c r="K25" s="14"/>
      <c r="L25" s="39"/>
      <c r="M25" s="39"/>
      <c r="N25" s="22">
        <f>SUM(N3:N24)</f>
        <v>124571000</v>
      </c>
      <c r="O25" s="14"/>
      <c r="Q25" t="s">
        <v>1178</v>
      </c>
    </row>
    <row r="26" spans="1:17">
      <c r="A26" s="40"/>
      <c r="B26" s="40" t="s">
        <v>1120</v>
      </c>
      <c r="C26" s="25" t="s">
        <v>49</v>
      </c>
      <c r="D26" s="67">
        <v>10</v>
      </c>
      <c r="E26" s="41" t="s">
        <v>26</v>
      </c>
      <c r="F26" s="364">
        <v>22500</v>
      </c>
      <c r="G26" s="24">
        <f t="shared" si="0"/>
        <v>225000</v>
      </c>
      <c r="H26" s="1005"/>
      <c r="I26" s="1006"/>
      <c r="J26" s="142"/>
    </row>
    <row r="27" spans="1:17">
      <c r="A27" s="40"/>
      <c r="B27" s="40" t="s">
        <v>1121</v>
      </c>
      <c r="C27" s="25" t="s">
        <v>49</v>
      </c>
      <c r="D27" s="67">
        <v>10</v>
      </c>
      <c r="E27" s="41" t="s">
        <v>26</v>
      </c>
      <c r="F27" s="364">
        <v>25000</v>
      </c>
      <c r="G27" s="24">
        <f t="shared" si="0"/>
        <v>250000</v>
      </c>
      <c r="H27" s="1005"/>
      <c r="I27" s="1006"/>
      <c r="M27" t="s">
        <v>912</v>
      </c>
    </row>
    <row r="28" spans="1:17">
      <c r="A28" s="40"/>
      <c r="B28" s="40" t="s">
        <v>1122</v>
      </c>
      <c r="C28" s="25" t="s">
        <v>49</v>
      </c>
      <c r="D28" s="67">
        <v>5</v>
      </c>
      <c r="E28" s="41" t="s">
        <v>26</v>
      </c>
      <c r="F28" s="364">
        <v>45000</v>
      </c>
      <c r="G28" s="24">
        <f t="shared" si="0"/>
        <v>225000</v>
      </c>
      <c r="H28" s="1005"/>
      <c r="I28" s="1006"/>
    </row>
    <row r="29" spans="1:17">
      <c r="A29" s="40"/>
      <c r="B29" s="40" t="s">
        <v>1123</v>
      </c>
      <c r="C29" s="25" t="s">
        <v>49</v>
      </c>
      <c r="D29" s="67">
        <v>15</v>
      </c>
      <c r="E29" s="41" t="s">
        <v>26</v>
      </c>
      <c r="F29" s="364">
        <v>45000</v>
      </c>
      <c r="G29" s="24">
        <f t="shared" si="0"/>
        <v>675000</v>
      </c>
      <c r="H29" s="1005"/>
      <c r="I29" s="1006"/>
    </row>
    <row r="30" spans="1:17">
      <c r="A30" s="40"/>
      <c r="B30" s="40" t="s">
        <v>1124</v>
      </c>
      <c r="C30" s="25" t="s">
        <v>49</v>
      </c>
      <c r="D30" s="67">
        <v>20</v>
      </c>
      <c r="E30" s="41" t="s">
        <v>26</v>
      </c>
      <c r="F30" s="364">
        <v>45000</v>
      </c>
      <c r="G30" s="24">
        <f t="shared" si="0"/>
        <v>900000</v>
      </c>
      <c r="H30" s="1005"/>
      <c r="I30" s="1006"/>
    </row>
    <row r="31" spans="1:17">
      <c r="A31" s="40"/>
      <c r="B31" s="40" t="s">
        <v>1125</v>
      </c>
      <c r="C31" s="25" t="s">
        <v>49</v>
      </c>
      <c r="D31" s="67">
        <v>8</v>
      </c>
      <c r="E31" s="41" t="s">
        <v>26</v>
      </c>
      <c r="F31" s="364">
        <v>45000</v>
      </c>
      <c r="G31" s="24">
        <f t="shared" si="0"/>
        <v>360000</v>
      </c>
      <c r="H31" s="1005">
        <f>SUM(G31:G41)</f>
        <v>6430000</v>
      </c>
      <c r="I31" s="1006" t="s">
        <v>35</v>
      </c>
    </row>
    <row r="32" spans="1:17">
      <c r="A32" s="40"/>
      <c r="B32" s="40" t="s">
        <v>1126</v>
      </c>
      <c r="C32" s="25" t="s">
        <v>49</v>
      </c>
      <c r="D32" s="67">
        <v>20</v>
      </c>
      <c r="E32" s="41" t="s">
        <v>26</v>
      </c>
      <c r="F32" s="364">
        <v>45000</v>
      </c>
      <c r="G32" s="24">
        <f t="shared" si="0"/>
        <v>900000</v>
      </c>
      <c r="H32" s="1005"/>
      <c r="I32" s="1006"/>
    </row>
    <row r="33" spans="1:10">
      <c r="A33" s="40"/>
      <c r="B33" s="40" t="s">
        <v>1127</v>
      </c>
      <c r="C33" s="25" t="s">
        <v>49</v>
      </c>
      <c r="D33" s="67">
        <v>20</v>
      </c>
      <c r="E33" s="41" t="s">
        <v>26</v>
      </c>
      <c r="F33" s="364">
        <v>45000</v>
      </c>
      <c r="G33" s="24">
        <f t="shared" si="0"/>
        <v>900000</v>
      </c>
      <c r="H33" s="1005"/>
      <c r="I33" s="1006"/>
    </row>
    <row r="34" spans="1:10">
      <c r="A34" s="40"/>
      <c r="B34" s="40" t="s">
        <v>1128</v>
      </c>
      <c r="C34" s="25" t="s">
        <v>49</v>
      </c>
      <c r="D34" s="67">
        <v>5</v>
      </c>
      <c r="E34" s="41" t="s">
        <v>26</v>
      </c>
      <c r="F34" s="364">
        <v>95000</v>
      </c>
      <c r="G34" s="24">
        <f t="shared" si="0"/>
        <v>475000</v>
      </c>
      <c r="H34" s="1005"/>
      <c r="I34" s="1006"/>
    </row>
    <row r="35" spans="1:10">
      <c r="A35" s="40"/>
      <c r="B35" s="40" t="s">
        <v>1129</v>
      </c>
      <c r="C35" s="25" t="s">
        <v>49</v>
      </c>
      <c r="D35" s="67">
        <v>10</v>
      </c>
      <c r="E35" s="41" t="s">
        <v>26</v>
      </c>
      <c r="F35" s="364">
        <v>45000</v>
      </c>
      <c r="G35" s="24">
        <f t="shared" si="0"/>
        <v>450000</v>
      </c>
      <c r="H35" s="1005"/>
      <c r="I35" s="1006"/>
    </row>
    <row r="36" spans="1:10">
      <c r="A36" s="40"/>
      <c r="B36" s="40" t="s">
        <v>1130</v>
      </c>
      <c r="C36" s="25" t="s">
        <v>49</v>
      </c>
      <c r="D36" s="67">
        <v>10</v>
      </c>
      <c r="E36" s="41" t="s">
        <v>26</v>
      </c>
      <c r="F36" s="364">
        <v>45000</v>
      </c>
      <c r="G36" s="24">
        <f t="shared" si="0"/>
        <v>450000</v>
      </c>
      <c r="H36" s="1005"/>
      <c r="I36" s="1006"/>
    </row>
    <row r="37" spans="1:10">
      <c r="A37" s="40"/>
      <c r="B37" s="40" t="s">
        <v>1131</v>
      </c>
      <c r="C37" s="25" t="s">
        <v>49</v>
      </c>
      <c r="D37" s="67">
        <v>10</v>
      </c>
      <c r="E37" s="41" t="s">
        <v>26</v>
      </c>
      <c r="F37" s="364">
        <v>45000</v>
      </c>
      <c r="G37" s="24">
        <f t="shared" si="0"/>
        <v>450000</v>
      </c>
      <c r="H37" s="1005"/>
      <c r="I37" s="1006"/>
    </row>
    <row r="38" spans="1:10">
      <c r="A38" s="40"/>
      <c r="B38" s="40" t="s">
        <v>1132</v>
      </c>
      <c r="C38" s="25" t="s">
        <v>49</v>
      </c>
      <c r="D38" s="67">
        <v>15</v>
      </c>
      <c r="E38" s="41" t="s">
        <v>26</v>
      </c>
      <c r="F38" s="364">
        <v>145000</v>
      </c>
      <c r="G38" s="24">
        <f t="shared" si="0"/>
        <v>2175000</v>
      </c>
      <c r="H38" s="1005"/>
      <c r="I38" s="1006"/>
    </row>
    <row r="39" spans="1:10">
      <c r="A39" s="40"/>
      <c r="B39" s="40" t="s">
        <v>1133</v>
      </c>
      <c r="C39" s="25" t="s">
        <v>49</v>
      </c>
      <c r="D39" s="67">
        <v>7</v>
      </c>
      <c r="E39" s="41" t="s">
        <v>26</v>
      </c>
      <c r="F39" s="364">
        <v>0</v>
      </c>
      <c r="G39" s="24">
        <f t="shared" si="0"/>
        <v>0</v>
      </c>
      <c r="H39" s="1005"/>
      <c r="I39" s="1006"/>
    </row>
    <row r="40" spans="1:10">
      <c r="A40" s="40"/>
      <c r="B40" s="40" t="s">
        <v>1134</v>
      </c>
      <c r="C40" s="25" t="s">
        <v>49</v>
      </c>
      <c r="D40" s="67">
        <v>3</v>
      </c>
      <c r="E40" s="41" t="s">
        <v>26</v>
      </c>
      <c r="F40" s="364">
        <v>45000</v>
      </c>
      <c r="G40" s="24">
        <f t="shared" si="0"/>
        <v>135000</v>
      </c>
      <c r="H40" s="1005"/>
      <c r="I40" s="1006"/>
    </row>
    <row r="41" spans="1:10">
      <c r="A41" s="40"/>
      <c r="B41" s="40" t="s">
        <v>1135</v>
      </c>
      <c r="C41" s="25" t="s">
        <v>49</v>
      </c>
      <c r="D41" s="67">
        <v>3</v>
      </c>
      <c r="E41" s="41" t="s">
        <v>26</v>
      </c>
      <c r="F41" s="364">
        <v>45000</v>
      </c>
      <c r="G41" s="24">
        <f t="shared" si="0"/>
        <v>135000</v>
      </c>
      <c r="H41" s="1005"/>
      <c r="I41" s="1006"/>
    </row>
    <row r="42" spans="1:10">
      <c r="A42" s="66">
        <v>44477</v>
      </c>
      <c r="B42" s="40" t="s">
        <v>1136</v>
      </c>
      <c r="C42" s="67" t="s">
        <v>49</v>
      </c>
      <c r="D42" s="67">
        <v>3</v>
      </c>
      <c r="E42" s="41" t="s">
        <v>26</v>
      </c>
      <c r="F42" s="364">
        <v>45000</v>
      </c>
      <c r="G42" s="364">
        <f t="shared" si="0"/>
        <v>135000</v>
      </c>
      <c r="H42" s="943">
        <f>SUM(G42:G55)</f>
        <v>19690000</v>
      </c>
      <c r="I42" s="808" t="s">
        <v>36</v>
      </c>
    </row>
    <row r="43" spans="1:10">
      <c r="A43" s="40"/>
      <c r="B43" s="40" t="s">
        <v>1137</v>
      </c>
      <c r="C43" s="67" t="s">
        <v>49</v>
      </c>
      <c r="D43" s="67">
        <v>4</v>
      </c>
      <c r="E43" s="41" t="s">
        <v>26</v>
      </c>
      <c r="F43" s="364">
        <v>250000</v>
      </c>
      <c r="G43" s="364">
        <f t="shared" si="0"/>
        <v>1000000</v>
      </c>
      <c r="H43" s="809"/>
      <c r="I43" s="809"/>
      <c r="J43" s="502">
        <f>SUM(G42:G47)</f>
        <v>11185000</v>
      </c>
    </row>
    <row r="44" spans="1:10">
      <c r="A44" s="40"/>
      <c r="B44" s="40" t="s">
        <v>1138</v>
      </c>
      <c r="C44" s="67" t="s">
        <v>49</v>
      </c>
      <c r="D44" s="67">
        <v>5</v>
      </c>
      <c r="E44" s="41" t="s">
        <v>26</v>
      </c>
      <c r="F44" s="364">
        <v>250000</v>
      </c>
      <c r="G44" s="364">
        <f t="shared" si="0"/>
        <v>1250000</v>
      </c>
      <c r="H44" s="809"/>
      <c r="I44" s="809"/>
    </row>
    <row r="45" spans="1:10">
      <c r="A45" s="40"/>
      <c r="B45" s="40" t="s">
        <v>1139</v>
      </c>
      <c r="C45" s="67" t="s">
        <v>49</v>
      </c>
      <c r="D45" s="67">
        <v>5</v>
      </c>
      <c r="E45" s="41" t="s">
        <v>26</v>
      </c>
      <c r="F45" s="364">
        <v>300000</v>
      </c>
      <c r="G45" s="364">
        <f t="shared" si="0"/>
        <v>1500000</v>
      </c>
      <c r="H45" s="809"/>
      <c r="I45" s="809"/>
    </row>
    <row r="46" spans="1:10">
      <c r="A46" s="40"/>
      <c r="B46" s="40" t="s">
        <v>1140</v>
      </c>
      <c r="C46" s="67" t="s">
        <v>49</v>
      </c>
      <c r="D46" s="67">
        <v>5</v>
      </c>
      <c r="E46" s="41" t="s">
        <v>134</v>
      </c>
      <c r="F46" s="364">
        <v>200000</v>
      </c>
      <c r="G46" s="364">
        <f t="shared" si="0"/>
        <v>1000000</v>
      </c>
      <c r="H46" s="809"/>
      <c r="I46" s="809"/>
    </row>
    <row r="47" spans="1:10">
      <c r="A47" s="40"/>
      <c r="B47" s="40" t="s">
        <v>1141</v>
      </c>
      <c r="C47" s="67" t="s">
        <v>49</v>
      </c>
      <c r="D47" s="67">
        <v>6</v>
      </c>
      <c r="E47" s="41" t="s">
        <v>26</v>
      </c>
      <c r="F47" s="364">
        <v>1050000</v>
      </c>
      <c r="G47" s="364">
        <f t="shared" si="0"/>
        <v>6300000</v>
      </c>
      <c r="H47" s="809"/>
      <c r="I47" s="809"/>
      <c r="J47" s="502">
        <f>SUM(G48:G55)</f>
        <v>8505000</v>
      </c>
    </row>
    <row r="48" spans="1:10">
      <c r="A48" s="40"/>
      <c r="B48" s="40" t="s">
        <v>1142</v>
      </c>
      <c r="C48" s="67" t="s">
        <v>49</v>
      </c>
      <c r="D48" s="67">
        <v>2</v>
      </c>
      <c r="E48" s="41" t="s">
        <v>26</v>
      </c>
      <c r="F48" s="364">
        <v>1050000</v>
      </c>
      <c r="G48" s="364">
        <f t="shared" si="0"/>
        <v>2100000</v>
      </c>
      <c r="H48" s="809"/>
      <c r="I48" s="809"/>
    </row>
    <row r="49" spans="1:9">
      <c r="A49" s="40"/>
      <c r="B49" s="40" t="s">
        <v>1143</v>
      </c>
      <c r="C49" s="67" t="s">
        <v>49</v>
      </c>
      <c r="D49" s="67">
        <v>5</v>
      </c>
      <c r="E49" s="41" t="s">
        <v>26</v>
      </c>
      <c r="F49" s="364">
        <v>500000</v>
      </c>
      <c r="G49" s="364">
        <f t="shared" si="0"/>
        <v>2500000</v>
      </c>
      <c r="H49" s="809"/>
      <c r="I49" s="809"/>
    </row>
    <row r="50" spans="1:9">
      <c r="A50" s="40"/>
      <c r="B50" s="40" t="s">
        <v>1503</v>
      </c>
      <c r="C50" s="67" t="s">
        <v>49</v>
      </c>
      <c r="D50" s="67">
        <v>10</v>
      </c>
      <c r="E50" s="41" t="s">
        <v>26</v>
      </c>
      <c r="F50" s="364">
        <v>37500</v>
      </c>
      <c r="G50" s="364">
        <f t="shared" si="0"/>
        <v>375000</v>
      </c>
      <c r="H50" s="809"/>
      <c r="I50" s="809"/>
    </row>
    <row r="51" spans="1:9">
      <c r="A51" s="40"/>
      <c r="B51" s="40" t="s">
        <v>1144</v>
      </c>
      <c r="C51" s="67" t="s">
        <v>49</v>
      </c>
      <c r="D51" s="67">
        <v>2</v>
      </c>
      <c r="E51" s="41" t="s">
        <v>26</v>
      </c>
      <c r="F51" s="364">
        <v>125000</v>
      </c>
      <c r="G51" s="364">
        <f t="shared" si="0"/>
        <v>250000</v>
      </c>
      <c r="H51" s="809"/>
      <c r="I51" s="809"/>
    </row>
    <row r="52" spans="1:9">
      <c r="A52" s="40"/>
      <c r="B52" s="40" t="s">
        <v>1145</v>
      </c>
      <c r="C52" s="67" t="s">
        <v>49</v>
      </c>
      <c r="D52" s="67">
        <v>5</v>
      </c>
      <c r="E52" s="67" t="s">
        <v>134</v>
      </c>
      <c r="F52" s="364">
        <v>320000</v>
      </c>
      <c r="G52" s="364">
        <f t="shared" si="0"/>
        <v>1600000</v>
      </c>
      <c r="H52" s="809"/>
      <c r="I52" s="809"/>
    </row>
    <row r="53" spans="1:9">
      <c r="A53" s="40"/>
      <c r="B53" s="40" t="s">
        <v>1146</v>
      </c>
      <c r="C53" s="67" t="s">
        <v>49</v>
      </c>
      <c r="D53" s="67">
        <v>2</v>
      </c>
      <c r="E53" s="67" t="s">
        <v>26</v>
      </c>
      <c r="F53" s="364">
        <v>300000</v>
      </c>
      <c r="G53" s="364">
        <f t="shared" si="0"/>
        <v>600000</v>
      </c>
      <c r="H53" s="809"/>
      <c r="I53" s="809"/>
    </row>
    <row r="54" spans="1:9">
      <c r="A54" s="40"/>
      <c r="B54" s="40" t="s">
        <v>1147</v>
      </c>
      <c r="C54" s="67" t="s">
        <v>49</v>
      </c>
      <c r="D54" s="67">
        <v>2</v>
      </c>
      <c r="E54" s="67" t="s">
        <v>26</v>
      </c>
      <c r="F54" s="364">
        <v>300000</v>
      </c>
      <c r="G54" s="364">
        <f t="shared" si="0"/>
        <v>600000</v>
      </c>
      <c r="H54" s="809"/>
      <c r="I54" s="809"/>
    </row>
    <row r="55" spans="1:9">
      <c r="A55" s="40"/>
      <c r="B55" s="40" t="s">
        <v>1148</v>
      </c>
      <c r="C55" s="67" t="s">
        <v>49</v>
      </c>
      <c r="D55" s="67">
        <v>4</v>
      </c>
      <c r="E55" s="67" t="s">
        <v>26</v>
      </c>
      <c r="F55" s="364">
        <v>120000</v>
      </c>
      <c r="G55" s="364">
        <f t="shared" si="0"/>
        <v>480000</v>
      </c>
      <c r="H55" s="810"/>
      <c r="I55" s="810"/>
    </row>
    <row r="56" spans="1:9">
      <c r="A56" s="66">
        <v>44480</v>
      </c>
      <c r="B56" s="40" t="s">
        <v>1151</v>
      </c>
      <c r="C56" s="67" t="s">
        <v>164</v>
      </c>
      <c r="D56" s="67">
        <v>60</v>
      </c>
      <c r="E56" s="67" t="s">
        <v>26</v>
      </c>
      <c r="F56" s="364">
        <v>150000</v>
      </c>
      <c r="G56" s="364">
        <f t="shared" si="0"/>
        <v>9000000</v>
      </c>
      <c r="H56" s="364">
        <f>SUM(G56)</f>
        <v>9000000</v>
      </c>
      <c r="I56" s="453" t="s">
        <v>1156</v>
      </c>
    </row>
    <row r="57" spans="1:9">
      <c r="A57" s="66">
        <v>44480</v>
      </c>
      <c r="B57" s="40" t="s">
        <v>1152</v>
      </c>
      <c r="C57" s="67" t="s">
        <v>712</v>
      </c>
      <c r="D57" s="67">
        <v>5</v>
      </c>
      <c r="E57" s="67" t="s">
        <v>26</v>
      </c>
      <c r="F57" s="364">
        <v>425000</v>
      </c>
      <c r="G57" s="364">
        <f t="shared" si="0"/>
        <v>2125000</v>
      </c>
      <c r="H57" s="943">
        <f>SUM(G57:G60)</f>
        <v>8500000</v>
      </c>
      <c r="I57" s="1007" t="s">
        <v>1156</v>
      </c>
    </row>
    <row r="58" spans="1:9">
      <c r="A58" s="40"/>
      <c r="B58" s="40" t="s">
        <v>1153</v>
      </c>
      <c r="C58" s="67" t="s">
        <v>712</v>
      </c>
      <c r="D58" s="67">
        <v>5</v>
      </c>
      <c r="E58" s="67" t="s">
        <v>26</v>
      </c>
      <c r="F58" s="364">
        <v>425000</v>
      </c>
      <c r="G58" s="364">
        <f t="shared" si="0"/>
        <v>2125000</v>
      </c>
      <c r="H58" s="995"/>
      <c r="I58" s="1008"/>
    </row>
    <row r="59" spans="1:9">
      <c r="A59" s="40"/>
      <c r="B59" s="40" t="s">
        <v>1154</v>
      </c>
      <c r="C59" s="67" t="s">
        <v>712</v>
      </c>
      <c r="D59" s="67">
        <v>5</v>
      </c>
      <c r="E59" s="67" t="s">
        <v>26</v>
      </c>
      <c r="F59" s="364">
        <v>425000</v>
      </c>
      <c r="G59" s="364">
        <f t="shared" si="0"/>
        <v>2125000</v>
      </c>
      <c r="H59" s="995"/>
      <c r="I59" s="1008"/>
    </row>
    <row r="60" spans="1:9">
      <c r="A60" s="40"/>
      <c r="B60" s="40" t="s">
        <v>1155</v>
      </c>
      <c r="C60" s="67" t="s">
        <v>712</v>
      </c>
      <c r="D60" s="67">
        <v>5</v>
      </c>
      <c r="E60" s="67" t="s">
        <v>26</v>
      </c>
      <c r="F60" s="364">
        <v>425000</v>
      </c>
      <c r="G60" s="364">
        <f t="shared" si="0"/>
        <v>2125000</v>
      </c>
      <c r="H60" s="996"/>
      <c r="I60" s="1009"/>
    </row>
    <row r="61" spans="1:9">
      <c r="A61" s="66">
        <v>44481</v>
      </c>
      <c r="B61" s="40" t="s">
        <v>1157</v>
      </c>
      <c r="C61" s="67" t="s">
        <v>97</v>
      </c>
      <c r="D61" s="67">
        <v>1</v>
      </c>
      <c r="E61" s="67" t="s">
        <v>26</v>
      </c>
      <c r="F61" s="364">
        <v>1759200</v>
      </c>
      <c r="G61" s="364">
        <f t="shared" si="0"/>
        <v>1759200</v>
      </c>
      <c r="H61" s="943">
        <f>SUM(G61:G62)</f>
        <v>3518400</v>
      </c>
      <c r="I61" s="808" t="s">
        <v>685</v>
      </c>
    </row>
    <row r="62" spans="1:9">
      <c r="A62" s="40"/>
      <c r="B62" s="40" t="s">
        <v>1158</v>
      </c>
      <c r="C62" s="67" t="s">
        <v>97</v>
      </c>
      <c r="D62" s="67">
        <v>1</v>
      </c>
      <c r="E62" s="67" t="s">
        <v>26</v>
      </c>
      <c r="F62" s="364">
        <v>1759200</v>
      </c>
      <c r="G62" s="364">
        <f t="shared" si="0"/>
        <v>1759200</v>
      </c>
      <c r="H62" s="996"/>
      <c r="I62" s="810"/>
    </row>
    <row r="63" spans="1:9">
      <c r="A63" s="66">
        <v>44483</v>
      </c>
      <c r="B63" s="40" t="s">
        <v>1160</v>
      </c>
      <c r="C63" s="67" t="s">
        <v>28</v>
      </c>
      <c r="D63" s="67">
        <v>10</v>
      </c>
      <c r="E63" s="67" t="s">
        <v>26</v>
      </c>
      <c r="F63" s="364">
        <v>185000</v>
      </c>
      <c r="G63" s="364">
        <f t="shared" si="0"/>
        <v>1850000</v>
      </c>
      <c r="H63" s="943">
        <f>SUM(G63:G68)</f>
        <v>11190000</v>
      </c>
      <c r="I63" s="808" t="s">
        <v>685</v>
      </c>
    </row>
    <row r="64" spans="1:9">
      <c r="A64" s="40"/>
      <c r="B64" s="40" t="s">
        <v>1161</v>
      </c>
      <c r="C64" s="67" t="s">
        <v>28</v>
      </c>
      <c r="D64" s="67">
        <v>10</v>
      </c>
      <c r="E64" s="67" t="s">
        <v>26</v>
      </c>
      <c r="F64" s="364">
        <v>185000</v>
      </c>
      <c r="G64" s="364">
        <f t="shared" si="0"/>
        <v>1850000</v>
      </c>
      <c r="H64" s="809"/>
      <c r="I64" s="809"/>
    </row>
    <row r="65" spans="1:9">
      <c r="A65" s="40"/>
      <c r="B65" s="40" t="s">
        <v>1162</v>
      </c>
      <c r="C65" s="67" t="s">
        <v>28</v>
      </c>
      <c r="D65" s="67">
        <v>10</v>
      </c>
      <c r="E65" s="67" t="s">
        <v>26</v>
      </c>
      <c r="F65" s="364">
        <v>180000</v>
      </c>
      <c r="G65" s="364">
        <f t="shared" si="0"/>
        <v>1800000</v>
      </c>
      <c r="H65" s="809"/>
      <c r="I65" s="809"/>
    </row>
    <row r="66" spans="1:9">
      <c r="A66" s="40"/>
      <c r="B66" s="40" t="s">
        <v>1163</v>
      </c>
      <c r="C66" s="67" t="s">
        <v>28</v>
      </c>
      <c r="D66" s="67">
        <v>10</v>
      </c>
      <c r="E66" s="67" t="s">
        <v>26</v>
      </c>
      <c r="F66" s="364">
        <v>185000</v>
      </c>
      <c r="G66" s="364">
        <f t="shared" si="0"/>
        <v>1850000</v>
      </c>
      <c r="H66" s="809"/>
      <c r="I66" s="809"/>
    </row>
    <row r="67" spans="1:9">
      <c r="A67" s="40"/>
      <c r="B67" s="40" t="s">
        <v>1165</v>
      </c>
      <c r="C67" s="67" t="s">
        <v>28</v>
      </c>
      <c r="D67" s="67">
        <v>12</v>
      </c>
      <c r="E67" s="67" t="s">
        <v>26</v>
      </c>
      <c r="F67" s="364">
        <v>185000</v>
      </c>
      <c r="G67" s="364">
        <f t="shared" si="0"/>
        <v>2220000</v>
      </c>
      <c r="H67" s="809"/>
      <c r="I67" s="809"/>
    </row>
    <row r="68" spans="1:9">
      <c r="A68" s="40"/>
      <c r="B68" s="40" t="s">
        <v>1164</v>
      </c>
      <c r="C68" s="67" t="s">
        <v>28</v>
      </c>
      <c r="D68" s="67">
        <v>9</v>
      </c>
      <c r="E68" s="67" t="s">
        <v>26</v>
      </c>
      <c r="F68" s="364">
        <v>180000</v>
      </c>
      <c r="G68" s="364">
        <f t="shared" si="0"/>
        <v>1620000</v>
      </c>
      <c r="H68" s="810"/>
      <c r="I68" s="810"/>
    </row>
    <row r="69" spans="1:9">
      <c r="A69" s="66">
        <v>44487</v>
      </c>
      <c r="B69" s="40" t="s">
        <v>1171</v>
      </c>
      <c r="C69" s="67" t="s">
        <v>28</v>
      </c>
      <c r="D69" s="67">
        <v>10</v>
      </c>
      <c r="E69" s="67" t="s">
        <v>26</v>
      </c>
      <c r="F69" s="364">
        <v>180000</v>
      </c>
      <c r="G69" s="364">
        <f t="shared" si="0"/>
        <v>1800000</v>
      </c>
      <c r="H69" s="943">
        <f>SUM(G69:G71)</f>
        <v>5400000</v>
      </c>
      <c r="I69" s="808" t="s">
        <v>135</v>
      </c>
    </row>
    <row r="70" spans="1:9">
      <c r="A70" s="40"/>
      <c r="B70" s="40" t="s">
        <v>1172</v>
      </c>
      <c r="C70" s="595" t="s">
        <v>28</v>
      </c>
      <c r="D70" s="595">
        <v>10</v>
      </c>
      <c r="E70" s="67" t="s">
        <v>26</v>
      </c>
      <c r="F70" s="364">
        <v>180000</v>
      </c>
      <c r="G70" s="364">
        <f t="shared" ref="G70:G133" si="1">F70*D70</f>
        <v>1800000</v>
      </c>
      <c r="H70" s="995"/>
      <c r="I70" s="809"/>
    </row>
    <row r="71" spans="1:9">
      <c r="A71" s="40"/>
      <c r="B71" s="40" t="s">
        <v>1173</v>
      </c>
      <c r="C71" s="595" t="s">
        <v>28</v>
      </c>
      <c r="D71" s="595">
        <v>10</v>
      </c>
      <c r="E71" s="67" t="s">
        <v>26</v>
      </c>
      <c r="F71" s="364">
        <v>180000</v>
      </c>
      <c r="G71" s="364">
        <f t="shared" si="1"/>
        <v>1800000</v>
      </c>
      <c r="H71" s="996"/>
      <c r="I71" s="810"/>
    </row>
    <row r="72" spans="1:9">
      <c r="A72" s="66">
        <v>44487</v>
      </c>
      <c r="B72" s="40" t="s">
        <v>1174</v>
      </c>
      <c r="C72" s="595" t="s">
        <v>164</v>
      </c>
      <c r="D72" s="595">
        <v>20</v>
      </c>
      <c r="E72" s="67" t="s">
        <v>26</v>
      </c>
      <c r="F72" s="364">
        <v>150000</v>
      </c>
      <c r="G72" s="364">
        <f t="shared" si="1"/>
        <v>3000000</v>
      </c>
      <c r="H72" s="943">
        <f>SUM(G72:G73)</f>
        <v>6000000</v>
      </c>
      <c r="I72" s="808" t="s">
        <v>122</v>
      </c>
    </row>
    <row r="73" spans="1:9">
      <c r="A73" s="40"/>
      <c r="B73" s="40" t="s">
        <v>1175</v>
      </c>
      <c r="C73" s="595" t="s">
        <v>164</v>
      </c>
      <c r="D73" s="595">
        <v>20</v>
      </c>
      <c r="E73" s="67" t="s">
        <v>26</v>
      </c>
      <c r="F73" s="364">
        <v>150000</v>
      </c>
      <c r="G73" s="364">
        <f t="shared" si="1"/>
        <v>3000000</v>
      </c>
      <c r="H73" s="996"/>
      <c r="I73" s="810"/>
    </row>
    <row r="74" spans="1:9">
      <c r="A74" s="66">
        <v>44487</v>
      </c>
      <c r="B74" s="40" t="s">
        <v>1176</v>
      </c>
      <c r="C74" s="67" t="s">
        <v>280</v>
      </c>
      <c r="D74" s="67">
        <v>1</v>
      </c>
      <c r="E74" s="67" t="s">
        <v>26</v>
      </c>
      <c r="F74" s="364">
        <v>0</v>
      </c>
      <c r="G74" s="364">
        <f t="shared" si="1"/>
        <v>0</v>
      </c>
      <c r="H74" s="40">
        <v>0</v>
      </c>
      <c r="I74" s="40"/>
    </row>
    <row r="75" spans="1:9">
      <c r="A75" s="66">
        <v>44487</v>
      </c>
      <c r="B75" s="40" t="s">
        <v>1177</v>
      </c>
      <c r="C75" s="67" t="s">
        <v>63</v>
      </c>
      <c r="D75" s="67">
        <v>3</v>
      </c>
      <c r="E75" s="67" t="s">
        <v>26</v>
      </c>
      <c r="F75" s="364">
        <v>0</v>
      </c>
      <c r="G75" s="364">
        <f t="shared" si="1"/>
        <v>0</v>
      </c>
      <c r="H75" s="40">
        <v>0</v>
      </c>
      <c r="I75" s="40" t="s">
        <v>1073</v>
      </c>
    </row>
    <row r="76" spans="1:9">
      <c r="A76" s="66">
        <v>44490</v>
      </c>
      <c r="B76" s="40" t="s">
        <v>1186</v>
      </c>
      <c r="C76" s="67" t="s">
        <v>60</v>
      </c>
      <c r="D76" s="67">
        <v>1</v>
      </c>
      <c r="E76" s="67" t="s">
        <v>546</v>
      </c>
      <c r="F76" s="364">
        <v>0</v>
      </c>
      <c r="G76" s="364">
        <f t="shared" si="1"/>
        <v>0</v>
      </c>
      <c r="H76" s="40">
        <v>0</v>
      </c>
      <c r="I76" s="40" t="s">
        <v>205</v>
      </c>
    </row>
    <row r="77" spans="1:9">
      <c r="A77" s="66">
        <v>44491</v>
      </c>
      <c r="B77" s="40" t="s">
        <v>1173</v>
      </c>
      <c r="C77" s="67" t="s">
        <v>28</v>
      </c>
      <c r="D77" s="67">
        <v>20</v>
      </c>
      <c r="E77" s="67" t="s">
        <v>26</v>
      </c>
      <c r="F77" s="364">
        <v>180000</v>
      </c>
      <c r="G77" s="364">
        <f t="shared" si="1"/>
        <v>3600000</v>
      </c>
      <c r="H77" s="364">
        <f>SUM(G77)</f>
        <v>3600000</v>
      </c>
      <c r="I77" s="67" t="s">
        <v>800</v>
      </c>
    </row>
    <row r="78" spans="1:9">
      <c r="A78" s="66">
        <v>44494</v>
      </c>
      <c r="B78" s="40" t="s">
        <v>1188</v>
      </c>
      <c r="C78" s="67" t="s">
        <v>280</v>
      </c>
      <c r="D78" s="67">
        <v>1</v>
      </c>
      <c r="E78" s="67" t="s">
        <v>26</v>
      </c>
      <c r="F78" s="40">
        <v>0</v>
      </c>
      <c r="G78" s="40">
        <f t="shared" si="1"/>
        <v>0</v>
      </c>
      <c r="H78" s="40">
        <v>0</v>
      </c>
      <c r="I78" s="40"/>
    </row>
    <row r="79" spans="1:9">
      <c r="A79" s="40"/>
      <c r="B79" s="40" t="s">
        <v>1187</v>
      </c>
      <c r="C79" s="67" t="s">
        <v>280</v>
      </c>
      <c r="D79" s="67">
        <v>1</v>
      </c>
      <c r="E79" s="67" t="s">
        <v>26</v>
      </c>
      <c r="F79" s="40">
        <v>0</v>
      </c>
      <c r="G79" s="40">
        <f t="shared" si="1"/>
        <v>0</v>
      </c>
      <c r="H79" s="40">
        <v>0</v>
      </c>
      <c r="I79" s="40"/>
    </row>
    <row r="80" spans="1:9">
      <c r="A80" s="66">
        <v>44494</v>
      </c>
      <c r="B80" s="40" t="s">
        <v>1173</v>
      </c>
      <c r="C80" s="67" t="s">
        <v>28</v>
      </c>
      <c r="D80" s="67">
        <v>11</v>
      </c>
      <c r="E80" s="67" t="s">
        <v>26</v>
      </c>
      <c r="F80" s="364">
        <v>180000</v>
      </c>
      <c r="G80" s="364">
        <f t="shared" si="1"/>
        <v>1980000</v>
      </c>
      <c r="H80" s="943">
        <f>SUM(G80:G83)</f>
        <v>4830000</v>
      </c>
      <c r="I80" s="808" t="s">
        <v>135</v>
      </c>
    </row>
    <row r="81" spans="1:9">
      <c r="A81" s="40"/>
      <c r="B81" s="40" t="s">
        <v>1171</v>
      </c>
      <c r="C81" s="67" t="s">
        <v>28</v>
      </c>
      <c r="D81" s="67">
        <v>5</v>
      </c>
      <c r="E81" s="67" t="s">
        <v>26</v>
      </c>
      <c r="F81" s="364">
        <v>180000</v>
      </c>
      <c r="G81" s="364">
        <f t="shared" si="1"/>
        <v>900000</v>
      </c>
      <c r="H81" s="995"/>
      <c r="I81" s="809"/>
    </row>
    <row r="82" spans="1:9">
      <c r="A82" s="40"/>
      <c r="B82" s="40" t="s">
        <v>1190</v>
      </c>
      <c r="C82" s="67" t="s">
        <v>28</v>
      </c>
      <c r="D82" s="67">
        <v>5</v>
      </c>
      <c r="E82" s="67" t="s">
        <v>26</v>
      </c>
      <c r="F82" s="364">
        <v>195000</v>
      </c>
      <c r="G82" s="364">
        <f t="shared" si="1"/>
        <v>975000</v>
      </c>
      <c r="H82" s="995"/>
      <c r="I82" s="809"/>
    </row>
    <row r="83" spans="1:9">
      <c r="A83" s="40"/>
      <c r="B83" s="40" t="s">
        <v>1189</v>
      </c>
      <c r="C83" s="67" t="s">
        <v>28</v>
      </c>
      <c r="D83" s="67">
        <v>5</v>
      </c>
      <c r="E83" s="67" t="s">
        <v>26</v>
      </c>
      <c r="F83" s="364">
        <v>195000</v>
      </c>
      <c r="G83" s="364">
        <f t="shared" si="1"/>
        <v>975000</v>
      </c>
      <c r="H83" s="996"/>
      <c r="I83" s="810"/>
    </row>
    <row r="84" spans="1:9">
      <c r="A84" s="66">
        <v>44494</v>
      </c>
      <c r="B84" s="40" t="s">
        <v>1107</v>
      </c>
      <c r="C84" s="67" t="s">
        <v>49</v>
      </c>
      <c r="D84" s="67">
        <v>5</v>
      </c>
      <c r="E84" s="67" t="s">
        <v>26</v>
      </c>
      <c r="F84" s="364">
        <v>420000</v>
      </c>
      <c r="G84" s="364">
        <f t="shared" si="1"/>
        <v>2100000</v>
      </c>
      <c r="H84" s="943">
        <f>SUM(G84:G98)</f>
        <v>18275000</v>
      </c>
      <c r="I84" s="808" t="s">
        <v>36</v>
      </c>
    </row>
    <row r="85" spans="1:9">
      <c r="A85" s="40"/>
      <c r="B85" s="40" t="s">
        <v>927</v>
      </c>
      <c r="C85" s="67" t="s">
        <v>49</v>
      </c>
      <c r="D85" s="67">
        <v>5</v>
      </c>
      <c r="E85" s="67" t="s">
        <v>26</v>
      </c>
      <c r="F85" s="364">
        <v>420000</v>
      </c>
      <c r="G85" s="364">
        <f t="shared" si="1"/>
        <v>2100000</v>
      </c>
      <c r="H85" s="995"/>
      <c r="I85" s="809"/>
    </row>
    <row r="86" spans="1:9">
      <c r="A86" s="40"/>
      <c r="B86" s="40" t="s">
        <v>1191</v>
      </c>
      <c r="C86" s="67" t="s">
        <v>49</v>
      </c>
      <c r="D86" s="67">
        <v>10</v>
      </c>
      <c r="E86" s="67" t="s">
        <v>26</v>
      </c>
      <c r="F86" s="364">
        <v>120000</v>
      </c>
      <c r="G86" s="364">
        <f t="shared" si="1"/>
        <v>1200000</v>
      </c>
      <c r="H86" s="995"/>
      <c r="I86" s="809"/>
    </row>
    <row r="87" spans="1:9">
      <c r="A87" s="40"/>
      <c r="B87" s="40" t="s">
        <v>1192</v>
      </c>
      <c r="C87" s="67" t="s">
        <v>49</v>
      </c>
      <c r="D87" s="67">
        <v>8</v>
      </c>
      <c r="E87" s="67" t="s">
        <v>26</v>
      </c>
      <c r="F87" s="364">
        <v>120000</v>
      </c>
      <c r="G87" s="364">
        <f t="shared" si="1"/>
        <v>960000</v>
      </c>
      <c r="H87" s="995"/>
      <c r="I87" s="809"/>
    </row>
    <row r="88" spans="1:9">
      <c r="A88" s="40"/>
      <c r="B88" s="40" t="s">
        <v>1015</v>
      </c>
      <c r="C88" s="67" t="s">
        <v>49</v>
      </c>
      <c r="D88" s="67">
        <v>7</v>
      </c>
      <c r="E88" s="67" t="s">
        <v>26</v>
      </c>
      <c r="F88" s="364">
        <v>120000</v>
      </c>
      <c r="G88" s="364">
        <f t="shared" si="1"/>
        <v>840000</v>
      </c>
      <c r="H88" s="995"/>
      <c r="I88" s="809"/>
    </row>
    <row r="89" spans="1:9">
      <c r="A89" s="40"/>
      <c r="B89" s="40" t="s">
        <v>1193</v>
      </c>
      <c r="C89" s="67" t="s">
        <v>49</v>
      </c>
      <c r="D89" s="67">
        <v>20</v>
      </c>
      <c r="E89" s="67" t="s">
        <v>26</v>
      </c>
      <c r="F89" s="364">
        <v>47500</v>
      </c>
      <c r="G89" s="364">
        <f t="shared" si="1"/>
        <v>950000</v>
      </c>
      <c r="H89" s="995"/>
      <c r="I89" s="809"/>
    </row>
    <row r="90" spans="1:9">
      <c r="A90" s="40"/>
      <c r="B90" s="40" t="s">
        <v>1194</v>
      </c>
      <c r="C90" s="67" t="s">
        <v>49</v>
      </c>
      <c r="D90" s="67">
        <v>5</v>
      </c>
      <c r="E90" s="67" t="s">
        <v>26</v>
      </c>
      <c r="F90" s="364">
        <v>45000</v>
      </c>
      <c r="G90" s="364">
        <f t="shared" si="1"/>
        <v>225000</v>
      </c>
      <c r="H90" s="995"/>
      <c r="I90" s="809"/>
    </row>
    <row r="91" spans="1:9">
      <c r="A91" s="40"/>
      <c r="B91" s="40" t="s">
        <v>1195</v>
      </c>
      <c r="C91" s="67" t="s">
        <v>49</v>
      </c>
      <c r="D91" s="67">
        <v>15</v>
      </c>
      <c r="E91" s="67" t="s">
        <v>26</v>
      </c>
      <c r="F91" s="364">
        <v>250000</v>
      </c>
      <c r="G91" s="364">
        <f t="shared" si="1"/>
        <v>3750000</v>
      </c>
      <c r="H91" s="995"/>
      <c r="I91" s="809"/>
    </row>
    <row r="92" spans="1:9">
      <c r="A92" s="40"/>
      <c r="B92" s="40" t="s">
        <v>1196</v>
      </c>
      <c r="C92" s="67" t="s">
        <v>49</v>
      </c>
      <c r="D92" s="67">
        <v>1</v>
      </c>
      <c r="E92" s="67" t="s">
        <v>26</v>
      </c>
      <c r="F92" s="364">
        <v>250000</v>
      </c>
      <c r="G92" s="364">
        <f t="shared" si="1"/>
        <v>250000</v>
      </c>
      <c r="H92" s="995"/>
      <c r="I92" s="809"/>
    </row>
    <row r="93" spans="1:9">
      <c r="A93" s="40"/>
      <c r="B93" s="40" t="s">
        <v>1197</v>
      </c>
      <c r="C93" s="67" t="s">
        <v>49</v>
      </c>
      <c r="D93" s="67">
        <v>10</v>
      </c>
      <c r="E93" s="67" t="s">
        <v>26</v>
      </c>
      <c r="F93" s="364">
        <v>245000</v>
      </c>
      <c r="G93" s="364">
        <f t="shared" si="1"/>
        <v>2450000</v>
      </c>
      <c r="H93" s="995"/>
      <c r="I93" s="809"/>
    </row>
    <row r="94" spans="1:9">
      <c r="A94" s="40"/>
      <c r="B94" s="40" t="s">
        <v>1198</v>
      </c>
      <c r="C94" s="67" t="s">
        <v>49</v>
      </c>
      <c r="D94" s="67">
        <v>10</v>
      </c>
      <c r="E94" s="67" t="s">
        <v>26</v>
      </c>
      <c r="F94" s="364">
        <v>135000</v>
      </c>
      <c r="G94" s="364">
        <f t="shared" si="1"/>
        <v>1350000</v>
      </c>
      <c r="H94" s="995"/>
      <c r="I94" s="809"/>
    </row>
    <row r="95" spans="1:9">
      <c r="A95" s="40"/>
      <c r="B95" s="40" t="s">
        <v>1199</v>
      </c>
      <c r="C95" s="67" t="s">
        <v>49</v>
      </c>
      <c r="D95" s="67">
        <v>2</v>
      </c>
      <c r="E95" s="67" t="s">
        <v>26</v>
      </c>
      <c r="F95" s="364">
        <v>300000</v>
      </c>
      <c r="G95" s="364">
        <f t="shared" si="1"/>
        <v>600000</v>
      </c>
      <c r="H95" s="995"/>
      <c r="I95" s="809"/>
    </row>
    <row r="96" spans="1:9">
      <c r="A96" s="40"/>
      <c r="B96" s="40" t="s">
        <v>1200</v>
      </c>
      <c r="C96" s="67" t="s">
        <v>49</v>
      </c>
      <c r="D96" s="67">
        <v>2</v>
      </c>
      <c r="E96" s="67" t="s">
        <v>26</v>
      </c>
      <c r="F96" s="364">
        <v>300000</v>
      </c>
      <c r="G96" s="364">
        <f t="shared" si="1"/>
        <v>600000</v>
      </c>
      <c r="H96" s="995"/>
      <c r="I96" s="809"/>
    </row>
    <row r="97" spans="1:10">
      <c r="A97" s="40"/>
      <c r="B97" s="40" t="s">
        <v>1201</v>
      </c>
      <c r="C97" s="67" t="s">
        <v>49</v>
      </c>
      <c r="D97" s="67">
        <v>1</v>
      </c>
      <c r="E97" s="67" t="s">
        <v>26</v>
      </c>
      <c r="F97" s="364">
        <v>900000</v>
      </c>
      <c r="G97" s="364">
        <f t="shared" si="1"/>
        <v>900000</v>
      </c>
      <c r="H97" s="995"/>
      <c r="I97" s="809"/>
    </row>
    <row r="98" spans="1:10">
      <c r="A98" s="40"/>
      <c r="B98" s="40" t="s">
        <v>1202</v>
      </c>
      <c r="C98" s="67" t="s">
        <v>49</v>
      </c>
      <c r="D98" s="67">
        <v>1</v>
      </c>
      <c r="E98" s="67" t="s">
        <v>26</v>
      </c>
      <c r="F98" s="364">
        <v>0</v>
      </c>
      <c r="G98" s="364">
        <f t="shared" si="1"/>
        <v>0</v>
      </c>
      <c r="H98" s="996"/>
      <c r="I98" s="810"/>
    </row>
    <row r="99" spans="1:10">
      <c r="A99" s="398">
        <v>44494</v>
      </c>
      <c r="B99" s="399" t="s">
        <v>1203</v>
      </c>
      <c r="C99" s="401" t="s">
        <v>1207</v>
      </c>
      <c r="D99" s="401">
        <v>1</v>
      </c>
      <c r="E99" s="401" t="s">
        <v>26</v>
      </c>
      <c r="F99" s="616">
        <v>760000</v>
      </c>
      <c r="G99" s="616">
        <f t="shared" si="1"/>
        <v>760000</v>
      </c>
      <c r="H99" s="992">
        <f>SUM(G99:G102)</f>
        <v>1950000</v>
      </c>
      <c r="I99" s="989" t="s">
        <v>67</v>
      </c>
    </row>
    <row r="100" spans="1:10">
      <c r="A100" s="399"/>
      <c r="B100" s="399" t="s">
        <v>1204</v>
      </c>
      <c r="C100" s="401" t="s">
        <v>1207</v>
      </c>
      <c r="D100" s="401">
        <v>1</v>
      </c>
      <c r="E100" s="401" t="s">
        <v>134</v>
      </c>
      <c r="F100" s="616">
        <v>525000</v>
      </c>
      <c r="G100" s="616">
        <f t="shared" si="1"/>
        <v>525000</v>
      </c>
      <c r="H100" s="993"/>
      <c r="I100" s="990"/>
    </row>
    <row r="101" spans="1:10">
      <c r="A101" s="399"/>
      <c r="B101" s="399" t="s">
        <v>1205</v>
      </c>
      <c r="C101" s="401" t="s">
        <v>1207</v>
      </c>
      <c r="D101" s="401">
        <v>1</v>
      </c>
      <c r="E101" s="401" t="s">
        <v>134</v>
      </c>
      <c r="F101" s="616">
        <v>0</v>
      </c>
      <c r="G101" s="616">
        <f t="shared" si="1"/>
        <v>0</v>
      </c>
      <c r="H101" s="993"/>
      <c r="I101" s="990"/>
    </row>
    <row r="102" spans="1:10">
      <c r="A102" s="399"/>
      <c r="B102" s="399" t="s">
        <v>1206</v>
      </c>
      <c r="C102" s="401" t="s">
        <v>1207</v>
      </c>
      <c r="D102" s="401">
        <v>1</v>
      </c>
      <c r="E102" s="401" t="s">
        <v>134</v>
      </c>
      <c r="F102" s="616">
        <v>665000</v>
      </c>
      <c r="G102" s="616">
        <f t="shared" si="1"/>
        <v>665000</v>
      </c>
      <c r="H102" s="994"/>
      <c r="I102" s="991"/>
    </row>
    <row r="103" spans="1:10">
      <c r="A103" s="66">
        <v>44495</v>
      </c>
      <c r="B103" s="40" t="s">
        <v>1209</v>
      </c>
      <c r="C103" s="67" t="s">
        <v>164</v>
      </c>
      <c r="D103" s="67">
        <v>5</v>
      </c>
      <c r="E103" s="67" t="s">
        <v>26</v>
      </c>
      <c r="F103" s="364">
        <v>130000</v>
      </c>
      <c r="G103" s="364">
        <f t="shared" si="1"/>
        <v>650000</v>
      </c>
      <c r="H103" s="943">
        <f>SUM(G103:G114)</f>
        <v>10337500</v>
      </c>
      <c r="I103" s="808" t="s">
        <v>67</v>
      </c>
      <c r="J103" s="502">
        <f>SUM(H103:H118)</f>
        <v>16467500</v>
      </c>
    </row>
    <row r="104" spans="1:10">
      <c r="A104" s="40"/>
      <c r="B104" s="40" t="s">
        <v>1210</v>
      </c>
      <c r="C104" s="67" t="s">
        <v>164</v>
      </c>
      <c r="D104" s="67">
        <v>3</v>
      </c>
      <c r="E104" s="67" t="s">
        <v>26</v>
      </c>
      <c r="F104" s="364">
        <v>138000</v>
      </c>
      <c r="G104" s="364">
        <f t="shared" si="1"/>
        <v>414000</v>
      </c>
      <c r="H104" s="995"/>
      <c r="I104" s="809"/>
    </row>
    <row r="105" spans="1:10">
      <c r="A105" s="40"/>
      <c r="B105" s="40" t="s">
        <v>1211</v>
      </c>
      <c r="C105" s="67" t="s">
        <v>164</v>
      </c>
      <c r="D105" s="67">
        <v>10</v>
      </c>
      <c r="E105" s="67" t="s">
        <v>26</v>
      </c>
      <c r="F105" s="364">
        <v>130000</v>
      </c>
      <c r="G105" s="364">
        <f t="shared" si="1"/>
        <v>1300000</v>
      </c>
      <c r="H105" s="995"/>
      <c r="I105" s="809"/>
    </row>
    <row r="106" spans="1:10">
      <c r="A106" s="40"/>
      <c r="B106" s="40" t="s">
        <v>1212</v>
      </c>
      <c r="C106" s="67" t="s">
        <v>164</v>
      </c>
      <c r="D106" s="67">
        <v>5</v>
      </c>
      <c r="E106" s="67" t="s">
        <v>26</v>
      </c>
      <c r="F106" s="364">
        <v>162000</v>
      </c>
      <c r="G106" s="364">
        <f t="shared" si="1"/>
        <v>810000</v>
      </c>
      <c r="H106" s="995"/>
      <c r="I106" s="809"/>
    </row>
    <row r="107" spans="1:10">
      <c r="A107" s="40"/>
      <c r="B107" s="40" t="s">
        <v>1213</v>
      </c>
      <c r="C107" s="67" t="s">
        <v>164</v>
      </c>
      <c r="D107" s="67">
        <v>5</v>
      </c>
      <c r="E107" s="67" t="s">
        <v>26</v>
      </c>
      <c r="F107" s="364">
        <v>162000</v>
      </c>
      <c r="G107" s="364">
        <f t="shared" si="1"/>
        <v>810000</v>
      </c>
      <c r="H107" s="995"/>
      <c r="I107" s="809"/>
    </row>
    <row r="108" spans="1:10">
      <c r="A108" s="40"/>
      <c r="B108" s="40" t="s">
        <v>1214</v>
      </c>
      <c r="C108" s="67" t="s">
        <v>164</v>
      </c>
      <c r="D108" s="67">
        <v>5</v>
      </c>
      <c r="E108" s="67" t="s">
        <v>26</v>
      </c>
      <c r="F108" s="364">
        <v>151500</v>
      </c>
      <c r="G108" s="364">
        <f t="shared" si="1"/>
        <v>757500</v>
      </c>
      <c r="H108" s="995"/>
      <c r="I108" s="809"/>
    </row>
    <row r="109" spans="1:10">
      <c r="A109" s="40"/>
      <c r="B109" s="40" t="s">
        <v>1215</v>
      </c>
      <c r="C109" s="67" t="s">
        <v>164</v>
      </c>
      <c r="D109" s="67">
        <v>5</v>
      </c>
      <c r="E109" s="67" t="s">
        <v>26</v>
      </c>
      <c r="F109" s="364">
        <v>130000</v>
      </c>
      <c r="G109" s="364">
        <f t="shared" si="1"/>
        <v>650000</v>
      </c>
      <c r="H109" s="995"/>
      <c r="I109" s="809"/>
    </row>
    <row r="110" spans="1:10">
      <c r="A110" s="40"/>
      <c r="B110" s="40" t="s">
        <v>1216</v>
      </c>
      <c r="C110" s="67" t="s">
        <v>164</v>
      </c>
      <c r="D110" s="67">
        <v>7</v>
      </c>
      <c r="E110" s="67" t="s">
        <v>26</v>
      </c>
      <c r="F110" s="364">
        <v>138000</v>
      </c>
      <c r="G110" s="364">
        <f t="shared" si="1"/>
        <v>966000</v>
      </c>
      <c r="H110" s="995"/>
      <c r="I110" s="809"/>
    </row>
    <row r="111" spans="1:10">
      <c r="A111" s="40"/>
      <c r="B111" s="40" t="s">
        <v>1217</v>
      </c>
      <c r="C111" s="67" t="s">
        <v>164</v>
      </c>
      <c r="D111" s="67">
        <v>5</v>
      </c>
      <c r="E111" s="67" t="s">
        <v>26</v>
      </c>
      <c r="F111" s="364">
        <v>138000</v>
      </c>
      <c r="G111" s="364">
        <f t="shared" si="1"/>
        <v>690000</v>
      </c>
      <c r="H111" s="995"/>
      <c r="I111" s="809"/>
    </row>
    <row r="112" spans="1:10">
      <c r="A112" s="40"/>
      <c r="B112" s="40" t="s">
        <v>1218</v>
      </c>
      <c r="C112" s="67" t="s">
        <v>164</v>
      </c>
      <c r="D112" s="67">
        <v>15</v>
      </c>
      <c r="E112" s="67" t="s">
        <v>26</v>
      </c>
      <c r="F112" s="364">
        <v>130000</v>
      </c>
      <c r="G112" s="364">
        <f t="shared" si="1"/>
        <v>1950000</v>
      </c>
      <c r="H112" s="995"/>
      <c r="I112" s="809"/>
    </row>
    <row r="113" spans="1:9">
      <c r="A113" s="40"/>
      <c r="B113" s="40" t="s">
        <v>1219</v>
      </c>
      <c r="C113" s="67" t="s">
        <v>164</v>
      </c>
      <c r="D113" s="67">
        <v>5</v>
      </c>
      <c r="E113" s="67" t="s">
        <v>26</v>
      </c>
      <c r="F113" s="364">
        <v>130000</v>
      </c>
      <c r="G113" s="364">
        <f t="shared" si="1"/>
        <v>650000</v>
      </c>
      <c r="H113" s="995"/>
      <c r="I113" s="809"/>
    </row>
    <row r="114" spans="1:9">
      <c r="A114" s="40"/>
      <c r="B114" s="40" t="s">
        <v>1220</v>
      </c>
      <c r="C114" s="67" t="s">
        <v>164</v>
      </c>
      <c r="D114" s="67">
        <v>5</v>
      </c>
      <c r="E114" s="67" t="s">
        <v>26</v>
      </c>
      <c r="F114" s="364">
        <v>138000</v>
      </c>
      <c r="G114" s="364">
        <f t="shared" si="1"/>
        <v>690000</v>
      </c>
      <c r="H114" s="996"/>
      <c r="I114" s="810"/>
    </row>
    <row r="115" spans="1:9">
      <c r="A115" s="66">
        <v>44495</v>
      </c>
      <c r="B115" s="40" t="s">
        <v>1221</v>
      </c>
      <c r="C115" s="67" t="s">
        <v>164</v>
      </c>
      <c r="D115" s="67">
        <v>5</v>
      </c>
      <c r="E115" s="67" t="s">
        <v>26</v>
      </c>
      <c r="F115" s="364">
        <v>138000</v>
      </c>
      <c r="G115" s="364">
        <f t="shared" si="1"/>
        <v>690000</v>
      </c>
      <c r="H115" s="943">
        <f>SUM(G115:G118)</f>
        <v>6130000</v>
      </c>
      <c r="I115" s="808" t="s">
        <v>67</v>
      </c>
    </row>
    <row r="116" spans="1:9">
      <c r="A116" s="40"/>
      <c r="B116" s="40" t="s">
        <v>1220</v>
      </c>
      <c r="C116" s="67" t="s">
        <v>164</v>
      </c>
      <c r="D116" s="67">
        <v>25</v>
      </c>
      <c r="E116" s="67" t="s">
        <v>26</v>
      </c>
      <c r="F116" s="364">
        <v>138000</v>
      </c>
      <c r="G116" s="364">
        <f t="shared" si="1"/>
        <v>3450000</v>
      </c>
      <c r="H116" s="995"/>
      <c r="I116" s="809"/>
    </row>
    <row r="117" spans="1:9">
      <c r="A117" s="40"/>
      <c r="B117" s="40" t="s">
        <v>1222</v>
      </c>
      <c r="C117" s="67" t="s">
        <v>164</v>
      </c>
      <c r="D117" s="67">
        <v>5</v>
      </c>
      <c r="E117" s="67" t="s">
        <v>26</v>
      </c>
      <c r="F117" s="364">
        <v>138000</v>
      </c>
      <c r="G117" s="364">
        <f t="shared" si="1"/>
        <v>690000</v>
      </c>
      <c r="H117" s="995"/>
      <c r="I117" s="809"/>
    </row>
    <row r="118" spans="1:9">
      <c r="A118" s="40"/>
      <c r="B118" s="40" t="s">
        <v>1219</v>
      </c>
      <c r="C118" s="67" t="s">
        <v>164</v>
      </c>
      <c r="D118" s="67">
        <v>10</v>
      </c>
      <c r="E118" s="67" t="s">
        <v>26</v>
      </c>
      <c r="F118" s="364">
        <v>130000</v>
      </c>
      <c r="G118" s="364">
        <f t="shared" si="1"/>
        <v>1300000</v>
      </c>
      <c r="H118" s="996"/>
      <c r="I118" s="810"/>
    </row>
    <row r="119" spans="1:9">
      <c r="A119" s="398">
        <v>44496</v>
      </c>
      <c r="B119" s="399" t="s">
        <v>1224</v>
      </c>
      <c r="C119" s="401" t="s">
        <v>19</v>
      </c>
      <c r="D119" s="401">
        <v>10</v>
      </c>
      <c r="E119" s="401" t="s">
        <v>26</v>
      </c>
      <c r="F119" s="616">
        <v>75000</v>
      </c>
      <c r="G119" s="616">
        <f t="shared" si="1"/>
        <v>750000</v>
      </c>
      <c r="H119" s="992">
        <f>SUM(G119:G126)</f>
        <v>10050000</v>
      </c>
      <c r="I119" s="989" t="s">
        <v>1497</v>
      </c>
    </row>
    <row r="120" spans="1:9">
      <c r="A120" s="399"/>
      <c r="B120" s="399" t="s">
        <v>1225</v>
      </c>
      <c r="C120" s="401" t="s">
        <v>19</v>
      </c>
      <c r="D120" s="401">
        <v>10</v>
      </c>
      <c r="E120" s="401" t="s">
        <v>26</v>
      </c>
      <c r="F120" s="616">
        <v>75000</v>
      </c>
      <c r="G120" s="616">
        <f t="shared" si="1"/>
        <v>750000</v>
      </c>
      <c r="H120" s="993"/>
      <c r="I120" s="990"/>
    </row>
    <row r="121" spans="1:9">
      <c r="A121" s="399"/>
      <c r="B121" s="399" t="s">
        <v>1226</v>
      </c>
      <c r="C121" s="401" t="s">
        <v>19</v>
      </c>
      <c r="D121" s="401">
        <v>10</v>
      </c>
      <c r="E121" s="401" t="s">
        <v>26</v>
      </c>
      <c r="F121" s="616">
        <v>75000</v>
      </c>
      <c r="G121" s="616">
        <f t="shared" si="1"/>
        <v>750000</v>
      </c>
      <c r="H121" s="993"/>
      <c r="I121" s="990"/>
    </row>
    <row r="122" spans="1:9">
      <c r="A122" s="399"/>
      <c r="B122" s="399" t="s">
        <v>1227</v>
      </c>
      <c r="C122" s="401" t="s">
        <v>19</v>
      </c>
      <c r="D122" s="401">
        <v>10</v>
      </c>
      <c r="E122" s="401" t="s">
        <v>26</v>
      </c>
      <c r="F122" s="616">
        <v>25000</v>
      </c>
      <c r="G122" s="616">
        <f t="shared" si="1"/>
        <v>250000</v>
      </c>
      <c r="H122" s="993"/>
      <c r="I122" s="990"/>
    </row>
    <row r="123" spans="1:9">
      <c r="A123" s="399"/>
      <c r="B123" s="399" t="s">
        <v>1228</v>
      </c>
      <c r="C123" s="401" t="s">
        <v>19</v>
      </c>
      <c r="D123" s="401">
        <v>1</v>
      </c>
      <c r="E123" s="401" t="s">
        <v>26</v>
      </c>
      <c r="F123" s="616">
        <v>3500000</v>
      </c>
      <c r="G123" s="616">
        <f t="shared" si="1"/>
        <v>3500000</v>
      </c>
      <c r="H123" s="993"/>
      <c r="I123" s="990"/>
    </row>
    <row r="124" spans="1:9">
      <c r="A124" s="399"/>
      <c r="B124" s="399" t="s">
        <v>1229</v>
      </c>
      <c r="C124" s="401" t="s">
        <v>19</v>
      </c>
      <c r="D124" s="401">
        <v>1</v>
      </c>
      <c r="E124" s="401" t="s">
        <v>26</v>
      </c>
      <c r="F124" s="616">
        <v>0</v>
      </c>
      <c r="G124" s="616">
        <f t="shared" si="1"/>
        <v>0</v>
      </c>
      <c r="H124" s="993"/>
      <c r="I124" s="990"/>
    </row>
    <row r="125" spans="1:9">
      <c r="A125" s="399"/>
      <c r="B125" s="399" t="s">
        <v>1230</v>
      </c>
      <c r="C125" s="401" t="s">
        <v>19</v>
      </c>
      <c r="D125" s="401">
        <v>3</v>
      </c>
      <c r="E125" s="401" t="s">
        <v>26</v>
      </c>
      <c r="F125" s="616">
        <v>700000</v>
      </c>
      <c r="G125" s="616">
        <f t="shared" si="1"/>
        <v>2100000</v>
      </c>
      <c r="H125" s="993"/>
      <c r="I125" s="990"/>
    </row>
    <row r="126" spans="1:9">
      <c r="A126" s="399"/>
      <c r="B126" s="399" t="s">
        <v>1231</v>
      </c>
      <c r="C126" s="401" t="s">
        <v>19</v>
      </c>
      <c r="D126" s="401">
        <v>3</v>
      </c>
      <c r="E126" s="401" t="s">
        <v>26</v>
      </c>
      <c r="F126" s="616">
        <v>650000</v>
      </c>
      <c r="G126" s="616">
        <f t="shared" si="1"/>
        <v>1950000</v>
      </c>
      <c r="H126" s="994"/>
      <c r="I126" s="991"/>
    </row>
    <row r="127" spans="1:9">
      <c r="A127" s="80">
        <v>44498</v>
      </c>
      <c r="B127" s="81" t="s">
        <v>1234</v>
      </c>
      <c r="C127" s="82" t="s">
        <v>1238</v>
      </c>
      <c r="D127" s="82">
        <v>1</v>
      </c>
      <c r="E127" s="82" t="s">
        <v>26</v>
      </c>
      <c r="F127" s="636">
        <v>750000</v>
      </c>
      <c r="G127" s="636">
        <f t="shared" si="1"/>
        <v>750000</v>
      </c>
      <c r="H127" s="1001">
        <f>SUM(G127:G131)</f>
        <v>2100000</v>
      </c>
      <c r="I127" s="762" t="s">
        <v>685</v>
      </c>
    </row>
    <row r="128" spans="1:9">
      <c r="A128" s="81"/>
      <c r="B128" s="81" t="s">
        <v>1233</v>
      </c>
      <c r="C128" s="82" t="s">
        <v>1238</v>
      </c>
      <c r="D128" s="82">
        <v>1</v>
      </c>
      <c r="E128" s="82" t="s">
        <v>26</v>
      </c>
      <c r="F128" s="636">
        <v>625000</v>
      </c>
      <c r="G128" s="636">
        <f t="shared" si="1"/>
        <v>625000</v>
      </c>
      <c r="H128" s="1002"/>
      <c r="I128" s="763"/>
    </row>
    <row r="129" spans="1:9">
      <c r="A129" s="81"/>
      <c r="B129" s="81" t="s">
        <v>1235</v>
      </c>
      <c r="C129" s="82" t="s">
        <v>1238</v>
      </c>
      <c r="D129" s="82">
        <v>1</v>
      </c>
      <c r="E129" s="82" t="s">
        <v>26</v>
      </c>
      <c r="F129" s="636">
        <v>625000</v>
      </c>
      <c r="G129" s="636">
        <f t="shared" si="1"/>
        <v>625000</v>
      </c>
      <c r="H129" s="1002"/>
      <c r="I129" s="763"/>
    </row>
    <row r="130" spans="1:9">
      <c r="A130" s="81"/>
      <c r="B130" s="81" t="s">
        <v>1236</v>
      </c>
      <c r="C130" s="82" t="s">
        <v>1238</v>
      </c>
      <c r="D130" s="82">
        <v>1</v>
      </c>
      <c r="E130" s="82" t="s">
        <v>26</v>
      </c>
      <c r="F130" s="636">
        <v>50000</v>
      </c>
      <c r="G130" s="636">
        <f t="shared" si="1"/>
        <v>50000</v>
      </c>
      <c r="H130" s="1002"/>
      <c r="I130" s="763"/>
    </row>
    <row r="131" spans="1:9">
      <c r="A131" s="81"/>
      <c r="B131" s="81" t="s">
        <v>1237</v>
      </c>
      <c r="C131" s="82" t="s">
        <v>1238</v>
      </c>
      <c r="D131" s="82">
        <v>1</v>
      </c>
      <c r="E131" s="82" t="s">
        <v>26</v>
      </c>
      <c r="F131" s="636">
        <v>50000</v>
      </c>
      <c r="G131" s="636">
        <f t="shared" si="1"/>
        <v>50000</v>
      </c>
      <c r="H131" s="1003"/>
      <c r="I131" s="764"/>
    </row>
    <row r="132" spans="1:9">
      <c r="A132" s="66">
        <v>44499</v>
      </c>
      <c r="B132" s="40" t="s">
        <v>1240</v>
      </c>
      <c r="C132" s="67" t="s">
        <v>280</v>
      </c>
      <c r="D132" s="67">
        <v>1</v>
      </c>
      <c r="E132" s="67" t="s">
        <v>26</v>
      </c>
      <c r="F132" s="364">
        <v>0</v>
      </c>
      <c r="G132" s="364">
        <f t="shared" si="1"/>
        <v>0</v>
      </c>
      <c r="H132" s="943">
        <v>0</v>
      </c>
      <c r="I132" s="40"/>
    </row>
    <row r="133" spans="1:9">
      <c r="A133" s="40"/>
      <c r="B133" s="40" t="s">
        <v>1241</v>
      </c>
      <c r="C133" s="67" t="s">
        <v>280</v>
      </c>
      <c r="D133" s="67">
        <v>1</v>
      </c>
      <c r="E133" s="67" t="s">
        <v>26</v>
      </c>
      <c r="F133" s="364">
        <v>0</v>
      </c>
      <c r="G133" s="364">
        <f t="shared" si="1"/>
        <v>0</v>
      </c>
      <c r="H133" s="996"/>
      <c r="I133" s="40"/>
    </row>
    <row r="134" spans="1:9">
      <c r="A134" s="600">
        <v>44499</v>
      </c>
      <c r="B134" s="601" t="s">
        <v>1242</v>
      </c>
      <c r="C134" s="67" t="s">
        <v>146</v>
      </c>
      <c r="D134" s="67">
        <v>1</v>
      </c>
      <c r="E134" s="67" t="s">
        <v>1384</v>
      </c>
      <c r="F134" s="602">
        <v>0</v>
      </c>
      <c r="G134" s="602">
        <v>0</v>
      </c>
      <c r="H134" s="602">
        <v>0</v>
      </c>
      <c r="I134" s="601" t="s">
        <v>324</v>
      </c>
    </row>
    <row r="135" spans="1:9">
      <c r="A135" s="40"/>
      <c r="B135" s="40"/>
      <c r="C135" s="40"/>
      <c r="D135" s="40"/>
      <c r="E135" s="40"/>
      <c r="F135" s="364"/>
      <c r="G135" s="364"/>
      <c r="H135" s="364"/>
      <c r="I135" s="40"/>
    </row>
    <row r="136" spans="1:9">
      <c r="A136" s="40"/>
      <c r="B136" s="40"/>
      <c r="C136" s="40"/>
      <c r="D136" s="40"/>
      <c r="E136" s="40"/>
      <c r="F136" s="364"/>
      <c r="G136" s="364"/>
      <c r="H136" s="364"/>
      <c r="I136" s="40"/>
    </row>
    <row r="137" spans="1:9">
      <c r="A137" s="40"/>
      <c r="B137" s="40"/>
      <c r="C137" s="40"/>
      <c r="D137" s="40"/>
      <c r="E137" s="40"/>
      <c r="F137" s="364"/>
      <c r="G137" s="364"/>
      <c r="H137" s="364"/>
      <c r="I137" s="40"/>
    </row>
    <row r="138" spans="1:9">
      <c r="A138" s="40"/>
      <c r="B138" s="40"/>
      <c r="C138" s="40"/>
      <c r="D138" s="40"/>
      <c r="E138" s="40"/>
      <c r="F138" s="364"/>
      <c r="G138" s="364"/>
      <c r="H138" s="364"/>
      <c r="I138" s="40"/>
    </row>
    <row r="139" spans="1:9">
      <c r="A139" s="40"/>
      <c r="B139" s="40"/>
      <c r="C139" s="40"/>
      <c r="D139" s="40"/>
      <c r="E139" s="40"/>
      <c r="F139" s="364"/>
      <c r="G139" s="364"/>
      <c r="H139" s="364"/>
      <c r="I139" s="40"/>
    </row>
    <row r="140" spans="1:9">
      <c r="A140" s="40"/>
      <c r="B140" s="40"/>
      <c r="C140" s="40"/>
      <c r="D140" s="40"/>
      <c r="E140" s="40"/>
      <c r="F140" s="364"/>
      <c r="G140" s="364"/>
      <c r="H140" s="364"/>
      <c r="I140" s="40"/>
    </row>
    <row r="141" spans="1:9">
      <c r="A141" s="40"/>
      <c r="B141" s="40"/>
      <c r="C141" s="40"/>
      <c r="D141" s="40"/>
      <c r="E141" s="40"/>
      <c r="F141" s="364"/>
      <c r="G141" s="364"/>
      <c r="H141" s="364"/>
      <c r="I141" s="40"/>
    </row>
    <row r="142" spans="1:9">
      <c r="A142" s="40"/>
      <c r="B142" s="40"/>
      <c r="C142" s="40"/>
      <c r="D142" s="40"/>
      <c r="E142" s="40"/>
      <c r="F142" s="364"/>
      <c r="G142" s="364"/>
      <c r="H142" s="364"/>
      <c r="I142" s="40"/>
    </row>
    <row r="143" spans="1:9">
      <c r="A143" s="40"/>
      <c r="B143" s="40"/>
      <c r="C143" s="40"/>
      <c r="D143" s="40"/>
      <c r="E143" s="40"/>
      <c r="F143" s="364"/>
      <c r="G143" s="364"/>
      <c r="H143" s="364"/>
      <c r="I143" s="40"/>
    </row>
    <row r="144" spans="1:9">
      <c r="A144" s="40"/>
      <c r="B144" s="40"/>
      <c r="C144" s="40"/>
      <c r="D144" s="40"/>
      <c r="E144" s="40"/>
      <c r="F144" s="364"/>
      <c r="G144" s="364"/>
      <c r="H144" s="364"/>
      <c r="I144" s="40"/>
    </row>
    <row r="145" spans="1:9">
      <c r="A145" s="40"/>
      <c r="B145" s="40"/>
      <c r="C145" s="40"/>
      <c r="D145" s="40"/>
      <c r="E145" s="40"/>
      <c r="F145" s="364"/>
      <c r="G145" s="364"/>
      <c r="H145" s="364"/>
      <c r="I145" s="40"/>
    </row>
    <row r="146" spans="1:9">
      <c r="A146" s="40"/>
      <c r="B146" s="40"/>
      <c r="C146" s="40"/>
      <c r="D146" s="40"/>
      <c r="E146" s="40"/>
      <c r="F146" s="364"/>
      <c r="G146" s="364"/>
      <c r="H146" s="364"/>
      <c r="I146" s="40"/>
    </row>
    <row r="147" spans="1:9">
      <c r="A147" s="40"/>
      <c r="B147" s="40"/>
      <c r="C147" s="40"/>
      <c r="D147" s="40"/>
      <c r="E147" s="40"/>
      <c r="F147" s="364"/>
      <c r="G147" s="364"/>
      <c r="H147" s="364"/>
      <c r="I147" s="40"/>
    </row>
    <row r="148" spans="1:9">
      <c r="A148" s="40"/>
      <c r="B148" s="40"/>
      <c r="C148" s="40"/>
      <c r="D148" s="40"/>
      <c r="E148" s="40"/>
      <c r="F148" s="364"/>
      <c r="G148" s="364"/>
      <c r="H148" s="364"/>
      <c r="I148" s="40"/>
    </row>
    <row r="149" spans="1:9">
      <c r="A149" s="40"/>
      <c r="B149" s="40"/>
      <c r="C149" s="40"/>
      <c r="D149" s="40"/>
      <c r="E149" s="40"/>
      <c r="F149" s="364"/>
      <c r="G149" s="364"/>
      <c r="H149" s="364"/>
      <c r="I149" s="40"/>
    </row>
    <row r="150" spans="1:9">
      <c r="A150" s="40"/>
      <c r="B150" s="40"/>
      <c r="C150" s="40"/>
      <c r="D150" s="40"/>
      <c r="E150" s="40"/>
      <c r="F150" s="364"/>
      <c r="G150" s="364"/>
      <c r="H150" s="364"/>
      <c r="I150" s="40"/>
    </row>
    <row r="151" spans="1:9">
      <c r="A151" s="40"/>
      <c r="B151" s="40"/>
      <c r="C151" s="40"/>
      <c r="D151" s="40"/>
      <c r="E151" s="40"/>
      <c r="F151" s="364"/>
      <c r="G151" s="364"/>
      <c r="H151" s="364"/>
      <c r="I151" s="40"/>
    </row>
    <row r="152" spans="1:9">
      <c r="A152" s="40"/>
      <c r="B152" s="40"/>
      <c r="C152" s="40"/>
      <c r="D152" s="40"/>
      <c r="E152" s="40"/>
      <c r="F152" s="364"/>
      <c r="G152" s="364"/>
      <c r="H152" s="364"/>
      <c r="I152" s="40"/>
    </row>
    <row r="153" spans="1:9">
      <c r="A153" s="40"/>
      <c r="B153" s="40"/>
      <c r="C153" s="40"/>
      <c r="D153" s="40"/>
      <c r="E153" s="40"/>
      <c r="F153" s="364"/>
      <c r="G153" s="364"/>
      <c r="H153" s="364"/>
      <c r="I153" s="40"/>
    </row>
    <row r="154" spans="1:9">
      <c r="A154" s="40"/>
      <c r="B154" s="40"/>
      <c r="C154" s="40"/>
      <c r="D154" s="40"/>
      <c r="E154" s="40"/>
      <c r="F154" s="364"/>
      <c r="G154" s="364"/>
      <c r="H154" s="364"/>
      <c r="I154" s="40"/>
    </row>
    <row r="155" spans="1:9">
      <c r="A155" s="40"/>
      <c r="B155" s="40"/>
      <c r="C155" s="40"/>
      <c r="D155" s="40"/>
      <c r="E155" s="40"/>
      <c r="F155" s="364"/>
      <c r="G155" s="364"/>
      <c r="H155" s="364"/>
      <c r="I155" s="40"/>
    </row>
    <row r="156" spans="1:9">
      <c r="A156" s="40"/>
      <c r="B156" s="40"/>
      <c r="C156" s="40"/>
      <c r="D156" s="40"/>
      <c r="E156" s="40"/>
      <c r="F156" s="364"/>
      <c r="G156" s="364"/>
      <c r="H156" s="364"/>
      <c r="I156" s="40"/>
    </row>
    <row r="157" spans="1:9">
      <c r="A157" s="40"/>
      <c r="B157" s="40"/>
      <c r="C157" s="40"/>
      <c r="D157" s="40"/>
      <c r="E157" s="40"/>
      <c r="F157" s="364"/>
      <c r="G157" s="364"/>
      <c r="H157" s="364"/>
      <c r="I157" s="40"/>
    </row>
    <row r="158" spans="1:9">
      <c r="A158" s="40"/>
      <c r="B158" s="40"/>
      <c r="C158" s="40"/>
      <c r="D158" s="40"/>
      <c r="E158" s="40"/>
      <c r="F158" s="364"/>
      <c r="G158" s="364"/>
      <c r="H158" s="364"/>
      <c r="I158" s="40"/>
    </row>
    <row r="159" spans="1:9">
      <c r="A159" s="40"/>
      <c r="B159" s="40"/>
      <c r="C159" s="40"/>
      <c r="D159" s="40"/>
      <c r="E159" s="40"/>
      <c r="F159" s="364"/>
      <c r="G159" s="364"/>
      <c r="H159" s="364"/>
      <c r="I159" s="40"/>
    </row>
    <row r="160" spans="1:9">
      <c r="A160" s="40"/>
      <c r="B160" s="40"/>
      <c r="C160" s="40"/>
      <c r="D160" s="40"/>
      <c r="E160" s="40"/>
      <c r="F160" s="364"/>
      <c r="G160" s="364"/>
      <c r="H160" s="364"/>
      <c r="I160" s="40"/>
    </row>
    <row r="161" spans="1:9">
      <c r="A161" s="40"/>
      <c r="B161" s="40"/>
      <c r="C161" s="40"/>
      <c r="D161" s="40"/>
      <c r="E161" s="40"/>
      <c r="F161" s="364"/>
      <c r="G161" s="364"/>
      <c r="H161" s="364"/>
      <c r="I161" s="40"/>
    </row>
    <row r="162" spans="1:9">
      <c r="A162" s="40"/>
      <c r="B162" s="40"/>
      <c r="C162" s="40"/>
      <c r="D162" s="40"/>
      <c r="E162" s="40"/>
      <c r="F162" s="364"/>
      <c r="G162" s="364"/>
      <c r="H162" s="364"/>
      <c r="I162" s="40"/>
    </row>
    <row r="163" spans="1:9">
      <c r="A163" s="40"/>
      <c r="B163" s="40"/>
      <c r="C163" s="40"/>
      <c r="D163" s="40"/>
      <c r="E163" s="40"/>
      <c r="F163" s="364"/>
      <c r="G163" s="364"/>
      <c r="H163" s="364"/>
      <c r="I163" s="40"/>
    </row>
    <row r="164" spans="1:9">
      <c r="A164" s="40"/>
      <c r="B164" s="40"/>
      <c r="C164" s="40"/>
      <c r="D164" s="40"/>
      <c r="E164" s="40"/>
      <c r="F164" s="364"/>
      <c r="G164" s="364"/>
      <c r="H164" s="364"/>
      <c r="I164" s="40"/>
    </row>
    <row r="165" spans="1:9">
      <c r="A165" s="40"/>
      <c r="B165" s="40"/>
      <c r="C165" s="40"/>
      <c r="D165" s="40"/>
      <c r="E165" s="40"/>
      <c r="F165" s="364"/>
      <c r="G165" s="364"/>
      <c r="H165" s="364"/>
      <c r="I165" s="40"/>
    </row>
    <row r="166" spans="1:9">
      <c r="A166" s="40"/>
      <c r="B166" s="40"/>
      <c r="C166" s="40"/>
      <c r="D166" s="40"/>
      <c r="E166" s="40"/>
      <c r="F166" s="364"/>
      <c r="G166" s="364"/>
      <c r="H166" s="364"/>
      <c r="I166" s="40"/>
    </row>
    <row r="167" spans="1:9">
      <c r="A167" s="40"/>
      <c r="B167" s="40"/>
      <c r="C167" s="40"/>
      <c r="D167" s="40"/>
      <c r="E167" s="40"/>
      <c r="F167" s="364"/>
      <c r="G167" s="364"/>
      <c r="H167" s="364"/>
      <c r="I167" s="40"/>
    </row>
    <row r="168" spans="1:9">
      <c r="A168" s="40"/>
      <c r="B168" s="40"/>
      <c r="C168" s="40"/>
      <c r="D168" s="40"/>
      <c r="E168" s="40"/>
      <c r="F168" s="364"/>
      <c r="G168" s="364"/>
      <c r="H168" s="364"/>
      <c r="I168" s="40"/>
    </row>
    <row r="169" spans="1:9">
      <c r="A169" s="40"/>
      <c r="B169" s="40"/>
      <c r="C169" s="40"/>
      <c r="D169" s="40"/>
      <c r="E169" s="40"/>
      <c r="F169" s="364"/>
      <c r="G169" s="364"/>
      <c r="H169" s="364"/>
      <c r="I169" s="40"/>
    </row>
    <row r="170" spans="1:9">
      <c r="A170" s="40"/>
      <c r="B170" s="40"/>
      <c r="C170" s="40"/>
      <c r="D170" s="40"/>
      <c r="E170" s="40"/>
      <c r="F170" s="364"/>
      <c r="G170" s="364"/>
      <c r="H170" s="364"/>
      <c r="I170" s="40"/>
    </row>
    <row r="171" spans="1:9">
      <c r="A171" s="40"/>
      <c r="B171" s="40"/>
      <c r="C171" s="40"/>
      <c r="D171" s="40"/>
      <c r="E171" s="40"/>
      <c r="F171" s="364"/>
      <c r="G171" s="364"/>
      <c r="H171" s="364"/>
      <c r="I171" s="40"/>
    </row>
    <row r="172" spans="1:9">
      <c r="A172" s="40"/>
      <c r="B172" s="40"/>
      <c r="C172" s="40"/>
      <c r="D172" s="40"/>
      <c r="E172" s="40"/>
      <c r="F172" s="364"/>
      <c r="G172" s="364"/>
      <c r="H172" s="364"/>
      <c r="I172" s="40"/>
    </row>
    <row r="173" spans="1:9">
      <c r="A173" s="40"/>
      <c r="B173" s="40"/>
      <c r="C173" s="40"/>
      <c r="D173" s="40"/>
      <c r="E173" s="40"/>
      <c r="F173" s="364"/>
      <c r="G173" s="364"/>
      <c r="H173" s="364"/>
      <c r="I173" s="40"/>
    </row>
    <row r="174" spans="1:9">
      <c r="A174" s="40"/>
      <c r="B174" s="40"/>
      <c r="C174" s="40"/>
      <c r="D174" s="40"/>
      <c r="E174" s="40"/>
      <c r="F174" s="364"/>
      <c r="G174" s="364"/>
      <c r="H174" s="364"/>
      <c r="I174" s="40"/>
    </row>
    <row r="175" spans="1:9">
      <c r="A175" s="40"/>
      <c r="B175" s="40"/>
      <c r="C175" s="40"/>
      <c r="D175" s="40"/>
      <c r="E175" s="40"/>
      <c r="F175" s="364"/>
      <c r="G175" s="364"/>
      <c r="H175" s="364"/>
      <c r="I175" s="40"/>
    </row>
    <row r="176" spans="1:9">
      <c r="A176" s="40"/>
      <c r="B176" s="40"/>
      <c r="C176" s="40"/>
      <c r="D176" s="40"/>
      <c r="E176" s="40"/>
      <c r="F176" s="364"/>
      <c r="G176" s="364"/>
      <c r="H176" s="364"/>
      <c r="I176" s="40"/>
    </row>
    <row r="177" spans="1:9">
      <c r="A177" s="40"/>
      <c r="B177" s="40"/>
      <c r="C177" s="40"/>
      <c r="D177" s="40"/>
      <c r="E177" s="40"/>
      <c r="F177" s="364"/>
      <c r="G177" s="364"/>
      <c r="H177" s="364"/>
      <c r="I177" s="40"/>
    </row>
    <row r="178" spans="1:9">
      <c r="A178" s="40"/>
      <c r="B178" s="40"/>
      <c r="C178" s="40"/>
      <c r="D178" s="40"/>
      <c r="E178" s="40"/>
      <c r="F178" s="364"/>
      <c r="G178" s="364"/>
      <c r="H178" s="364"/>
      <c r="I178" s="40"/>
    </row>
    <row r="179" spans="1:9">
      <c r="A179" s="40"/>
      <c r="B179" s="40"/>
      <c r="C179" s="40"/>
      <c r="D179" s="40"/>
      <c r="E179" s="40"/>
      <c r="F179" s="364"/>
      <c r="G179" s="364"/>
      <c r="H179" s="364"/>
      <c r="I179" s="40"/>
    </row>
    <row r="180" spans="1:9">
      <c r="A180" s="40"/>
      <c r="B180" s="40"/>
      <c r="C180" s="40"/>
      <c r="D180" s="40"/>
      <c r="E180" s="40"/>
      <c r="F180" s="364"/>
      <c r="G180" s="364"/>
      <c r="H180" s="364"/>
      <c r="I180" s="40"/>
    </row>
    <row r="181" spans="1:9">
      <c r="A181" s="40"/>
      <c r="B181" s="40"/>
      <c r="C181" s="40"/>
      <c r="D181" s="40"/>
      <c r="E181" s="40"/>
      <c r="F181" s="364"/>
      <c r="G181" s="364"/>
      <c r="H181" s="364"/>
      <c r="I181" s="40"/>
    </row>
    <row r="182" spans="1:9">
      <c r="A182" s="40"/>
      <c r="B182" s="40"/>
      <c r="C182" s="40"/>
      <c r="D182" s="40"/>
      <c r="E182" s="40"/>
      <c r="F182" s="364"/>
      <c r="G182" s="364"/>
      <c r="H182" s="364"/>
      <c r="I182" s="40"/>
    </row>
    <row r="183" spans="1:9">
      <c r="A183" s="40"/>
      <c r="B183" s="40"/>
      <c r="C183" s="40"/>
      <c r="D183" s="40"/>
      <c r="E183" s="40"/>
      <c r="F183" s="364"/>
      <c r="G183" s="364"/>
      <c r="H183" s="364"/>
      <c r="I183" s="40"/>
    </row>
    <row r="184" spans="1:9">
      <c r="A184" s="40"/>
      <c r="B184" s="40"/>
      <c r="C184" s="40"/>
      <c r="D184" s="40"/>
      <c r="E184" s="40"/>
      <c r="F184" s="364"/>
      <c r="G184" s="364"/>
      <c r="H184" s="364"/>
      <c r="I184" s="40"/>
    </row>
    <row r="185" spans="1:9">
      <c r="A185" s="40"/>
      <c r="B185" s="40"/>
      <c r="C185" s="40"/>
      <c r="D185" s="40"/>
      <c r="E185" s="40"/>
      <c r="F185" s="40"/>
      <c r="G185" s="40"/>
      <c r="H185" s="40"/>
      <c r="I185" s="40"/>
    </row>
    <row r="186" spans="1:9">
      <c r="A186" s="40"/>
      <c r="B186" s="40"/>
      <c r="C186" s="40"/>
      <c r="D186" s="40"/>
      <c r="E186" s="40"/>
      <c r="F186" s="40"/>
      <c r="G186" s="40"/>
      <c r="H186" s="40"/>
      <c r="I186" s="40"/>
    </row>
  </sheetData>
  <mergeCells count="40">
    <mergeCell ref="I72:I73"/>
    <mergeCell ref="H61:H62"/>
    <mergeCell ref="I61:I62"/>
    <mergeCell ref="H57:H60"/>
    <mergeCell ref="I57:I60"/>
    <mergeCell ref="I69:I71"/>
    <mergeCell ref="H69:H71"/>
    <mergeCell ref="H72:H73"/>
    <mergeCell ref="H42:H55"/>
    <mergeCell ref="I42:I55"/>
    <mergeCell ref="H63:H68"/>
    <mergeCell ref="I63:I68"/>
    <mergeCell ref="H22:H30"/>
    <mergeCell ref="H31:H41"/>
    <mergeCell ref="I22:I30"/>
    <mergeCell ref="I31:I41"/>
    <mergeCell ref="H19:H20"/>
    <mergeCell ref="I19:I20"/>
    <mergeCell ref="H6:H9"/>
    <mergeCell ref="H10:H13"/>
    <mergeCell ref="H14:H17"/>
    <mergeCell ref="I6:I9"/>
    <mergeCell ref="I10:I13"/>
    <mergeCell ref="I14:I17"/>
    <mergeCell ref="O11:O13"/>
    <mergeCell ref="H132:H133"/>
    <mergeCell ref="H127:H131"/>
    <mergeCell ref="H103:H114"/>
    <mergeCell ref="H115:H118"/>
    <mergeCell ref="I103:I114"/>
    <mergeCell ref="I115:I118"/>
    <mergeCell ref="H119:H126"/>
    <mergeCell ref="I119:I126"/>
    <mergeCell ref="I127:I131"/>
    <mergeCell ref="I80:I83"/>
    <mergeCell ref="H84:H98"/>
    <mergeCell ref="I84:I98"/>
    <mergeCell ref="H80:H83"/>
    <mergeCell ref="H99:H102"/>
    <mergeCell ref="I99:I102"/>
  </mergeCells>
  <pageMargins left="0.70866141732283472" right="0.70866141732283472" top="0" bottom="0.59055118110236227" header="0.31496062992125984" footer="0.31496062992125984"/>
  <pageSetup paperSize="9" scale="105" orientation="landscape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R202"/>
  <sheetViews>
    <sheetView topLeftCell="A115" workbookViewId="0">
      <selection activeCell="O20" sqref="O20"/>
    </sheetView>
  </sheetViews>
  <sheetFormatPr defaultRowHeight="15"/>
  <cols>
    <col min="2" max="2" width="57.85546875" customWidth="1"/>
    <col min="3" max="3" width="18.7109375" customWidth="1"/>
    <col min="4" max="4" width="12" customWidth="1"/>
    <col min="5" max="5" width="7.7109375" customWidth="1"/>
    <col min="6" max="6" width="20.7109375" customWidth="1"/>
    <col min="7" max="7" width="17.7109375" customWidth="1"/>
    <col min="8" max="8" width="16.5703125" customWidth="1"/>
    <col min="9" max="9" width="22.42578125" customWidth="1"/>
    <col min="10" max="10" width="13.7109375" bestFit="1" customWidth="1"/>
    <col min="12" max="12" width="14.85546875" customWidth="1"/>
    <col min="13" max="13" width="16.42578125" customWidth="1"/>
    <col min="14" max="14" width="14.85546875" customWidth="1"/>
    <col min="15" max="15" width="24" customWidth="1"/>
    <col min="17" max="18" width="14" bestFit="1" customWidth="1"/>
  </cols>
  <sheetData>
    <row r="1" spans="1:18">
      <c r="A1" s="1" t="s">
        <v>0</v>
      </c>
      <c r="C1" s="2"/>
      <c r="D1" s="2"/>
      <c r="E1" s="2"/>
      <c r="F1" s="3"/>
      <c r="G1" s="3"/>
      <c r="H1" s="3"/>
      <c r="K1" s="4" t="s">
        <v>1043</v>
      </c>
      <c r="L1" s="5"/>
      <c r="M1" s="5"/>
      <c r="N1" s="3"/>
    </row>
    <row r="2" spans="1:18" ht="30">
      <c r="A2" s="6" t="s">
        <v>1</v>
      </c>
      <c r="B2" s="527" t="s">
        <v>2</v>
      </c>
      <c r="C2" s="527" t="s">
        <v>3</v>
      </c>
      <c r="D2" s="527" t="s">
        <v>4</v>
      </c>
      <c r="E2" s="527" t="s">
        <v>5</v>
      </c>
      <c r="F2" s="8" t="s">
        <v>6</v>
      </c>
      <c r="G2" s="9" t="s">
        <v>7</v>
      </c>
      <c r="H2" s="8" t="s">
        <v>8</v>
      </c>
      <c r="I2" s="527" t="s">
        <v>9</v>
      </c>
      <c r="K2" s="10" t="s">
        <v>10</v>
      </c>
      <c r="L2" s="11" t="s">
        <v>11</v>
      </c>
      <c r="M2" s="6" t="s">
        <v>12</v>
      </c>
      <c r="N2" s="9" t="s">
        <v>13</v>
      </c>
      <c r="O2" s="527" t="s">
        <v>9</v>
      </c>
    </row>
    <row r="3" spans="1:18">
      <c r="A3" s="66">
        <v>44501</v>
      </c>
      <c r="B3" s="40" t="s">
        <v>1243</v>
      </c>
      <c r="C3" s="67" t="s">
        <v>164</v>
      </c>
      <c r="D3" s="67">
        <v>3</v>
      </c>
      <c r="E3" s="67" t="s">
        <v>134</v>
      </c>
      <c r="F3" s="65">
        <v>285000</v>
      </c>
      <c r="G3" s="65">
        <f>F3*D3</f>
        <v>855000</v>
      </c>
      <c r="H3" s="715">
        <f>SUM(G3:G7)</f>
        <v>3700000</v>
      </c>
      <c r="I3" s="715" t="s">
        <v>67</v>
      </c>
      <c r="J3" s="18"/>
      <c r="K3" s="370">
        <v>1</v>
      </c>
      <c r="L3" s="388">
        <v>44459</v>
      </c>
      <c r="M3" s="389" t="s">
        <v>21</v>
      </c>
      <c r="N3" s="614">
        <v>2200000</v>
      </c>
      <c r="O3" s="615" t="s">
        <v>1349</v>
      </c>
    </row>
    <row r="4" spans="1:18">
      <c r="A4" s="40"/>
      <c r="B4" s="40" t="s">
        <v>1244</v>
      </c>
      <c r="C4" s="67" t="s">
        <v>164</v>
      </c>
      <c r="D4" s="67">
        <v>3</v>
      </c>
      <c r="E4" s="67" t="s">
        <v>134</v>
      </c>
      <c r="F4" s="65">
        <v>285000</v>
      </c>
      <c r="G4" s="65">
        <f t="shared" ref="G4:G72" si="0">F4*D4</f>
        <v>855000</v>
      </c>
      <c r="H4" s="807"/>
      <c r="I4" s="807"/>
      <c r="J4" s="19"/>
      <c r="K4" s="411">
        <v>2</v>
      </c>
      <c r="L4" s="306">
        <v>44441</v>
      </c>
      <c r="M4" s="307" t="s">
        <v>49</v>
      </c>
      <c r="N4" s="628">
        <v>3600000</v>
      </c>
      <c r="O4" s="1014" t="s">
        <v>1372</v>
      </c>
      <c r="Q4" s="349"/>
      <c r="R4" s="349"/>
    </row>
    <row r="5" spans="1:18">
      <c r="A5" s="40"/>
      <c r="B5" s="40" t="s">
        <v>1245</v>
      </c>
      <c r="C5" s="67" t="s">
        <v>164</v>
      </c>
      <c r="D5" s="67">
        <v>5</v>
      </c>
      <c r="E5" s="67" t="s">
        <v>134</v>
      </c>
      <c r="F5" s="65">
        <v>138000</v>
      </c>
      <c r="G5" s="65">
        <f t="shared" si="0"/>
        <v>690000</v>
      </c>
      <c r="H5" s="807"/>
      <c r="I5" s="807"/>
      <c r="J5" s="20"/>
      <c r="K5" s="412">
        <v>3</v>
      </c>
      <c r="L5" s="306">
        <v>44415</v>
      </c>
      <c r="M5" s="307" t="s">
        <v>49</v>
      </c>
      <c r="N5" s="628">
        <v>960000</v>
      </c>
      <c r="O5" s="1015"/>
    </row>
    <row r="6" spans="1:18">
      <c r="A6" s="40"/>
      <c r="B6" s="40" t="s">
        <v>1246</v>
      </c>
      <c r="C6" s="67" t="s">
        <v>164</v>
      </c>
      <c r="D6" s="67">
        <v>5</v>
      </c>
      <c r="E6" s="67" t="s">
        <v>134</v>
      </c>
      <c r="F6" s="65">
        <v>130000</v>
      </c>
      <c r="G6" s="65">
        <f t="shared" si="0"/>
        <v>650000</v>
      </c>
      <c r="H6" s="807"/>
      <c r="I6" s="807"/>
      <c r="J6" s="14"/>
      <c r="K6" s="411">
        <v>4</v>
      </c>
      <c r="L6" s="306">
        <v>44427</v>
      </c>
      <c r="M6" s="307" t="s">
        <v>49</v>
      </c>
      <c r="N6" s="308">
        <v>1400000</v>
      </c>
      <c r="O6" s="1016"/>
      <c r="Q6" s="349">
        <f>N4+N5+N6+N8+N9+N12</f>
        <v>39487200</v>
      </c>
    </row>
    <row r="7" spans="1:18">
      <c r="A7" s="40"/>
      <c r="B7" s="40" t="s">
        <v>1247</v>
      </c>
      <c r="C7" s="67" t="s">
        <v>164</v>
      </c>
      <c r="D7" s="67">
        <v>5</v>
      </c>
      <c r="E7" s="67" t="s">
        <v>134</v>
      </c>
      <c r="F7" s="65">
        <v>130000</v>
      </c>
      <c r="G7" s="65">
        <f t="shared" si="0"/>
        <v>650000</v>
      </c>
      <c r="H7" s="716"/>
      <c r="I7" s="716"/>
      <c r="J7" s="14"/>
      <c r="K7" s="411">
        <v>5</v>
      </c>
      <c r="L7" s="388">
        <v>44462</v>
      </c>
      <c r="M7" s="389" t="s">
        <v>21</v>
      </c>
      <c r="N7" s="404">
        <v>5368000</v>
      </c>
      <c r="O7" s="615" t="s">
        <v>1349</v>
      </c>
    </row>
    <row r="8" spans="1:18">
      <c r="A8" s="66">
        <v>44501</v>
      </c>
      <c r="B8" s="40" t="s">
        <v>1248</v>
      </c>
      <c r="C8" s="67" t="s">
        <v>164</v>
      </c>
      <c r="D8" s="67">
        <v>3</v>
      </c>
      <c r="E8" s="67" t="s">
        <v>134</v>
      </c>
      <c r="F8" s="65">
        <v>250000</v>
      </c>
      <c r="G8" s="65">
        <f t="shared" si="0"/>
        <v>750000</v>
      </c>
      <c r="H8" s="715">
        <f>SUM(G8:G12)</f>
        <v>3900000</v>
      </c>
      <c r="I8" s="715" t="s">
        <v>67</v>
      </c>
      <c r="J8" s="14"/>
      <c r="K8" s="412">
        <v>6</v>
      </c>
      <c r="L8" s="306">
        <v>44459</v>
      </c>
      <c r="M8" s="307" t="s">
        <v>49</v>
      </c>
      <c r="N8" s="308">
        <v>14365000</v>
      </c>
      <c r="O8" s="1020" t="s">
        <v>1450</v>
      </c>
      <c r="Q8" s="349"/>
    </row>
    <row r="9" spans="1:18">
      <c r="A9" s="40"/>
      <c r="B9" s="40" t="s">
        <v>1249</v>
      </c>
      <c r="C9" s="67" t="s">
        <v>164</v>
      </c>
      <c r="D9" s="67">
        <v>3</v>
      </c>
      <c r="E9" s="67" t="s">
        <v>134</v>
      </c>
      <c r="F9" s="65">
        <v>265000</v>
      </c>
      <c r="G9" s="65">
        <f t="shared" si="0"/>
        <v>795000</v>
      </c>
      <c r="H9" s="807"/>
      <c r="I9" s="807"/>
      <c r="J9" s="14"/>
      <c r="K9" s="411">
        <v>7</v>
      </c>
      <c r="L9" s="306">
        <v>44464</v>
      </c>
      <c r="M9" s="307" t="s">
        <v>49</v>
      </c>
      <c r="N9" s="308">
        <v>6672200</v>
      </c>
      <c r="O9" s="1021"/>
      <c r="Q9" s="349"/>
      <c r="R9" s="349"/>
    </row>
    <row r="10" spans="1:18">
      <c r="A10" s="21"/>
      <c r="B10" s="40" t="s">
        <v>1250</v>
      </c>
      <c r="C10" s="67" t="s">
        <v>164</v>
      </c>
      <c r="D10" s="67">
        <v>3</v>
      </c>
      <c r="E10" s="67" t="s">
        <v>134</v>
      </c>
      <c r="F10" s="65">
        <v>250000</v>
      </c>
      <c r="G10" s="65">
        <f t="shared" si="0"/>
        <v>750000</v>
      </c>
      <c r="H10" s="807"/>
      <c r="I10" s="807"/>
      <c r="J10" s="14"/>
      <c r="K10" s="411">
        <v>8</v>
      </c>
      <c r="L10" s="409">
        <v>44466</v>
      </c>
      <c r="M10" s="271" t="s">
        <v>328</v>
      </c>
      <c r="N10" s="273">
        <v>9790000</v>
      </c>
      <c r="O10" s="422" t="s">
        <v>1499</v>
      </c>
      <c r="R10" t="s">
        <v>649</v>
      </c>
    </row>
    <row r="11" spans="1:18">
      <c r="A11" s="21"/>
      <c r="B11" s="40" t="s">
        <v>1251</v>
      </c>
      <c r="C11" s="67" t="s">
        <v>164</v>
      </c>
      <c r="D11" s="67">
        <v>3</v>
      </c>
      <c r="E11" s="67" t="s">
        <v>134</v>
      </c>
      <c r="F11" s="65">
        <v>270000</v>
      </c>
      <c r="G11" s="65">
        <f t="shared" si="0"/>
        <v>810000</v>
      </c>
      <c r="H11" s="807"/>
      <c r="I11" s="807"/>
      <c r="J11" s="14"/>
      <c r="K11" s="412">
        <v>9</v>
      </c>
      <c r="L11" s="371">
        <v>44474</v>
      </c>
      <c r="M11" s="203" t="s">
        <v>97</v>
      </c>
      <c r="N11" s="205">
        <v>15000000</v>
      </c>
      <c r="O11" s="202"/>
    </row>
    <row r="12" spans="1:18">
      <c r="A12" s="21"/>
      <c r="B12" s="40" t="s">
        <v>1252</v>
      </c>
      <c r="C12" s="67" t="s">
        <v>164</v>
      </c>
      <c r="D12" s="67">
        <v>3</v>
      </c>
      <c r="E12" s="67" t="s">
        <v>134</v>
      </c>
      <c r="F12" s="24">
        <v>265000</v>
      </c>
      <c r="G12" s="65">
        <f t="shared" si="0"/>
        <v>795000</v>
      </c>
      <c r="H12" s="716"/>
      <c r="I12" s="716"/>
      <c r="J12" s="14"/>
      <c r="K12" s="411">
        <v>10</v>
      </c>
      <c r="L12" s="306">
        <v>44476</v>
      </c>
      <c r="M12" s="307" t="s">
        <v>49</v>
      </c>
      <c r="N12" s="308">
        <v>12490000</v>
      </c>
      <c r="O12" s="339" t="s">
        <v>1450</v>
      </c>
      <c r="Q12" s="142">
        <f>N3+N4+N5+N7+N8+N9+N10+N12+N13+N14+N17</f>
        <v>69650200</v>
      </c>
    </row>
    <row r="13" spans="1:18">
      <c r="A13" s="23">
        <v>44502</v>
      </c>
      <c r="B13" s="21" t="s">
        <v>1253</v>
      </c>
      <c r="C13" s="25" t="s">
        <v>49</v>
      </c>
      <c r="D13" s="41">
        <v>11</v>
      </c>
      <c r="E13" s="41" t="s">
        <v>26</v>
      </c>
      <c r="F13" s="24">
        <v>120000</v>
      </c>
      <c r="G13" s="65">
        <f t="shared" si="0"/>
        <v>1320000</v>
      </c>
      <c r="H13" s="24">
        <f>SUM(G13)</f>
        <v>1320000</v>
      </c>
      <c r="I13" s="25" t="s">
        <v>151</v>
      </c>
      <c r="J13" s="14"/>
      <c r="K13" s="411">
        <v>11</v>
      </c>
      <c r="L13" s="175">
        <v>44477</v>
      </c>
      <c r="M13" s="174" t="s">
        <v>510</v>
      </c>
      <c r="N13" s="161">
        <v>1500000</v>
      </c>
      <c r="O13" s="1027" t="s">
        <v>1431</v>
      </c>
    </row>
    <row r="14" spans="1:18">
      <c r="A14" s="23">
        <v>44503</v>
      </c>
      <c r="B14" s="21" t="s">
        <v>1254</v>
      </c>
      <c r="C14" s="25" t="s">
        <v>49</v>
      </c>
      <c r="D14" s="41">
        <v>5</v>
      </c>
      <c r="E14" s="41" t="s">
        <v>26</v>
      </c>
      <c r="F14" s="24">
        <v>500000</v>
      </c>
      <c r="G14" s="65">
        <f t="shared" si="0"/>
        <v>2500000</v>
      </c>
      <c r="H14" s="711">
        <f>SUM(G14:G20)</f>
        <v>10275000</v>
      </c>
      <c r="I14" s="1022" t="s">
        <v>151</v>
      </c>
      <c r="J14" s="14"/>
      <c r="K14" s="412">
        <v>12</v>
      </c>
      <c r="L14" s="175">
        <v>44477</v>
      </c>
      <c r="M14" s="174" t="s">
        <v>510</v>
      </c>
      <c r="N14" s="161">
        <v>2205000</v>
      </c>
      <c r="O14" s="1028"/>
      <c r="Q14" s="142"/>
    </row>
    <row r="15" spans="1:18">
      <c r="A15" s="21"/>
      <c r="B15" s="21" t="s">
        <v>1255</v>
      </c>
      <c r="C15" s="25" t="s">
        <v>49</v>
      </c>
      <c r="D15" s="41">
        <v>5</v>
      </c>
      <c r="E15" s="41" t="s">
        <v>26</v>
      </c>
      <c r="F15" s="24" t="s">
        <v>1261</v>
      </c>
      <c r="G15" s="65">
        <v>0</v>
      </c>
      <c r="H15" s="712"/>
      <c r="I15" s="1023"/>
      <c r="J15" s="14"/>
      <c r="K15" s="411">
        <v>13</v>
      </c>
      <c r="L15" s="198">
        <v>44480</v>
      </c>
      <c r="M15" s="195" t="s">
        <v>164</v>
      </c>
      <c r="N15" s="184">
        <v>9000000</v>
      </c>
      <c r="O15" s="182" t="s">
        <v>1495</v>
      </c>
    </row>
    <row r="16" spans="1:18">
      <c r="A16" s="21"/>
      <c r="B16" s="21" t="s">
        <v>1256</v>
      </c>
      <c r="C16" s="25" t="s">
        <v>49</v>
      </c>
      <c r="D16" s="41">
        <v>5</v>
      </c>
      <c r="E16" s="41" t="s">
        <v>26</v>
      </c>
      <c r="F16" s="24">
        <v>450000</v>
      </c>
      <c r="G16" s="65">
        <f t="shared" si="0"/>
        <v>2250000</v>
      </c>
      <c r="H16" s="712"/>
      <c r="I16" s="1023"/>
      <c r="J16" s="14"/>
      <c r="K16" s="412">
        <v>14</v>
      </c>
      <c r="L16" s="198">
        <v>44487</v>
      </c>
      <c r="M16" s="195" t="s">
        <v>164</v>
      </c>
      <c r="N16" s="184">
        <v>6400000</v>
      </c>
      <c r="O16" s="182" t="s">
        <v>1495</v>
      </c>
    </row>
    <row r="17" spans="1:18">
      <c r="A17" s="21"/>
      <c r="B17" s="21" t="s">
        <v>1257</v>
      </c>
      <c r="C17" s="25" t="s">
        <v>49</v>
      </c>
      <c r="D17" s="41">
        <v>5</v>
      </c>
      <c r="E17" s="41" t="s">
        <v>26</v>
      </c>
      <c r="F17" s="24">
        <v>95000</v>
      </c>
      <c r="G17" s="65">
        <f t="shared" si="0"/>
        <v>475000</v>
      </c>
      <c r="H17" s="712"/>
      <c r="I17" s="1023"/>
      <c r="J17" s="14"/>
      <c r="K17" s="411">
        <v>15</v>
      </c>
      <c r="L17" s="123">
        <v>44861</v>
      </c>
      <c r="M17" s="122" t="s">
        <v>19</v>
      </c>
      <c r="N17" s="117">
        <v>10500000</v>
      </c>
      <c r="O17" s="311" t="s">
        <v>1495</v>
      </c>
    </row>
    <row r="18" spans="1:18">
      <c r="A18" s="21"/>
      <c r="B18" s="21" t="s">
        <v>1258</v>
      </c>
      <c r="C18" s="25" t="s">
        <v>49</v>
      </c>
      <c r="D18" s="41">
        <v>10</v>
      </c>
      <c r="E18" s="41" t="s">
        <v>26</v>
      </c>
      <c r="F18" s="24">
        <v>95000</v>
      </c>
      <c r="G18" s="65">
        <f t="shared" si="0"/>
        <v>950000</v>
      </c>
      <c r="H18" s="712"/>
      <c r="I18" s="1023"/>
      <c r="J18" s="14"/>
      <c r="K18" s="411">
        <v>16</v>
      </c>
      <c r="L18" s="656">
        <v>44505</v>
      </c>
      <c r="M18" s="394" t="s">
        <v>28</v>
      </c>
      <c r="N18" s="211">
        <v>4155000</v>
      </c>
      <c r="O18" s="657" t="s">
        <v>1507</v>
      </c>
    </row>
    <row r="19" spans="1:18">
      <c r="A19" s="21"/>
      <c r="B19" s="21" t="s">
        <v>1259</v>
      </c>
      <c r="C19" s="25" t="s">
        <v>49</v>
      </c>
      <c r="D19" s="41">
        <v>2</v>
      </c>
      <c r="E19" s="41" t="s">
        <v>26</v>
      </c>
      <c r="F19" s="24">
        <v>1000000</v>
      </c>
      <c r="G19" s="65">
        <f t="shared" si="0"/>
        <v>2000000</v>
      </c>
      <c r="H19" s="712"/>
      <c r="I19" s="1023"/>
      <c r="J19" s="14"/>
      <c r="K19" s="412">
        <v>17</v>
      </c>
      <c r="L19" s="658">
        <v>44509</v>
      </c>
      <c r="M19" s="659" t="s">
        <v>1506</v>
      </c>
      <c r="N19" s="660">
        <v>18000000</v>
      </c>
      <c r="O19" s="661" t="s">
        <v>1509</v>
      </c>
      <c r="R19" s="142"/>
    </row>
    <row r="20" spans="1:18">
      <c r="A20" s="21"/>
      <c r="B20" s="21" t="s">
        <v>1260</v>
      </c>
      <c r="C20" s="25" t="s">
        <v>49</v>
      </c>
      <c r="D20" s="41">
        <v>7</v>
      </c>
      <c r="E20" s="41" t="s">
        <v>26</v>
      </c>
      <c r="F20" s="24">
        <v>300000</v>
      </c>
      <c r="G20" s="65">
        <f t="shared" si="0"/>
        <v>2100000</v>
      </c>
      <c r="H20" s="713"/>
      <c r="I20" s="1024"/>
      <c r="J20" s="14"/>
      <c r="K20" s="411">
        <v>18</v>
      </c>
      <c r="L20" s="63"/>
      <c r="M20" s="25"/>
      <c r="N20" s="24"/>
      <c r="O20" s="21"/>
    </row>
    <row r="21" spans="1:18">
      <c r="A21" s="23">
        <v>44505</v>
      </c>
      <c r="B21" s="21" t="s">
        <v>1262</v>
      </c>
      <c r="C21" s="25" t="s">
        <v>28</v>
      </c>
      <c r="D21" s="41">
        <v>20</v>
      </c>
      <c r="E21" s="41" t="s">
        <v>26</v>
      </c>
      <c r="F21" s="24">
        <v>180000</v>
      </c>
      <c r="G21" s="65">
        <f t="shared" si="0"/>
        <v>3600000</v>
      </c>
      <c r="H21" s="711">
        <f>SUM(G21:G22)</f>
        <v>4155000</v>
      </c>
      <c r="I21" s="698" t="s">
        <v>122</v>
      </c>
      <c r="J21" s="14"/>
      <c r="K21" s="25"/>
      <c r="L21" s="63"/>
      <c r="M21" s="25"/>
      <c r="N21" s="24"/>
      <c r="O21" s="21"/>
    </row>
    <row r="22" spans="1:18">
      <c r="A22" s="21"/>
      <c r="B22" s="21" t="s">
        <v>1263</v>
      </c>
      <c r="C22" s="25" t="s">
        <v>28</v>
      </c>
      <c r="D22" s="41">
        <v>3</v>
      </c>
      <c r="E22" s="41" t="s">
        <v>26</v>
      </c>
      <c r="F22" s="24">
        <v>185000</v>
      </c>
      <c r="G22" s="65">
        <f t="shared" si="0"/>
        <v>555000</v>
      </c>
      <c r="H22" s="713"/>
      <c r="I22" s="700"/>
      <c r="J22" s="14"/>
      <c r="K22" s="21"/>
      <c r="L22" s="63"/>
      <c r="M22" s="25"/>
      <c r="N22" s="24"/>
      <c r="O22" s="21"/>
    </row>
    <row r="23" spans="1:18">
      <c r="A23" s="23">
        <v>44508</v>
      </c>
      <c r="B23" s="21" t="s">
        <v>1265</v>
      </c>
      <c r="C23" s="25" t="s">
        <v>49</v>
      </c>
      <c r="D23" s="41">
        <v>12</v>
      </c>
      <c r="E23" s="41" t="s">
        <v>26</v>
      </c>
      <c r="F23" s="24">
        <v>62500</v>
      </c>
      <c r="G23" s="65">
        <f t="shared" si="0"/>
        <v>750000</v>
      </c>
      <c r="H23" s="711">
        <f>SUM(G23:G24)</f>
        <v>8250000</v>
      </c>
      <c r="I23" s="698" t="s">
        <v>35</v>
      </c>
      <c r="J23" s="14"/>
      <c r="L23" s="39"/>
      <c r="M23" s="39"/>
      <c r="N23" s="14"/>
      <c r="O23" s="14"/>
    </row>
    <row r="24" spans="1:18">
      <c r="A24" s="40"/>
      <c r="B24" s="40" t="s">
        <v>1266</v>
      </c>
      <c r="C24" s="67" t="s">
        <v>49</v>
      </c>
      <c r="D24" s="67">
        <v>5</v>
      </c>
      <c r="E24" s="41" t="s">
        <v>26</v>
      </c>
      <c r="F24" s="364">
        <v>1500000</v>
      </c>
      <c r="G24" s="65">
        <f t="shared" si="0"/>
        <v>7500000</v>
      </c>
      <c r="H24" s="713"/>
      <c r="I24" s="700"/>
      <c r="L24" s="39"/>
      <c r="M24" s="39"/>
      <c r="N24" s="22">
        <f>SUM(N3:N23)</f>
        <v>123605200</v>
      </c>
      <c r="O24" s="14"/>
    </row>
    <row r="25" spans="1:18">
      <c r="A25" s="66">
        <v>44508</v>
      </c>
      <c r="B25" s="40" t="s">
        <v>1267</v>
      </c>
      <c r="C25" s="67" t="s">
        <v>280</v>
      </c>
      <c r="D25" s="67">
        <v>1</v>
      </c>
      <c r="E25" s="41" t="s">
        <v>26</v>
      </c>
      <c r="F25" s="40">
        <v>0</v>
      </c>
      <c r="G25" s="65">
        <f t="shared" si="0"/>
        <v>0</v>
      </c>
      <c r="H25" s="808">
        <v>0</v>
      </c>
      <c r="I25" s="40"/>
    </row>
    <row r="26" spans="1:18">
      <c r="A26" s="40"/>
      <c r="B26" s="40" t="s">
        <v>1268</v>
      </c>
      <c r="C26" s="67" t="s">
        <v>280</v>
      </c>
      <c r="D26" s="67">
        <v>1</v>
      </c>
      <c r="E26" s="41" t="s">
        <v>26</v>
      </c>
      <c r="F26" s="40">
        <v>0</v>
      </c>
      <c r="G26" s="65">
        <f t="shared" si="0"/>
        <v>0</v>
      </c>
      <c r="H26" s="810"/>
      <c r="I26" s="40"/>
    </row>
    <row r="27" spans="1:18">
      <c r="A27" s="66">
        <v>44508</v>
      </c>
      <c r="B27" s="40" t="s">
        <v>1269</v>
      </c>
      <c r="C27" s="67" t="s">
        <v>164</v>
      </c>
      <c r="D27" s="67">
        <v>2</v>
      </c>
      <c r="E27" s="67" t="s">
        <v>26</v>
      </c>
      <c r="F27" s="604">
        <v>735000</v>
      </c>
      <c r="G27" s="65">
        <f t="shared" si="0"/>
        <v>1470000</v>
      </c>
      <c r="H27" s="65">
        <f>SUM(G27)</f>
        <v>1470000</v>
      </c>
      <c r="I27" s="40" t="s">
        <v>1271</v>
      </c>
    </row>
    <row r="28" spans="1:18">
      <c r="A28" s="66">
        <v>44509</v>
      </c>
      <c r="B28" s="40" t="s">
        <v>1270</v>
      </c>
      <c r="C28" s="67" t="s">
        <v>96</v>
      </c>
      <c r="D28" s="67">
        <v>15</v>
      </c>
      <c r="E28" s="67" t="s">
        <v>26</v>
      </c>
      <c r="F28" s="364">
        <v>1200000</v>
      </c>
      <c r="G28" s="65">
        <f t="shared" si="0"/>
        <v>18000000</v>
      </c>
      <c r="H28" s="65">
        <f>SUM(G28)</f>
        <v>18000000</v>
      </c>
      <c r="I28" s="67" t="s">
        <v>122</v>
      </c>
    </row>
    <row r="29" spans="1:18">
      <c r="A29" s="69">
        <v>44510</v>
      </c>
      <c r="B29" s="70" t="s">
        <v>1272</v>
      </c>
      <c r="C29" s="71" t="s">
        <v>18</v>
      </c>
      <c r="D29" s="71">
        <v>3</v>
      </c>
      <c r="E29" s="71" t="s">
        <v>26</v>
      </c>
      <c r="F29" s="621">
        <v>110000</v>
      </c>
      <c r="G29" s="621">
        <f t="shared" si="0"/>
        <v>330000</v>
      </c>
      <c r="H29" s="1011">
        <f>SUM(G29:G37)</f>
        <v>3000000</v>
      </c>
      <c r="I29" s="1017" t="s">
        <v>1375</v>
      </c>
    </row>
    <row r="30" spans="1:18">
      <c r="A30" s="70"/>
      <c r="B30" s="70" t="s">
        <v>1273</v>
      </c>
      <c r="C30" s="71" t="s">
        <v>18</v>
      </c>
      <c r="D30" s="71">
        <v>3</v>
      </c>
      <c r="E30" s="71" t="s">
        <v>26</v>
      </c>
      <c r="F30" s="621">
        <v>125000</v>
      </c>
      <c r="G30" s="621">
        <f t="shared" si="0"/>
        <v>375000</v>
      </c>
      <c r="H30" s="723"/>
      <c r="I30" s="1018"/>
    </row>
    <row r="31" spans="1:18">
      <c r="A31" s="70"/>
      <c r="B31" s="70" t="s">
        <v>1274</v>
      </c>
      <c r="C31" s="71" t="s">
        <v>18</v>
      </c>
      <c r="D31" s="71">
        <v>3</v>
      </c>
      <c r="E31" s="71" t="s">
        <v>26</v>
      </c>
      <c r="F31" s="621">
        <v>40000</v>
      </c>
      <c r="G31" s="621">
        <f t="shared" si="0"/>
        <v>120000</v>
      </c>
      <c r="H31" s="723"/>
      <c r="I31" s="1018"/>
    </row>
    <row r="32" spans="1:18">
      <c r="A32" s="70"/>
      <c r="B32" s="70" t="s">
        <v>1275</v>
      </c>
      <c r="C32" s="71" t="s">
        <v>18</v>
      </c>
      <c r="D32" s="71">
        <v>2</v>
      </c>
      <c r="E32" s="71" t="s">
        <v>26</v>
      </c>
      <c r="F32" s="621">
        <v>110000</v>
      </c>
      <c r="G32" s="621">
        <f t="shared" si="0"/>
        <v>220000</v>
      </c>
      <c r="H32" s="723"/>
      <c r="I32" s="1018"/>
    </row>
    <row r="33" spans="1:9">
      <c r="A33" s="70"/>
      <c r="B33" s="70" t="s">
        <v>1276</v>
      </c>
      <c r="C33" s="71" t="s">
        <v>18</v>
      </c>
      <c r="D33" s="71">
        <v>2</v>
      </c>
      <c r="E33" s="71" t="s">
        <v>26</v>
      </c>
      <c r="F33" s="621">
        <v>125000</v>
      </c>
      <c r="G33" s="621">
        <f t="shared" si="0"/>
        <v>250000</v>
      </c>
      <c r="H33" s="723"/>
      <c r="I33" s="1018"/>
    </row>
    <row r="34" spans="1:9">
      <c r="A34" s="70"/>
      <c r="B34" s="70" t="s">
        <v>1277</v>
      </c>
      <c r="C34" s="71" t="s">
        <v>18</v>
      </c>
      <c r="D34" s="71">
        <v>2</v>
      </c>
      <c r="E34" s="71" t="s">
        <v>26</v>
      </c>
      <c r="F34" s="621">
        <v>40000</v>
      </c>
      <c r="G34" s="621">
        <f t="shared" si="0"/>
        <v>80000</v>
      </c>
      <c r="H34" s="723"/>
      <c r="I34" s="1018"/>
    </row>
    <row r="35" spans="1:9">
      <c r="A35" s="70"/>
      <c r="B35" s="70" t="s">
        <v>1278</v>
      </c>
      <c r="C35" s="71" t="s">
        <v>18</v>
      </c>
      <c r="D35" s="71">
        <v>5</v>
      </c>
      <c r="E35" s="71" t="s">
        <v>26</v>
      </c>
      <c r="F35" s="621">
        <v>135000</v>
      </c>
      <c r="G35" s="621">
        <f t="shared" si="0"/>
        <v>675000</v>
      </c>
      <c r="H35" s="723"/>
      <c r="I35" s="1018"/>
    </row>
    <row r="36" spans="1:9">
      <c r="A36" s="70"/>
      <c r="B36" s="70" t="s">
        <v>1279</v>
      </c>
      <c r="C36" s="71" t="s">
        <v>18</v>
      </c>
      <c r="D36" s="71">
        <v>5</v>
      </c>
      <c r="E36" s="71" t="s">
        <v>26</v>
      </c>
      <c r="F36" s="621">
        <v>150000</v>
      </c>
      <c r="G36" s="621">
        <f t="shared" si="0"/>
        <v>750000</v>
      </c>
      <c r="H36" s="723"/>
      <c r="I36" s="1018"/>
    </row>
    <row r="37" spans="1:9">
      <c r="A37" s="70"/>
      <c r="B37" s="70" t="s">
        <v>1280</v>
      </c>
      <c r="C37" s="71" t="s">
        <v>18</v>
      </c>
      <c r="D37" s="71">
        <v>5</v>
      </c>
      <c r="E37" s="71" t="s">
        <v>26</v>
      </c>
      <c r="F37" s="621">
        <v>40000</v>
      </c>
      <c r="G37" s="621">
        <f t="shared" si="0"/>
        <v>200000</v>
      </c>
      <c r="H37" s="724"/>
      <c r="I37" s="1019"/>
    </row>
    <row r="38" spans="1:9">
      <c r="A38" s="66">
        <v>44511</v>
      </c>
      <c r="B38" s="40" t="s">
        <v>359</v>
      </c>
      <c r="C38" s="67" t="s">
        <v>164</v>
      </c>
      <c r="D38" s="67">
        <v>50</v>
      </c>
      <c r="E38" s="67" t="s">
        <v>26</v>
      </c>
      <c r="F38" s="364">
        <v>30000</v>
      </c>
      <c r="G38" s="364">
        <f t="shared" si="0"/>
        <v>1500000</v>
      </c>
      <c r="H38" s="364">
        <f>SUM(G38)</f>
        <v>1500000</v>
      </c>
      <c r="I38" s="67" t="s">
        <v>67</v>
      </c>
    </row>
    <row r="39" spans="1:9">
      <c r="A39" s="66">
        <v>44512</v>
      </c>
      <c r="B39" s="40" t="s">
        <v>91</v>
      </c>
      <c r="C39" s="67" t="s">
        <v>49</v>
      </c>
      <c r="D39" s="67">
        <v>2</v>
      </c>
      <c r="E39" s="67" t="s">
        <v>26</v>
      </c>
      <c r="F39" s="364">
        <v>3000000</v>
      </c>
      <c r="G39" s="364">
        <f t="shared" si="0"/>
        <v>6000000</v>
      </c>
      <c r="H39" s="943">
        <f>SUM(G39:G42)</f>
        <v>7725000</v>
      </c>
      <c r="I39" s="808" t="s">
        <v>151</v>
      </c>
    </row>
    <row r="40" spans="1:9">
      <c r="A40" s="40"/>
      <c r="B40" s="40" t="s">
        <v>1281</v>
      </c>
      <c r="C40" s="67" t="s">
        <v>49</v>
      </c>
      <c r="D40" s="67">
        <v>30</v>
      </c>
      <c r="E40" s="67" t="s">
        <v>26</v>
      </c>
      <c r="F40" s="364">
        <v>0</v>
      </c>
      <c r="G40" s="364">
        <f t="shared" si="0"/>
        <v>0</v>
      </c>
      <c r="H40" s="995"/>
      <c r="I40" s="809"/>
    </row>
    <row r="41" spans="1:9">
      <c r="A41" s="40"/>
      <c r="B41" s="40" t="s">
        <v>1282</v>
      </c>
      <c r="C41" s="67" t="s">
        <v>49</v>
      </c>
      <c r="D41" s="67">
        <v>17</v>
      </c>
      <c r="E41" s="67" t="s">
        <v>26</v>
      </c>
      <c r="F41" s="364">
        <v>75000</v>
      </c>
      <c r="G41" s="364">
        <f t="shared" si="0"/>
        <v>1275000</v>
      </c>
      <c r="H41" s="995"/>
      <c r="I41" s="809"/>
    </row>
    <row r="42" spans="1:9">
      <c r="A42" s="40"/>
      <c r="B42" s="40" t="s">
        <v>1283</v>
      </c>
      <c r="C42" s="67" t="s">
        <v>49</v>
      </c>
      <c r="D42" s="67">
        <v>30</v>
      </c>
      <c r="E42" s="67" t="s">
        <v>26</v>
      </c>
      <c r="F42" s="364">
        <v>15000</v>
      </c>
      <c r="G42" s="364">
        <f t="shared" si="0"/>
        <v>450000</v>
      </c>
      <c r="H42" s="996"/>
      <c r="I42" s="810"/>
    </row>
    <row r="43" spans="1:9">
      <c r="A43" s="66">
        <v>44512</v>
      </c>
      <c r="B43" s="40" t="s">
        <v>1284</v>
      </c>
      <c r="C43" s="67" t="s">
        <v>164</v>
      </c>
      <c r="D43" s="67">
        <v>2</v>
      </c>
      <c r="E43" s="67" t="s">
        <v>26</v>
      </c>
      <c r="F43" s="364">
        <v>640000</v>
      </c>
      <c r="G43" s="364">
        <f t="shared" si="0"/>
        <v>1280000</v>
      </c>
      <c r="H43" s="943">
        <f>SUM(G43:G51)</f>
        <v>12815000</v>
      </c>
      <c r="I43" s="808" t="s">
        <v>35</v>
      </c>
    </row>
    <row r="44" spans="1:9">
      <c r="A44" s="40"/>
      <c r="B44" s="40" t="s">
        <v>1285</v>
      </c>
      <c r="C44" s="67" t="s">
        <v>164</v>
      </c>
      <c r="D44" s="67">
        <v>2</v>
      </c>
      <c r="E44" s="67" t="s">
        <v>26</v>
      </c>
      <c r="F44" s="364">
        <v>740000</v>
      </c>
      <c r="G44" s="364">
        <f t="shared" si="0"/>
        <v>1480000</v>
      </c>
      <c r="H44" s="995"/>
      <c r="I44" s="809"/>
    </row>
    <row r="45" spans="1:9">
      <c r="A45" s="40"/>
      <c r="B45" s="40" t="s">
        <v>707</v>
      </c>
      <c r="C45" s="67" t="s">
        <v>164</v>
      </c>
      <c r="D45" s="67">
        <v>2</v>
      </c>
      <c r="E45" s="67" t="s">
        <v>26</v>
      </c>
      <c r="F45" s="364">
        <v>740000</v>
      </c>
      <c r="G45" s="364">
        <f t="shared" si="0"/>
        <v>1480000</v>
      </c>
      <c r="H45" s="995"/>
      <c r="I45" s="809"/>
    </row>
    <row r="46" spans="1:9">
      <c r="A46" s="40"/>
      <c r="B46" s="40" t="s">
        <v>1286</v>
      </c>
      <c r="C46" s="67" t="s">
        <v>164</v>
      </c>
      <c r="D46" s="67">
        <v>2</v>
      </c>
      <c r="E46" s="67" t="s">
        <v>26</v>
      </c>
      <c r="F46" s="364">
        <v>640000</v>
      </c>
      <c r="G46" s="364">
        <f t="shared" si="0"/>
        <v>1280000</v>
      </c>
      <c r="H46" s="995"/>
      <c r="I46" s="809"/>
    </row>
    <row r="47" spans="1:9">
      <c r="A47" s="40"/>
      <c r="B47" s="40" t="s">
        <v>1287</v>
      </c>
      <c r="C47" s="67" t="s">
        <v>164</v>
      </c>
      <c r="D47" s="67">
        <v>1</v>
      </c>
      <c r="E47" s="67" t="s">
        <v>26</v>
      </c>
      <c r="F47" s="364">
        <v>740000</v>
      </c>
      <c r="G47" s="364">
        <f t="shared" si="0"/>
        <v>740000</v>
      </c>
      <c r="H47" s="995"/>
      <c r="I47" s="809"/>
    </row>
    <row r="48" spans="1:9">
      <c r="A48" s="40"/>
      <c r="B48" s="40" t="s">
        <v>1288</v>
      </c>
      <c r="C48" s="67" t="s">
        <v>164</v>
      </c>
      <c r="D48" s="67">
        <v>1</v>
      </c>
      <c r="E48" s="67" t="s">
        <v>26</v>
      </c>
      <c r="F48" s="364">
        <v>635000</v>
      </c>
      <c r="G48" s="364">
        <f t="shared" si="0"/>
        <v>635000</v>
      </c>
      <c r="H48" s="995"/>
      <c r="I48" s="809"/>
    </row>
    <row r="49" spans="1:10">
      <c r="A49" s="40"/>
      <c r="B49" s="40" t="s">
        <v>1289</v>
      </c>
      <c r="C49" s="67" t="s">
        <v>164</v>
      </c>
      <c r="D49" s="67">
        <v>2</v>
      </c>
      <c r="E49" s="67" t="s">
        <v>26</v>
      </c>
      <c r="F49" s="364">
        <v>740000</v>
      </c>
      <c r="G49" s="364">
        <f t="shared" si="0"/>
        <v>1480000</v>
      </c>
      <c r="H49" s="995"/>
      <c r="I49" s="809"/>
    </row>
    <row r="50" spans="1:10">
      <c r="A50" s="40"/>
      <c r="B50" s="40" t="s">
        <v>1290</v>
      </c>
      <c r="C50" s="67" t="s">
        <v>164</v>
      </c>
      <c r="D50" s="67">
        <v>4</v>
      </c>
      <c r="E50" s="67" t="s">
        <v>26</v>
      </c>
      <c r="F50" s="364">
        <v>740000</v>
      </c>
      <c r="G50" s="364">
        <f t="shared" si="0"/>
        <v>2960000</v>
      </c>
      <c r="H50" s="995"/>
      <c r="I50" s="809"/>
    </row>
    <row r="51" spans="1:10">
      <c r="A51" s="40"/>
      <c r="B51" s="40" t="s">
        <v>1291</v>
      </c>
      <c r="C51" s="67" t="s">
        <v>164</v>
      </c>
      <c r="D51" s="67">
        <v>2</v>
      </c>
      <c r="E51" s="67" t="s">
        <v>26</v>
      </c>
      <c r="F51" s="364">
        <v>740000</v>
      </c>
      <c r="G51" s="364">
        <f t="shared" si="0"/>
        <v>1480000</v>
      </c>
      <c r="H51" s="996"/>
      <c r="I51" s="810"/>
    </row>
    <row r="52" spans="1:10">
      <c r="A52" s="329">
        <v>44512</v>
      </c>
      <c r="B52" s="330" t="s">
        <v>810</v>
      </c>
      <c r="C52" s="331" t="s">
        <v>811</v>
      </c>
      <c r="D52" s="331">
        <v>2</v>
      </c>
      <c r="E52" s="331" t="s">
        <v>26</v>
      </c>
      <c r="F52" s="511">
        <v>3500000</v>
      </c>
      <c r="G52" s="511">
        <f t="shared" si="0"/>
        <v>7000000</v>
      </c>
      <c r="H52" s="1025">
        <f>SUM(G52:G53)</f>
        <v>7200000</v>
      </c>
      <c r="I52" s="820" t="s">
        <v>1292</v>
      </c>
    </row>
    <row r="53" spans="1:10">
      <c r="A53" s="330"/>
      <c r="B53" s="330" t="s">
        <v>1293</v>
      </c>
      <c r="C53" s="331" t="s">
        <v>811</v>
      </c>
      <c r="D53" s="331">
        <v>1</v>
      </c>
      <c r="E53" s="331" t="s">
        <v>26</v>
      </c>
      <c r="F53" s="511">
        <v>200000</v>
      </c>
      <c r="G53" s="511">
        <f t="shared" si="0"/>
        <v>200000</v>
      </c>
      <c r="H53" s="1026"/>
      <c r="I53" s="822"/>
    </row>
    <row r="54" spans="1:10">
      <c r="A54" s="66">
        <v>44513</v>
      </c>
      <c r="B54" s="40" t="s">
        <v>1294</v>
      </c>
      <c r="C54" s="67" t="s">
        <v>280</v>
      </c>
      <c r="D54" s="67">
        <v>1</v>
      </c>
      <c r="E54" s="67" t="s">
        <v>26</v>
      </c>
      <c r="F54" s="364">
        <v>0</v>
      </c>
      <c r="G54" s="364">
        <f t="shared" si="0"/>
        <v>0</v>
      </c>
      <c r="H54" s="364">
        <v>0</v>
      </c>
      <c r="I54" s="40"/>
    </row>
    <row r="55" spans="1:10">
      <c r="A55" s="66">
        <v>44515</v>
      </c>
      <c r="B55" s="40" t="s">
        <v>1296</v>
      </c>
      <c r="C55" s="67" t="s">
        <v>164</v>
      </c>
      <c r="D55" s="67">
        <v>1</v>
      </c>
      <c r="E55" s="67" t="s">
        <v>26</v>
      </c>
      <c r="F55" s="364">
        <v>735000</v>
      </c>
      <c r="G55" s="364">
        <f t="shared" si="0"/>
        <v>735000</v>
      </c>
      <c r="H55" s="943">
        <f>SUM(G55:G56)</f>
        <v>2005000</v>
      </c>
      <c r="I55" s="808" t="s">
        <v>67</v>
      </c>
      <c r="J55" s="502">
        <f>SUM(H55:H59)</f>
        <v>5480000</v>
      </c>
    </row>
    <row r="56" spans="1:10">
      <c r="A56" s="40"/>
      <c r="B56" s="40" t="s">
        <v>1295</v>
      </c>
      <c r="C56" s="67" t="s">
        <v>164</v>
      </c>
      <c r="D56" s="67">
        <v>2</v>
      </c>
      <c r="E56" s="67" t="s">
        <v>26</v>
      </c>
      <c r="F56" s="364">
        <v>635000</v>
      </c>
      <c r="G56" s="364">
        <f t="shared" si="0"/>
        <v>1270000</v>
      </c>
      <c r="H56" s="996"/>
      <c r="I56" s="809"/>
    </row>
    <row r="57" spans="1:10">
      <c r="A57" s="40"/>
      <c r="B57" s="40" t="s">
        <v>1297</v>
      </c>
      <c r="C57" s="67" t="s">
        <v>164</v>
      </c>
      <c r="D57" s="67">
        <v>2</v>
      </c>
      <c r="E57" s="67" t="s">
        <v>26</v>
      </c>
      <c r="F57" s="364">
        <v>635000</v>
      </c>
      <c r="G57" s="364">
        <f t="shared" si="0"/>
        <v>1270000</v>
      </c>
      <c r="H57" s="943">
        <f>SUM(G57:G59)</f>
        <v>3475000</v>
      </c>
      <c r="I57" s="809"/>
    </row>
    <row r="58" spans="1:10">
      <c r="A58" s="40"/>
      <c r="B58" s="40" t="s">
        <v>1298</v>
      </c>
      <c r="C58" s="67" t="s">
        <v>164</v>
      </c>
      <c r="D58" s="67">
        <v>1</v>
      </c>
      <c r="E58" s="67" t="s">
        <v>26</v>
      </c>
      <c r="F58" s="364">
        <v>735000</v>
      </c>
      <c r="G58" s="364">
        <f t="shared" si="0"/>
        <v>735000</v>
      </c>
      <c r="H58" s="995"/>
      <c r="I58" s="809"/>
    </row>
    <row r="59" spans="1:10">
      <c r="A59" s="40"/>
      <c r="B59" s="40" t="s">
        <v>1299</v>
      </c>
      <c r="C59" s="67" t="s">
        <v>164</v>
      </c>
      <c r="D59" s="67">
        <v>2</v>
      </c>
      <c r="E59" s="67" t="s">
        <v>26</v>
      </c>
      <c r="F59" s="364">
        <v>735000</v>
      </c>
      <c r="G59" s="364">
        <f t="shared" si="0"/>
        <v>1470000</v>
      </c>
      <c r="H59" s="996"/>
      <c r="I59" s="810"/>
    </row>
    <row r="60" spans="1:10">
      <c r="A60" s="66">
        <v>44515</v>
      </c>
      <c r="B60" s="40" t="s">
        <v>1300</v>
      </c>
      <c r="C60" s="67" t="s">
        <v>21</v>
      </c>
      <c r="D60" s="67">
        <v>1</v>
      </c>
      <c r="E60" s="67" t="s">
        <v>26</v>
      </c>
      <c r="F60" s="364">
        <v>1100000</v>
      </c>
      <c r="G60" s="364">
        <f t="shared" si="0"/>
        <v>1100000</v>
      </c>
      <c r="H60" s="943">
        <f>SUM(G60:G61)</f>
        <v>2200000</v>
      </c>
      <c r="I60" s="808" t="s">
        <v>35</v>
      </c>
    </row>
    <row r="61" spans="1:10">
      <c r="A61" s="40"/>
      <c r="B61" s="40" t="s">
        <v>1301</v>
      </c>
      <c r="C61" s="67" t="s">
        <v>21</v>
      </c>
      <c r="D61" s="67">
        <v>1</v>
      </c>
      <c r="E61" s="67" t="s">
        <v>26</v>
      </c>
      <c r="F61" s="364">
        <v>1100000</v>
      </c>
      <c r="G61" s="364">
        <f t="shared" si="0"/>
        <v>1100000</v>
      </c>
      <c r="H61" s="996"/>
      <c r="I61" s="810"/>
    </row>
    <row r="62" spans="1:10">
      <c r="A62" s="80">
        <v>44515</v>
      </c>
      <c r="B62" s="81" t="s">
        <v>1302</v>
      </c>
      <c r="C62" s="82" t="s">
        <v>1238</v>
      </c>
      <c r="D62" s="82">
        <v>1</v>
      </c>
      <c r="E62" s="82" t="s">
        <v>26</v>
      </c>
      <c r="F62" s="636">
        <v>750000</v>
      </c>
      <c r="G62" s="636">
        <f t="shared" si="0"/>
        <v>750000</v>
      </c>
      <c r="H62" s="1001">
        <f>SUM(G62:G68)</f>
        <v>3200000</v>
      </c>
      <c r="I62" s="762" t="s">
        <v>685</v>
      </c>
    </row>
    <row r="63" spans="1:10">
      <c r="A63" s="81"/>
      <c r="B63" s="81" t="s">
        <v>1303</v>
      </c>
      <c r="C63" s="82" t="s">
        <v>1238</v>
      </c>
      <c r="D63" s="82">
        <v>1</v>
      </c>
      <c r="E63" s="82" t="s">
        <v>26</v>
      </c>
      <c r="F63" s="636">
        <v>750000</v>
      </c>
      <c r="G63" s="636">
        <f t="shared" si="0"/>
        <v>750000</v>
      </c>
      <c r="H63" s="1002"/>
      <c r="I63" s="763"/>
    </row>
    <row r="64" spans="1:10">
      <c r="A64" s="81"/>
      <c r="B64" s="81" t="s">
        <v>1304</v>
      </c>
      <c r="C64" s="82" t="s">
        <v>1238</v>
      </c>
      <c r="D64" s="82">
        <v>1</v>
      </c>
      <c r="E64" s="82" t="s">
        <v>26</v>
      </c>
      <c r="F64" s="636">
        <v>750000</v>
      </c>
      <c r="G64" s="636">
        <f t="shared" si="0"/>
        <v>750000</v>
      </c>
      <c r="H64" s="1002"/>
      <c r="I64" s="763"/>
    </row>
    <row r="65" spans="1:10">
      <c r="A65" s="81"/>
      <c r="B65" s="81" t="s">
        <v>1305</v>
      </c>
      <c r="C65" s="82" t="s">
        <v>1238</v>
      </c>
      <c r="D65" s="82">
        <v>1</v>
      </c>
      <c r="E65" s="82" t="s">
        <v>26</v>
      </c>
      <c r="F65" s="636">
        <v>750000</v>
      </c>
      <c r="G65" s="636">
        <f t="shared" si="0"/>
        <v>750000</v>
      </c>
      <c r="H65" s="1002"/>
      <c r="I65" s="763"/>
    </row>
    <row r="66" spans="1:10">
      <c r="A66" s="81"/>
      <c r="B66" s="81" t="s">
        <v>1306</v>
      </c>
      <c r="C66" s="82" t="s">
        <v>1238</v>
      </c>
      <c r="D66" s="82">
        <v>1</v>
      </c>
      <c r="E66" s="82" t="s">
        <v>26</v>
      </c>
      <c r="F66" s="636">
        <v>50000</v>
      </c>
      <c r="G66" s="636">
        <f t="shared" si="0"/>
        <v>50000</v>
      </c>
      <c r="H66" s="1002"/>
      <c r="I66" s="763"/>
    </row>
    <row r="67" spans="1:10">
      <c r="A67" s="81"/>
      <c r="B67" s="81" t="s">
        <v>1307</v>
      </c>
      <c r="C67" s="82" t="s">
        <v>1238</v>
      </c>
      <c r="D67" s="82">
        <v>1</v>
      </c>
      <c r="E67" s="82" t="s">
        <v>26</v>
      </c>
      <c r="F67" s="636">
        <v>50000</v>
      </c>
      <c r="G67" s="636">
        <f t="shared" si="0"/>
        <v>50000</v>
      </c>
      <c r="H67" s="1002"/>
      <c r="I67" s="763"/>
    </row>
    <row r="68" spans="1:10">
      <c r="A68" s="81"/>
      <c r="B68" s="81" t="s">
        <v>1308</v>
      </c>
      <c r="C68" s="82" t="s">
        <v>1238</v>
      </c>
      <c r="D68" s="82">
        <v>2</v>
      </c>
      <c r="E68" s="82" t="s">
        <v>26</v>
      </c>
      <c r="F68" s="636">
        <v>50000</v>
      </c>
      <c r="G68" s="636">
        <f t="shared" si="0"/>
        <v>100000</v>
      </c>
      <c r="H68" s="1003"/>
      <c r="I68" s="764"/>
    </row>
    <row r="69" spans="1:10">
      <c r="A69" s="66">
        <v>44516</v>
      </c>
      <c r="B69" s="40" t="s">
        <v>1330</v>
      </c>
      <c r="C69" s="67" t="s">
        <v>164</v>
      </c>
      <c r="D69" s="67">
        <v>1</v>
      </c>
      <c r="E69" s="67" t="s">
        <v>26</v>
      </c>
      <c r="F69" s="364">
        <v>735000</v>
      </c>
      <c r="G69" s="364">
        <f t="shared" si="0"/>
        <v>735000</v>
      </c>
      <c r="H69" s="943">
        <f>SUM(G69:G74)</f>
        <v>5045000</v>
      </c>
      <c r="I69" s="808" t="s">
        <v>35</v>
      </c>
      <c r="J69" s="502">
        <f>SUM(H69:H76)</f>
        <v>7250000</v>
      </c>
    </row>
    <row r="70" spans="1:10">
      <c r="A70" s="40"/>
      <c r="B70" s="40" t="s">
        <v>1309</v>
      </c>
      <c r="C70" s="67" t="s">
        <v>164</v>
      </c>
      <c r="D70" s="67">
        <v>1</v>
      </c>
      <c r="E70" s="67" t="s">
        <v>26</v>
      </c>
      <c r="F70" s="364">
        <v>735000</v>
      </c>
      <c r="G70" s="364">
        <f t="shared" si="0"/>
        <v>735000</v>
      </c>
      <c r="H70" s="995"/>
      <c r="I70" s="809"/>
    </row>
    <row r="71" spans="1:10">
      <c r="A71" s="40"/>
      <c r="B71" s="40" t="s">
        <v>1310</v>
      </c>
      <c r="C71" s="67" t="s">
        <v>164</v>
      </c>
      <c r="D71" s="67">
        <v>1</v>
      </c>
      <c r="E71" s="67" t="s">
        <v>26</v>
      </c>
      <c r="F71" s="364">
        <v>735000</v>
      </c>
      <c r="G71" s="364">
        <f t="shared" si="0"/>
        <v>735000</v>
      </c>
      <c r="H71" s="995"/>
      <c r="I71" s="809"/>
    </row>
    <row r="72" spans="1:10">
      <c r="A72" s="40"/>
      <c r="B72" s="40" t="s">
        <v>1311</v>
      </c>
      <c r="C72" s="67" t="s">
        <v>164</v>
      </c>
      <c r="D72" s="67">
        <v>1</v>
      </c>
      <c r="E72" s="67" t="s">
        <v>26</v>
      </c>
      <c r="F72" s="364">
        <v>735000</v>
      </c>
      <c r="G72" s="364">
        <f t="shared" si="0"/>
        <v>735000</v>
      </c>
      <c r="H72" s="995"/>
      <c r="I72" s="809"/>
    </row>
    <row r="73" spans="1:10">
      <c r="A73" s="40"/>
      <c r="B73" s="40" t="s">
        <v>1312</v>
      </c>
      <c r="C73" s="67" t="s">
        <v>164</v>
      </c>
      <c r="D73" s="67">
        <v>2</v>
      </c>
      <c r="E73" s="67" t="s">
        <v>26</v>
      </c>
      <c r="F73" s="364">
        <v>735000</v>
      </c>
      <c r="G73" s="364">
        <f t="shared" ref="G73:G93" si="1">F73*D73</f>
        <v>1470000</v>
      </c>
      <c r="H73" s="995"/>
      <c r="I73" s="809"/>
    </row>
    <row r="74" spans="1:10">
      <c r="A74" s="40"/>
      <c r="B74" s="40" t="s">
        <v>1313</v>
      </c>
      <c r="C74" s="67" t="s">
        <v>164</v>
      </c>
      <c r="D74" s="67">
        <v>1</v>
      </c>
      <c r="E74" s="67" t="s">
        <v>26</v>
      </c>
      <c r="F74" s="364">
        <v>635000</v>
      </c>
      <c r="G74" s="364">
        <f t="shared" si="1"/>
        <v>635000</v>
      </c>
      <c r="H74" s="996"/>
      <c r="I74" s="809"/>
    </row>
    <row r="75" spans="1:10">
      <c r="A75" s="40"/>
      <c r="B75" s="40" t="s">
        <v>1314</v>
      </c>
      <c r="C75" s="67" t="s">
        <v>164</v>
      </c>
      <c r="D75" s="67">
        <v>1</v>
      </c>
      <c r="E75" s="67" t="s">
        <v>26</v>
      </c>
      <c r="F75" s="364">
        <v>735000</v>
      </c>
      <c r="G75" s="364">
        <f t="shared" si="1"/>
        <v>735000</v>
      </c>
      <c r="H75" s="943">
        <f>SUM(G75:G76)</f>
        <v>2205000</v>
      </c>
      <c r="I75" s="809"/>
    </row>
    <row r="76" spans="1:10">
      <c r="A76" s="40"/>
      <c r="B76" s="40" t="s">
        <v>1315</v>
      </c>
      <c r="C76" s="67" t="s">
        <v>164</v>
      </c>
      <c r="D76" s="67">
        <v>2</v>
      </c>
      <c r="E76" s="67" t="s">
        <v>26</v>
      </c>
      <c r="F76" s="364">
        <v>735000</v>
      </c>
      <c r="G76" s="364">
        <f t="shared" si="1"/>
        <v>1470000</v>
      </c>
      <c r="H76" s="996"/>
      <c r="I76" s="810"/>
    </row>
    <row r="77" spans="1:10">
      <c r="A77" s="69">
        <v>44517</v>
      </c>
      <c r="B77" s="70" t="s">
        <v>1316</v>
      </c>
      <c r="C77" s="71" t="s">
        <v>18</v>
      </c>
      <c r="D77" s="71">
        <v>3</v>
      </c>
      <c r="E77" s="71" t="s">
        <v>26</v>
      </c>
      <c r="F77" s="621">
        <v>140000</v>
      </c>
      <c r="G77" s="621">
        <f t="shared" si="1"/>
        <v>420000</v>
      </c>
      <c r="H77" s="1011">
        <f>SUM(G77:G81)</f>
        <v>2100000</v>
      </c>
      <c r="I77" s="722" t="s">
        <v>1375</v>
      </c>
    </row>
    <row r="78" spans="1:10">
      <c r="A78" s="70"/>
      <c r="B78" s="70" t="s">
        <v>1317</v>
      </c>
      <c r="C78" s="71" t="s">
        <v>18</v>
      </c>
      <c r="D78" s="71">
        <v>3</v>
      </c>
      <c r="E78" s="71" t="s">
        <v>26</v>
      </c>
      <c r="F78" s="621">
        <v>160000</v>
      </c>
      <c r="G78" s="621">
        <f t="shared" si="1"/>
        <v>480000</v>
      </c>
      <c r="H78" s="1012"/>
      <c r="I78" s="723"/>
    </row>
    <row r="79" spans="1:10">
      <c r="A79" s="70"/>
      <c r="B79" s="70" t="s">
        <v>1318</v>
      </c>
      <c r="C79" s="71" t="s">
        <v>18</v>
      </c>
      <c r="D79" s="71">
        <v>2</v>
      </c>
      <c r="E79" s="71" t="s">
        <v>26</v>
      </c>
      <c r="F79" s="621">
        <v>140000</v>
      </c>
      <c r="G79" s="621">
        <f t="shared" si="1"/>
        <v>280000</v>
      </c>
      <c r="H79" s="1012"/>
      <c r="I79" s="723"/>
    </row>
    <row r="80" spans="1:10">
      <c r="A80" s="70"/>
      <c r="B80" s="70" t="s">
        <v>1319</v>
      </c>
      <c r="C80" s="71" t="s">
        <v>18</v>
      </c>
      <c r="D80" s="71">
        <v>2</v>
      </c>
      <c r="E80" s="71" t="s">
        <v>26</v>
      </c>
      <c r="F80" s="621">
        <v>160000</v>
      </c>
      <c r="G80" s="621">
        <f t="shared" si="1"/>
        <v>320000</v>
      </c>
      <c r="H80" s="1012"/>
      <c r="I80" s="723"/>
    </row>
    <row r="81" spans="1:9">
      <c r="A81" s="70"/>
      <c r="B81" s="70" t="s">
        <v>1320</v>
      </c>
      <c r="C81" s="71" t="s">
        <v>18</v>
      </c>
      <c r="D81" s="71">
        <v>2</v>
      </c>
      <c r="E81" s="71" t="s">
        <v>26</v>
      </c>
      <c r="F81" s="621">
        <v>300000</v>
      </c>
      <c r="G81" s="621">
        <f t="shared" si="1"/>
        <v>600000</v>
      </c>
      <c r="H81" s="1013"/>
      <c r="I81" s="724"/>
    </row>
    <row r="82" spans="1:9">
      <c r="A82" s="66">
        <v>44519</v>
      </c>
      <c r="B82" s="40" t="s">
        <v>1322</v>
      </c>
      <c r="C82" s="67" t="s">
        <v>164</v>
      </c>
      <c r="D82" s="67">
        <v>2</v>
      </c>
      <c r="E82" s="67" t="s">
        <v>26</v>
      </c>
      <c r="F82" s="364">
        <v>735000</v>
      </c>
      <c r="G82" s="364">
        <f t="shared" si="1"/>
        <v>1470000</v>
      </c>
      <c r="H82" s="943">
        <f>SUM(G82:G87)</f>
        <v>6515000</v>
      </c>
      <c r="I82" s="808" t="s">
        <v>35</v>
      </c>
    </row>
    <row r="83" spans="1:9">
      <c r="A83" s="40"/>
      <c r="B83" s="40" t="s">
        <v>1323</v>
      </c>
      <c r="C83" s="67" t="s">
        <v>164</v>
      </c>
      <c r="D83" s="67">
        <v>2</v>
      </c>
      <c r="E83" s="67" t="s">
        <v>26</v>
      </c>
      <c r="F83" s="364">
        <v>735000</v>
      </c>
      <c r="G83" s="364">
        <f t="shared" si="1"/>
        <v>1470000</v>
      </c>
      <c r="H83" s="995"/>
      <c r="I83" s="809"/>
    </row>
    <row r="84" spans="1:9">
      <c r="A84" s="40"/>
      <c r="B84" s="40" t="s">
        <v>1327</v>
      </c>
      <c r="C84" s="67" t="s">
        <v>164</v>
      </c>
      <c r="D84" s="67">
        <v>2</v>
      </c>
      <c r="E84" s="67" t="s">
        <v>26</v>
      </c>
      <c r="F84" s="364">
        <v>735000</v>
      </c>
      <c r="G84" s="364">
        <f t="shared" si="1"/>
        <v>1470000</v>
      </c>
      <c r="H84" s="995"/>
      <c r="I84" s="809"/>
    </row>
    <row r="85" spans="1:9">
      <c r="A85" s="40"/>
      <c r="B85" s="40" t="s">
        <v>1324</v>
      </c>
      <c r="C85" s="67" t="s">
        <v>164</v>
      </c>
      <c r="D85" s="67">
        <v>1</v>
      </c>
      <c r="E85" s="67" t="s">
        <v>26</v>
      </c>
      <c r="F85" s="364">
        <v>635000</v>
      </c>
      <c r="G85" s="364">
        <f t="shared" si="1"/>
        <v>635000</v>
      </c>
      <c r="H85" s="995"/>
      <c r="I85" s="809"/>
    </row>
    <row r="86" spans="1:9">
      <c r="A86" s="40"/>
      <c r="B86" s="40" t="s">
        <v>1326</v>
      </c>
      <c r="C86" s="67" t="s">
        <v>164</v>
      </c>
      <c r="D86" s="67">
        <v>1</v>
      </c>
      <c r="E86" s="67" t="s">
        <v>26</v>
      </c>
      <c r="F86" s="364">
        <v>735000</v>
      </c>
      <c r="G86" s="364">
        <f t="shared" si="1"/>
        <v>735000</v>
      </c>
      <c r="H86" s="995"/>
      <c r="I86" s="809"/>
    </row>
    <row r="87" spans="1:9">
      <c r="A87" s="40"/>
      <c r="B87" s="40" t="s">
        <v>1325</v>
      </c>
      <c r="C87" s="67" t="s">
        <v>164</v>
      </c>
      <c r="D87" s="67">
        <v>1</v>
      </c>
      <c r="E87" s="67" t="s">
        <v>26</v>
      </c>
      <c r="F87" s="364">
        <v>735000</v>
      </c>
      <c r="G87" s="364">
        <f t="shared" si="1"/>
        <v>735000</v>
      </c>
      <c r="H87" s="996"/>
      <c r="I87" s="810"/>
    </row>
    <row r="88" spans="1:9">
      <c r="A88" s="66">
        <v>44519</v>
      </c>
      <c r="B88" s="40" t="s">
        <v>1328</v>
      </c>
      <c r="C88" s="67" t="s">
        <v>1331</v>
      </c>
      <c r="D88" s="67">
        <v>10</v>
      </c>
      <c r="E88" s="67" t="s">
        <v>134</v>
      </c>
      <c r="F88" s="364"/>
      <c r="G88" s="364">
        <f t="shared" si="1"/>
        <v>0</v>
      </c>
      <c r="H88" s="943">
        <f>SUM(G88:G95)</f>
        <v>345000</v>
      </c>
      <c r="I88" s="808" t="s">
        <v>1338</v>
      </c>
    </row>
    <row r="89" spans="1:9">
      <c r="A89" s="40"/>
      <c r="B89" s="40" t="s">
        <v>1329</v>
      </c>
      <c r="C89" s="67" t="s">
        <v>1331</v>
      </c>
      <c r="D89" s="67">
        <v>10</v>
      </c>
      <c r="E89" s="67" t="s">
        <v>134</v>
      </c>
      <c r="F89" s="364">
        <v>6000</v>
      </c>
      <c r="G89" s="364">
        <f t="shared" si="1"/>
        <v>60000</v>
      </c>
      <c r="H89" s="995"/>
      <c r="I89" s="809"/>
    </row>
    <row r="90" spans="1:9">
      <c r="A90" s="40"/>
      <c r="B90" s="40" t="s">
        <v>1332</v>
      </c>
      <c r="C90" s="67" t="s">
        <v>1331</v>
      </c>
      <c r="D90" s="67">
        <v>10</v>
      </c>
      <c r="E90" s="67" t="s">
        <v>134</v>
      </c>
      <c r="F90" s="364" t="s">
        <v>1339</v>
      </c>
      <c r="G90" s="364">
        <v>0</v>
      </c>
      <c r="H90" s="995"/>
      <c r="I90" s="809"/>
    </row>
    <row r="91" spans="1:9">
      <c r="A91" s="40"/>
      <c r="B91" s="40" t="s">
        <v>1335</v>
      </c>
      <c r="C91" s="67" t="s">
        <v>1331</v>
      </c>
      <c r="D91" s="67">
        <v>20</v>
      </c>
      <c r="E91" s="67" t="s">
        <v>134</v>
      </c>
      <c r="F91" s="364">
        <v>5625</v>
      </c>
      <c r="G91" s="364">
        <f t="shared" si="1"/>
        <v>112500</v>
      </c>
      <c r="H91" s="995"/>
      <c r="I91" s="809"/>
    </row>
    <row r="92" spans="1:9">
      <c r="A92" s="40"/>
      <c r="B92" s="40" t="s">
        <v>1333</v>
      </c>
      <c r="C92" s="67" t="s">
        <v>1331</v>
      </c>
      <c r="D92" s="67">
        <v>10</v>
      </c>
      <c r="E92" s="67" t="s">
        <v>134</v>
      </c>
      <c r="F92" s="364" t="s">
        <v>1339</v>
      </c>
      <c r="G92" s="364">
        <v>0</v>
      </c>
      <c r="H92" s="995"/>
      <c r="I92" s="809"/>
    </row>
    <row r="93" spans="1:9">
      <c r="A93" s="40"/>
      <c r="B93" s="40" t="s">
        <v>1334</v>
      </c>
      <c r="C93" s="67" t="s">
        <v>1331</v>
      </c>
      <c r="D93" s="67">
        <v>20</v>
      </c>
      <c r="E93" s="67" t="s">
        <v>134</v>
      </c>
      <c r="F93" s="364">
        <v>8625</v>
      </c>
      <c r="G93" s="364">
        <f t="shared" si="1"/>
        <v>172500</v>
      </c>
      <c r="H93" s="995"/>
      <c r="I93" s="809"/>
    </row>
    <row r="94" spans="1:9">
      <c r="A94" s="40"/>
      <c r="B94" s="40" t="s">
        <v>1336</v>
      </c>
      <c r="C94" s="67" t="s">
        <v>1331</v>
      </c>
      <c r="D94" s="67">
        <v>50</v>
      </c>
      <c r="E94" s="67" t="s">
        <v>134</v>
      </c>
      <c r="F94" s="364" t="s">
        <v>1339</v>
      </c>
      <c r="G94" s="364">
        <v>0</v>
      </c>
      <c r="H94" s="995"/>
      <c r="I94" s="809"/>
    </row>
    <row r="95" spans="1:9">
      <c r="A95" s="40"/>
      <c r="B95" s="40" t="s">
        <v>1337</v>
      </c>
      <c r="C95" s="67" t="s">
        <v>1331</v>
      </c>
      <c r="D95" s="67">
        <v>50</v>
      </c>
      <c r="E95" s="67" t="s">
        <v>134</v>
      </c>
      <c r="F95" s="364" t="s">
        <v>1339</v>
      </c>
      <c r="G95" s="364">
        <v>0</v>
      </c>
      <c r="H95" s="996"/>
      <c r="I95" s="810"/>
    </row>
    <row r="96" spans="1:9">
      <c r="A96" s="66">
        <v>44522</v>
      </c>
      <c r="B96" s="40" t="s">
        <v>1340</v>
      </c>
      <c r="C96" s="67" t="s">
        <v>49</v>
      </c>
      <c r="D96" s="67">
        <v>4</v>
      </c>
      <c r="E96" s="67" t="s">
        <v>26</v>
      </c>
      <c r="F96" s="364">
        <v>650000</v>
      </c>
      <c r="G96" s="364">
        <f>F96*D96</f>
        <v>2600000</v>
      </c>
      <c r="H96" s="943">
        <f>SUM(G96:G97)</f>
        <v>4850000</v>
      </c>
      <c r="I96" s="808" t="s">
        <v>151</v>
      </c>
    </row>
    <row r="97" spans="1:14">
      <c r="A97" s="40"/>
      <c r="B97" s="40" t="s">
        <v>1341</v>
      </c>
      <c r="C97" s="67" t="s">
        <v>49</v>
      </c>
      <c r="D97" s="67">
        <v>30</v>
      </c>
      <c r="E97" s="67" t="s">
        <v>26</v>
      </c>
      <c r="F97" s="364">
        <v>75000</v>
      </c>
      <c r="G97" s="364">
        <f>F97*D97</f>
        <v>2250000</v>
      </c>
      <c r="H97" s="996"/>
      <c r="I97" s="810"/>
    </row>
    <row r="98" spans="1:14">
      <c r="A98" s="66">
        <v>44522</v>
      </c>
      <c r="B98" s="40" t="s">
        <v>1344</v>
      </c>
      <c r="C98" s="67" t="s">
        <v>164</v>
      </c>
      <c r="D98" s="67">
        <v>1</v>
      </c>
      <c r="E98" s="67" t="s">
        <v>26</v>
      </c>
      <c r="F98" s="364">
        <v>635000</v>
      </c>
      <c r="G98" s="364">
        <f t="shared" ref="G98:G129" si="2">F98*D98</f>
        <v>635000</v>
      </c>
      <c r="H98" s="943">
        <f>SUM(G98:G100)</f>
        <v>3375000</v>
      </c>
      <c r="I98" s="808" t="s">
        <v>35</v>
      </c>
    </row>
    <row r="99" spans="1:14">
      <c r="A99" s="40"/>
      <c r="B99" s="40" t="s">
        <v>1343</v>
      </c>
      <c r="C99" s="67" t="s">
        <v>164</v>
      </c>
      <c r="D99" s="67">
        <v>2</v>
      </c>
      <c r="E99" s="67" t="s">
        <v>26</v>
      </c>
      <c r="F99" s="364">
        <v>635000</v>
      </c>
      <c r="G99" s="364">
        <f t="shared" si="2"/>
        <v>1270000</v>
      </c>
      <c r="H99" s="995"/>
      <c r="I99" s="809"/>
    </row>
    <row r="100" spans="1:14">
      <c r="A100" s="40"/>
      <c r="B100" s="40" t="s">
        <v>1342</v>
      </c>
      <c r="C100" s="67" t="s">
        <v>164</v>
      </c>
      <c r="D100" s="67">
        <v>2</v>
      </c>
      <c r="E100" s="67" t="s">
        <v>26</v>
      </c>
      <c r="F100" s="364">
        <v>735000</v>
      </c>
      <c r="G100" s="364">
        <f t="shared" si="2"/>
        <v>1470000</v>
      </c>
      <c r="H100" s="996"/>
      <c r="I100" s="810"/>
    </row>
    <row r="101" spans="1:14">
      <c r="A101" s="329">
        <v>44522</v>
      </c>
      <c r="B101" s="330" t="s">
        <v>1345</v>
      </c>
      <c r="C101" s="331" t="s">
        <v>28</v>
      </c>
      <c r="D101" s="331">
        <v>1</v>
      </c>
      <c r="E101" s="331" t="s">
        <v>26</v>
      </c>
      <c r="F101" s="511">
        <v>12500000</v>
      </c>
      <c r="G101" s="511">
        <f t="shared" si="2"/>
        <v>12500000</v>
      </c>
      <c r="H101" s="511">
        <f>SUM(G101)</f>
        <v>12500000</v>
      </c>
      <c r="I101" s="331" t="s">
        <v>800</v>
      </c>
    </row>
    <row r="102" spans="1:14">
      <c r="A102" s="66">
        <v>44522</v>
      </c>
      <c r="B102" s="40" t="s">
        <v>1346</v>
      </c>
      <c r="C102" s="67" t="s">
        <v>60</v>
      </c>
      <c r="D102" s="67">
        <v>1</v>
      </c>
      <c r="E102" s="67" t="s">
        <v>61</v>
      </c>
      <c r="F102" s="364">
        <v>0</v>
      </c>
      <c r="G102" s="364">
        <f t="shared" si="2"/>
        <v>0</v>
      </c>
      <c r="H102" s="943">
        <v>0</v>
      </c>
      <c r="I102" s="808" t="s">
        <v>205</v>
      </c>
    </row>
    <row r="103" spans="1:14">
      <c r="A103" s="40"/>
      <c r="B103" s="40" t="s">
        <v>1347</v>
      </c>
      <c r="C103" s="67" t="s">
        <v>60</v>
      </c>
      <c r="D103" s="67">
        <v>1</v>
      </c>
      <c r="E103" s="67" t="s">
        <v>61</v>
      </c>
      <c r="F103" s="364">
        <v>0</v>
      </c>
      <c r="G103" s="364">
        <f t="shared" si="2"/>
        <v>0</v>
      </c>
      <c r="H103" s="995"/>
      <c r="I103" s="809"/>
    </row>
    <row r="104" spans="1:14">
      <c r="A104" s="40"/>
      <c r="B104" s="40" t="s">
        <v>1348</v>
      </c>
      <c r="C104" s="67" t="s">
        <v>60</v>
      </c>
      <c r="D104" s="67">
        <v>1</v>
      </c>
      <c r="E104" s="67" t="s">
        <v>61</v>
      </c>
      <c r="F104" s="364">
        <v>0</v>
      </c>
      <c r="G104" s="364">
        <f t="shared" si="2"/>
        <v>0</v>
      </c>
      <c r="H104" s="996"/>
      <c r="I104" s="810"/>
    </row>
    <row r="105" spans="1:14">
      <c r="A105" s="66">
        <v>44524</v>
      </c>
      <c r="B105" s="40" t="s">
        <v>618</v>
      </c>
      <c r="C105" s="67" t="s">
        <v>21</v>
      </c>
      <c r="D105" s="67">
        <v>3</v>
      </c>
      <c r="E105" s="40" t="s">
        <v>61</v>
      </c>
      <c r="F105" s="364">
        <v>1100000</v>
      </c>
      <c r="G105" s="364">
        <f t="shared" si="2"/>
        <v>3300000</v>
      </c>
      <c r="H105" s="364">
        <f>SUM(G105)</f>
        <v>3300000</v>
      </c>
      <c r="I105" s="40" t="s">
        <v>35</v>
      </c>
    </row>
    <row r="106" spans="1:14">
      <c r="A106" s="66">
        <v>44526</v>
      </c>
      <c r="B106" s="40" t="s">
        <v>1351</v>
      </c>
      <c r="C106" s="67" t="s">
        <v>164</v>
      </c>
      <c r="D106" s="67">
        <v>10</v>
      </c>
      <c r="E106" s="40" t="s">
        <v>134</v>
      </c>
      <c r="F106" s="364">
        <v>162000</v>
      </c>
      <c r="G106" s="364">
        <f t="shared" si="2"/>
        <v>1620000</v>
      </c>
      <c r="H106" s="1010">
        <f>SUM(G106:G109)</f>
        <v>3595000</v>
      </c>
      <c r="I106" s="997" t="s">
        <v>1362</v>
      </c>
      <c r="J106" s="502">
        <f>SUM(H106:H119)</f>
        <v>12015000</v>
      </c>
    </row>
    <row r="107" spans="1:14">
      <c r="A107" s="40"/>
      <c r="B107" s="40" t="s">
        <v>1352</v>
      </c>
      <c r="C107" s="67" t="s">
        <v>164</v>
      </c>
      <c r="D107" s="67">
        <v>5</v>
      </c>
      <c r="E107" s="40" t="s">
        <v>134</v>
      </c>
      <c r="F107" s="364">
        <v>138000</v>
      </c>
      <c r="G107" s="364">
        <f t="shared" si="2"/>
        <v>690000</v>
      </c>
      <c r="H107" s="1010"/>
      <c r="I107" s="997"/>
    </row>
    <row r="108" spans="1:14">
      <c r="A108" s="40"/>
      <c r="B108" s="40" t="s">
        <v>1353</v>
      </c>
      <c r="C108" s="67" t="s">
        <v>164</v>
      </c>
      <c r="D108" s="67">
        <v>5</v>
      </c>
      <c r="E108" s="40" t="s">
        <v>134</v>
      </c>
      <c r="F108" s="364">
        <v>130000</v>
      </c>
      <c r="G108" s="364">
        <f t="shared" si="2"/>
        <v>650000</v>
      </c>
      <c r="H108" s="1010"/>
      <c r="I108" s="997"/>
    </row>
    <row r="109" spans="1:14">
      <c r="A109" s="40"/>
      <c r="B109" s="40" t="s">
        <v>1354</v>
      </c>
      <c r="C109" s="67" t="s">
        <v>164</v>
      </c>
      <c r="D109" s="67">
        <v>1</v>
      </c>
      <c r="E109" s="40" t="s">
        <v>26</v>
      </c>
      <c r="F109" s="364">
        <v>635000</v>
      </c>
      <c r="G109" s="364">
        <f t="shared" si="2"/>
        <v>635000</v>
      </c>
      <c r="H109" s="1010"/>
      <c r="I109" s="997"/>
    </row>
    <row r="110" spans="1:14">
      <c r="A110" s="40"/>
      <c r="B110" s="40" t="s">
        <v>1355</v>
      </c>
      <c r="C110" s="67" t="s">
        <v>164</v>
      </c>
      <c r="D110" s="67">
        <v>1</v>
      </c>
      <c r="E110" s="40" t="s">
        <v>26</v>
      </c>
      <c r="F110" s="364">
        <v>735000</v>
      </c>
      <c r="G110" s="364">
        <f t="shared" si="2"/>
        <v>735000</v>
      </c>
      <c r="H110" s="1010">
        <f>SUM(G110:G112)</f>
        <v>2205000</v>
      </c>
      <c r="I110" s="997"/>
    </row>
    <row r="111" spans="1:14">
      <c r="A111" s="40"/>
      <c r="B111" s="40" t="s">
        <v>1356</v>
      </c>
      <c r="C111" s="67" t="s">
        <v>164</v>
      </c>
      <c r="D111" s="67">
        <v>1</v>
      </c>
      <c r="E111" s="40" t="s">
        <v>26</v>
      </c>
      <c r="F111" s="364">
        <v>735000</v>
      </c>
      <c r="G111" s="364">
        <f t="shared" si="2"/>
        <v>735000</v>
      </c>
      <c r="H111" s="1010"/>
      <c r="I111" s="997"/>
      <c r="N111">
        <v>3595</v>
      </c>
    </row>
    <row r="112" spans="1:14">
      <c r="A112" s="40"/>
      <c r="B112" s="40" t="s">
        <v>1357</v>
      </c>
      <c r="C112" s="67" t="s">
        <v>164</v>
      </c>
      <c r="D112" s="67">
        <v>1</v>
      </c>
      <c r="E112" s="40" t="s">
        <v>26</v>
      </c>
      <c r="F112" s="364">
        <v>735000</v>
      </c>
      <c r="G112" s="364">
        <f t="shared" si="2"/>
        <v>735000</v>
      </c>
      <c r="H112" s="1010"/>
      <c r="I112" s="997"/>
      <c r="N112">
        <v>2205</v>
      </c>
    </row>
    <row r="113" spans="1:14">
      <c r="A113" s="40"/>
      <c r="B113" s="40" t="s">
        <v>1358</v>
      </c>
      <c r="C113" s="67" t="s">
        <v>164</v>
      </c>
      <c r="D113" s="67">
        <v>2</v>
      </c>
      <c r="E113" s="40" t="s">
        <v>26</v>
      </c>
      <c r="F113" s="364">
        <v>635000</v>
      </c>
      <c r="G113" s="364">
        <f t="shared" si="2"/>
        <v>1270000</v>
      </c>
      <c r="H113" s="1010">
        <f>SUM(G113:G116)</f>
        <v>4110000</v>
      </c>
      <c r="I113" s="997"/>
      <c r="N113">
        <v>4110</v>
      </c>
    </row>
    <row r="114" spans="1:14">
      <c r="A114" s="40"/>
      <c r="B114" s="40" t="s">
        <v>1359</v>
      </c>
      <c r="C114" s="67" t="s">
        <v>164</v>
      </c>
      <c r="D114" s="67">
        <v>1</v>
      </c>
      <c r="E114" s="40" t="s">
        <v>26</v>
      </c>
      <c r="F114" s="364">
        <v>635000</v>
      </c>
      <c r="G114" s="364">
        <f t="shared" si="2"/>
        <v>635000</v>
      </c>
      <c r="H114" s="1010"/>
      <c r="I114" s="997"/>
      <c r="N114">
        <v>2105</v>
      </c>
    </row>
    <row r="115" spans="1:14">
      <c r="A115" s="40"/>
      <c r="B115" s="40" t="s">
        <v>1360</v>
      </c>
      <c r="C115" s="67" t="s">
        <v>164</v>
      </c>
      <c r="D115" s="67">
        <v>2</v>
      </c>
      <c r="E115" s="40" t="s">
        <v>26</v>
      </c>
      <c r="F115" s="364">
        <v>735000</v>
      </c>
      <c r="G115" s="364">
        <f t="shared" si="2"/>
        <v>1470000</v>
      </c>
      <c r="H115" s="1010"/>
      <c r="I115" s="997"/>
    </row>
    <row r="116" spans="1:14">
      <c r="A116" s="40"/>
      <c r="B116" s="40" t="s">
        <v>1361</v>
      </c>
      <c r="C116" s="67" t="s">
        <v>164</v>
      </c>
      <c r="D116" s="67">
        <v>1</v>
      </c>
      <c r="E116" s="40" t="s">
        <v>26</v>
      </c>
      <c r="F116" s="364">
        <v>735000</v>
      </c>
      <c r="G116" s="364">
        <f t="shared" si="2"/>
        <v>735000</v>
      </c>
      <c r="H116" s="1010"/>
      <c r="I116" s="997"/>
    </row>
    <row r="117" spans="1:14">
      <c r="A117" s="40"/>
      <c r="B117" s="40" t="s">
        <v>1377</v>
      </c>
      <c r="C117" s="67" t="s">
        <v>164</v>
      </c>
      <c r="D117" s="67">
        <v>1</v>
      </c>
      <c r="E117" s="40" t="s">
        <v>26</v>
      </c>
      <c r="F117" s="364">
        <v>635000</v>
      </c>
      <c r="G117" s="364">
        <f t="shared" si="2"/>
        <v>635000</v>
      </c>
      <c r="H117" s="1010">
        <f>SUM(G117:G119)</f>
        <v>2105000</v>
      </c>
      <c r="I117" s="997"/>
      <c r="N117">
        <f>SUM(N111:N116)</f>
        <v>12015</v>
      </c>
    </row>
    <row r="118" spans="1:14">
      <c r="A118" s="40"/>
      <c r="B118" s="40" t="s">
        <v>1378</v>
      </c>
      <c r="C118" s="67" t="s">
        <v>164</v>
      </c>
      <c r="D118" s="67">
        <v>1</v>
      </c>
      <c r="E118" s="40" t="s">
        <v>26</v>
      </c>
      <c r="F118" s="364">
        <v>735000</v>
      </c>
      <c r="G118" s="364">
        <f t="shared" si="2"/>
        <v>735000</v>
      </c>
      <c r="H118" s="1010"/>
      <c r="I118" s="997"/>
    </row>
    <row r="119" spans="1:14">
      <c r="A119" s="40"/>
      <c r="B119" s="40" t="s">
        <v>1361</v>
      </c>
      <c r="C119" s="67" t="s">
        <v>164</v>
      </c>
      <c r="D119" s="67">
        <v>1</v>
      </c>
      <c r="E119" s="40" t="s">
        <v>26</v>
      </c>
      <c r="F119" s="364">
        <v>735000</v>
      </c>
      <c r="G119" s="364">
        <f t="shared" si="2"/>
        <v>735000</v>
      </c>
      <c r="H119" s="1010"/>
      <c r="I119" s="997"/>
    </row>
    <row r="120" spans="1:14">
      <c r="A120" s="66">
        <v>44527</v>
      </c>
      <c r="B120" s="40" t="s">
        <v>1371</v>
      </c>
      <c r="C120" s="67" t="s">
        <v>21</v>
      </c>
      <c r="D120" s="67">
        <v>2</v>
      </c>
      <c r="E120" s="40" t="s">
        <v>61</v>
      </c>
      <c r="F120" s="364">
        <v>1100000</v>
      </c>
      <c r="G120" s="364">
        <f t="shared" si="2"/>
        <v>2200000</v>
      </c>
      <c r="H120" s="617">
        <f>SUM(G120)</f>
        <v>2200000</v>
      </c>
      <c r="I120" s="618" t="s">
        <v>35</v>
      </c>
    </row>
    <row r="121" spans="1:14">
      <c r="A121" s="66">
        <v>44529</v>
      </c>
      <c r="B121" s="40" t="s">
        <v>1363</v>
      </c>
      <c r="C121" s="67" t="s">
        <v>164</v>
      </c>
      <c r="D121" s="67">
        <v>2</v>
      </c>
      <c r="E121" s="67" t="s">
        <v>26</v>
      </c>
      <c r="F121" s="364">
        <v>735000</v>
      </c>
      <c r="G121" s="364">
        <f t="shared" si="2"/>
        <v>1470000</v>
      </c>
      <c r="H121" s="943">
        <f>SUM(G121:G129)</f>
        <v>11080000</v>
      </c>
      <c r="I121" s="808" t="s">
        <v>1370</v>
      </c>
    </row>
    <row r="122" spans="1:14">
      <c r="A122" s="40"/>
      <c r="B122" s="40" t="s">
        <v>1364</v>
      </c>
      <c r="C122" s="67" t="s">
        <v>164</v>
      </c>
      <c r="D122" s="67">
        <v>2</v>
      </c>
      <c r="E122" s="67" t="s">
        <v>26</v>
      </c>
      <c r="F122" s="364">
        <v>735000</v>
      </c>
      <c r="G122" s="364">
        <f t="shared" si="2"/>
        <v>1470000</v>
      </c>
      <c r="H122" s="995"/>
      <c r="I122" s="809"/>
    </row>
    <row r="123" spans="1:14">
      <c r="A123" s="40"/>
      <c r="B123" s="40" t="s">
        <v>1365</v>
      </c>
      <c r="C123" s="67" t="s">
        <v>164</v>
      </c>
      <c r="D123" s="67">
        <v>2</v>
      </c>
      <c r="E123" s="67" t="s">
        <v>26</v>
      </c>
      <c r="F123" s="364">
        <v>635000</v>
      </c>
      <c r="G123" s="364">
        <f t="shared" si="2"/>
        <v>1270000</v>
      </c>
      <c r="H123" s="995"/>
      <c r="I123" s="809"/>
    </row>
    <row r="124" spans="1:14">
      <c r="A124" s="40"/>
      <c r="B124" s="40" t="s">
        <v>1366</v>
      </c>
      <c r="C124" s="67" t="s">
        <v>164</v>
      </c>
      <c r="D124" s="67">
        <v>1</v>
      </c>
      <c r="E124" s="67" t="s">
        <v>26</v>
      </c>
      <c r="F124" s="364">
        <v>635000</v>
      </c>
      <c r="G124" s="364">
        <f t="shared" si="2"/>
        <v>635000</v>
      </c>
      <c r="H124" s="995"/>
      <c r="I124" s="809"/>
    </row>
    <row r="125" spans="1:14">
      <c r="A125" s="40"/>
      <c r="B125" s="40" t="s">
        <v>1367</v>
      </c>
      <c r="C125" s="67" t="s">
        <v>164</v>
      </c>
      <c r="D125" s="67">
        <v>2</v>
      </c>
      <c r="E125" s="67" t="s">
        <v>26</v>
      </c>
      <c r="F125" s="364">
        <v>735000</v>
      </c>
      <c r="G125" s="364">
        <f t="shared" si="2"/>
        <v>1470000</v>
      </c>
      <c r="H125" s="995"/>
      <c r="I125" s="809"/>
    </row>
    <row r="126" spans="1:14">
      <c r="A126" s="40"/>
      <c r="B126" s="40" t="s">
        <v>1368</v>
      </c>
      <c r="C126" s="67" t="s">
        <v>164</v>
      </c>
      <c r="D126" s="67">
        <v>1</v>
      </c>
      <c r="E126" s="67" t="s">
        <v>26</v>
      </c>
      <c r="F126" s="364">
        <v>635000</v>
      </c>
      <c r="G126" s="364">
        <f t="shared" si="2"/>
        <v>635000</v>
      </c>
      <c r="H126" s="995"/>
      <c r="I126" s="809"/>
    </row>
    <row r="127" spans="1:14">
      <c r="A127" s="40"/>
      <c r="B127" s="40" t="s">
        <v>1369</v>
      </c>
      <c r="C127" s="67" t="s">
        <v>164</v>
      </c>
      <c r="D127" s="67">
        <v>2</v>
      </c>
      <c r="E127" s="67" t="s">
        <v>26</v>
      </c>
      <c r="F127" s="364">
        <v>635000</v>
      </c>
      <c r="G127" s="364">
        <f t="shared" si="2"/>
        <v>1270000</v>
      </c>
      <c r="H127" s="995"/>
      <c r="I127" s="809"/>
    </row>
    <row r="128" spans="1:14">
      <c r="A128" s="40"/>
      <c r="B128" s="40" t="s">
        <v>1209</v>
      </c>
      <c r="C128" s="67" t="s">
        <v>164</v>
      </c>
      <c r="D128" s="67">
        <v>6</v>
      </c>
      <c r="E128" s="67" t="s">
        <v>26</v>
      </c>
      <c r="F128" s="364">
        <v>130000</v>
      </c>
      <c r="G128" s="364">
        <f t="shared" si="2"/>
        <v>780000</v>
      </c>
      <c r="H128" s="995"/>
      <c r="I128" s="809"/>
    </row>
    <row r="129" spans="1:9">
      <c r="A129" s="40"/>
      <c r="B129" s="40" t="s">
        <v>1211</v>
      </c>
      <c r="C129" s="67" t="s">
        <v>164</v>
      </c>
      <c r="D129" s="67">
        <v>16</v>
      </c>
      <c r="E129" s="67" t="s">
        <v>26</v>
      </c>
      <c r="F129" s="364">
        <v>130000</v>
      </c>
      <c r="G129" s="364">
        <f t="shared" si="2"/>
        <v>2080000</v>
      </c>
      <c r="H129" s="996"/>
      <c r="I129" s="810"/>
    </row>
    <row r="130" spans="1:9">
      <c r="A130" s="40"/>
      <c r="B130" s="40"/>
      <c r="C130" s="40"/>
      <c r="D130" s="40"/>
      <c r="E130" s="40"/>
      <c r="F130" s="364"/>
      <c r="G130" s="364"/>
      <c r="H130" s="364"/>
      <c r="I130" s="40"/>
    </row>
    <row r="131" spans="1:9">
      <c r="A131" s="40"/>
      <c r="B131" s="40"/>
      <c r="C131" s="40"/>
      <c r="D131" s="40"/>
      <c r="E131" s="40"/>
      <c r="F131" s="364"/>
      <c r="G131" s="364"/>
      <c r="H131" s="364"/>
      <c r="I131" s="40"/>
    </row>
    <row r="132" spans="1:9">
      <c r="A132" s="40"/>
      <c r="B132" s="40"/>
      <c r="C132" s="40"/>
      <c r="D132" s="40"/>
      <c r="E132" s="40"/>
      <c r="F132" s="364"/>
      <c r="G132" s="364"/>
      <c r="H132" s="364"/>
      <c r="I132" s="40"/>
    </row>
    <row r="133" spans="1:9">
      <c r="A133" s="40"/>
      <c r="B133" s="40"/>
      <c r="C133" s="40"/>
      <c r="D133" s="40"/>
      <c r="E133" s="40"/>
      <c r="F133" s="364"/>
      <c r="G133" s="364"/>
      <c r="H133" s="364"/>
      <c r="I133" s="40"/>
    </row>
    <row r="134" spans="1:9">
      <c r="A134" s="40"/>
      <c r="B134" s="40"/>
      <c r="C134" s="40"/>
      <c r="D134" s="40"/>
      <c r="E134" s="40"/>
      <c r="F134" s="364"/>
      <c r="G134" s="364"/>
      <c r="H134" s="364"/>
      <c r="I134" s="40"/>
    </row>
    <row r="135" spans="1:9">
      <c r="A135" s="40"/>
      <c r="B135" s="40"/>
      <c r="C135" s="40"/>
      <c r="D135" s="40"/>
      <c r="E135" s="40"/>
      <c r="F135" s="364"/>
      <c r="G135" s="364"/>
      <c r="H135" s="364"/>
      <c r="I135" s="40"/>
    </row>
    <row r="136" spans="1:9">
      <c r="A136" s="40"/>
      <c r="B136" s="40"/>
      <c r="C136" s="40"/>
      <c r="D136" s="40"/>
      <c r="E136" s="40"/>
      <c r="F136" s="364"/>
      <c r="G136" s="364"/>
      <c r="H136" s="364"/>
      <c r="I136" s="40"/>
    </row>
    <row r="137" spans="1:9">
      <c r="A137" s="40"/>
      <c r="B137" s="40"/>
      <c r="C137" s="40"/>
      <c r="D137" s="40"/>
      <c r="E137" s="40"/>
      <c r="F137" s="364"/>
      <c r="G137" s="364"/>
      <c r="H137" s="364"/>
      <c r="I137" s="40"/>
    </row>
    <row r="138" spans="1:9">
      <c r="A138" s="40"/>
      <c r="B138" s="40"/>
      <c r="C138" s="40"/>
      <c r="D138" s="40"/>
      <c r="E138" s="40"/>
      <c r="F138" s="364"/>
      <c r="G138" s="364"/>
      <c r="H138" s="364"/>
      <c r="I138" s="40"/>
    </row>
    <row r="139" spans="1:9">
      <c r="A139" s="40"/>
      <c r="B139" s="40"/>
      <c r="C139" s="40"/>
      <c r="D139" s="40"/>
      <c r="E139" s="40"/>
      <c r="F139" s="364"/>
      <c r="G139" s="364"/>
      <c r="H139" s="364"/>
      <c r="I139" s="40"/>
    </row>
    <row r="140" spans="1:9">
      <c r="A140" s="40"/>
      <c r="B140" s="40"/>
      <c r="C140" s="40"/>
      <c r="D140" s="40"/>
      <c r="E140" s="40"/>
      <c r="F140" s="364"/>
      <c r="G140" s="364"/>
      <c r="H140" s="364"/>
      <c r="I140" s="40"/>
    </row>
    <row r="141" spans="1:9">
      <c r="A141" s="40"/>
      <c r="B141" s="40"/>
      <c r="C141" s="40"/>
      <c r="D141" s="40"/>
      <c r="E141" s="40"/>
      <c r="F141" s="364"/>
      <c r="G141" s="364"/>
      <c r="H141" s="364"/>
      <c r="I141" s="40"/>
    </row>
    <row r="142" spans="1:9">
      <c r="A142" s="40"/>
      <c r="B142" s="40"/>
      <c r="C142" s="40"/>
      <c r="D142" s="40"/>
      <c r="E142" s="40"/>
      <c r="F142" s="364"/>
      <c r="G142" s="364"/>
      <c r="H142" s="364"/>
      <c r="I142" s="40"/>
    </row>
    <row r="143" spans="1:9">
      <c r="A143" s="40"/>
      <c r="B143" s="40"/>
      <c r="C143" s="40"/>
      <c r="D143" s="40"/>
      <c r="E143" s="40"/>
      <c r="F143" s="364"/>
      <c r="G143" s="364"/>
      <c r="H143" s="364"/>
      <c r="I143" s="40"/>
    </row>
    <row r="144" spans="1:9">
      <c r="A144" s="40"/>
      <c r="B144" s="40"/>
      <c r="C144" s="40"/>
      <c r="D144" s="40"/>
      <c r="E144" s="40"/>
      <c r="F144" s="364"/>
      <c r="G144" s="364"/>
      <c r="H144" s="364"/>
      <c r="I144" s="40"/>
    </row>
    <row r="145" spans="1:9">
      <c r="A145" s="40"/>
      <c r="B145" s="40"/>
      <c r="C145" s="40"/>
      <c r="D145" s="40"/>
      <c r="E145" s="40"/>
      <c r="F145" s="364"/>
      <c r="G145" s="364"/>
      <c r="H145" s="364"/>
      <c r="I145" s="40"/>
    </row>
    <row r="146" spans="1:9">
      <c r="A146" s="40"/>
      <c r="B146" s="40"/>
      <c r="C146" s="40"/>
      <c r="D146" s="40"/>
      <c r="E146" s="40"/>
      <c r="F146" s="364"/>
      <c r="G146" s="364"/>
      <c r="H146" s="364"/>
      <c r="I146" s="40"/>
    </row>
    <row r="147" spans="1:9">
      <c r="A147" s="40"/>
      <c r="B147" s="40"/>
      <c r="C147" s="40"/>
      <c r="D147" s="40"/>
      <c r="E147" s="40"/>
      <c r="F147" s="364"/>
      <c r="G147" s="364"/>
      <c r="H147" s="364"/>
      <c r="I147" s="40"/>
    </row>
    <row r="148" spans="1:9">
      <c r="A148" s="40"/>
      <c r="B148" s="40"/>
      <c r="C148" s="40"/>
      <c r="D148" s="40"/>
      <c r="E148" s="40"/>
      <c r="F148" s="364"/>
      <c r="G148" s="364"/>
      <c r="H148" s="364"/>
      <c r="I148" s="40"/>
    </row>
    <row r="149" spans="1:9">
      <c r="A149" s="40"/>
      <c r="B149" s="40"/>
      <c r="C149" s="40"/>
      <c r="D149" s="40"/>
      <c r="E149" s="40"/>
      <c r="F149" s="364"/>
      <c r="G149" s="364"/>
      <c r="H149" s="364"/>
      <c r="I149" s="40"/>
    </row>
    <row r="150" spans="1:9">
      <c r="A150" s="40"/>
      <c r="B150" s="40"/>
      <c r="C150" s="40"/>
      <c r="D150" s="40"/>
      <c r="E150" s="40"/>
      <c r="F150" s="364"/>
      <c r="G150" s="364"/>
      <c r="H150" s="364"/>
      <c r="I150" s="40"/>
    </row>
    <row r="151" spans="1:9">
      <c r="A151" s="40"/>
      <c r="B151" s="40"/>
      <c r="C151" s="40"/>
      <c r="D151" s="40"/>
      <c r="E151" s="40"/>
      <c r="F151" s="364"/>
      <c r="G151" s="364"/>
      <c r="H151" s="364"/>
      <c r="I151" s="40"/>
    </row>
    <row r="152" spans="1:9">
      <c r="A152" s="40"/>
      <c r="B152" s="40"/>
      <c r="C152" s="40"/>
      <c r="D152" s="40"/>
      <c r="E152" s="40"/>
      <c r="F152" s="364"/>
      <c r="G152" s="364"/>
      <c r="H152" s="364"/>
      <c r="I152" s="40"/>
    </row>
    <row r="153" spans="1:9">
      <c r="A153" s="40"/>
      <c r="B153" s="40"/>
      <c r="C153" s="40"/>
      <c r="D153" s="40"/>
      <c r="E153" s="40"/>
      <c r="F153" s="364"/>
      <c r="G153" s="364"/>
      <c r="H153" s="364"/>
      <c r="I153" s="40"/>
    </row>
    <row r="154" spans="1:9">
      <c r="A154" s="40"/>
      <c r="B154" s="40"/>
      <c r="C154" s="40"/>
      <c r="D154" s="40"/>
      <c r="E154" s="40"/>
      <c r="F154" s="364"/>
      <c r="G154" s="364"/>
      <c r="H154" s="364"/>
      <c r="I154" s="40"/>
    </row>
    <row r="155" spans="1:9">
      <c r="A155" s="40"/>
      <c r="B155" s="40"/>
      <c r="C155" s="40"/>
      <c r="D155" s="40"/>
      <c r="E155" s="40"/>
      <c r="F155" s="40"/>
      <c r="G155" s="40"/>
      <c r="H155" s="40"/>
      <c r="I155" s="40"/>
    </row>
    <row r="156" spans="1:9">
      <c r="A156" s="40"/>
      <c r="B156" s="40"/>
      <c r="C156" s="40"/>
      <c r="D156" s="40"/>
      <c r="E156" s="40"/>
      <c r="F156" s="40"/>
      <c r="G156" s="40"/>
      <c r="H156" s="40"/>
      <c r="I156" s="40"/>
    </row>
    <row r="157" spans="1:9">
      <c r="A157" s="40"/>
      <c r="B157" s="40"/>
      <c r="C157" s="40"/>
      <c r="D157" s="40"/>
      <c r="E157" s="40"/>
      <c r="F157" s="40"/>
      <c r="G157" s="40"/>
      <c r="H157" s="40"/>
      <c r="I157" s="40"/>
    </row>
    <row r="158" spans="1:9">
      <c r="A158" s="40"/>
      <c r="B158" s="40"/>
      <c r="C158" s="40"/>
      <c r="D158" s="40"/>
      <c r="E158" s="40"/>
      <c r="F158" s="40"/>
      <c r="G158" s="40"/>
      <c r="H158" s="40"/>
      <c r="I158" s="40"/>
    </row>
    <row r="159" spans="1:9">
      <c r="A159" s="40"/>
      <c r="B159" s="40"/>
      <c r="C159" s="40"/>
      <c r="D159" s="40"/>
      <c r="E159" s="40"/>
      <c r="F159" s="40"/>
      <c r="G159" s="40"/>
      <c r="H159" s="40"/>
      <c r="I159" s="40"/>
    </row>
    <row r="160" spans="1:9">
      <c r="A160" s="40"/>
      <c r="B160" s="40"/>
      <c r="C160" s="40"/>
      <c r="D160" s="40"/>
      <c r="E160" s="40"/>
      <c r="F160" s="40"/>
      <c r="G160" s="40"/>
      <c r="H160" s="40"/>
      <c r="I160" s="40"/>
    </row>
    <row r="161" spans="1:9">
      <c r="A161" s="40"/>
      <c r="B161" s="40"/>
      <c r="C161" s="40"/>
      <c r="D161" s="40"/>
      <c r="E161" s="40"/>
      <c r="F161" s="40"/>
      <c r="G161" s="40"/>
      <c r="H161" s="40"/>
      <c r="I161" s="40"/>
    </row>
    <row r="162" spans="1:9">
      <c r="A162" s="40"/>
      <c r="B162" s="40"/>
      <c r="C162" s="40"/>
      <c r="D162" s="40"/>
      <c r="E162" s="40"/>
      <c r="F162" s="40"/>
      <c r="G162" s="40"/>
      <c r="H162" s="40"/>
      <c r="I162" s="40"/>
    </row>
    <row r="163" spans="1:9">
      <c r="A163" s="40"/>
      <c r="B163" s="40"/>
      <c r="C163" s="40"/>
      <c r="D163" s="40"/>
      <c r="E163" s="40"/>
      <c r="F163" s="40"/>
      <c r="G163" s="40"/>
      <c r="H163" s="40"/>
      <c r="I163" s="40"/>
    </row>
    <row r="164" spans="1:9">
      <c r="A164" s="40"/>
      <c r="B164" s="40"/>
      <c r="C164" s="40"/>
      <c r="D164" s="40"/>
      <c r="E164" s="40"/>
      <c r="F164" s="40"/>
      <c r="G164" s="40"/>
      <c r="H164" s="40"/>
      <c r="I164" s="40"/>
    </row>
    <row r="165" spans="1:9">
      <c r="A165" s="40"/>
      <c r="B165" s="40"/>
      <c r="C165" s="40"/>
      <c r="D165" s="40"/>
      <c r="E165" s="40"/>
      <c r="F165" s="40"/>
      <c r="G165" s="40"/>
      <c r="H165" s="40"/>
      <c r="I165" s="40"/>
    </row>
    <row r="166" spans="1:9">
      <c r="A166" s="40"/>
      <c r="B166" s="40"/>
      <c r="C166" s="40"/>
      <c r="D166" s="40"/>
      <c r="E166" s="40"/>
      <c r="F166" s="40"/>
      <c r="G166" s="40"/>
      <c r="H166" s="40"/>
      <c r="I166" s="40"/>
    </row>
    <row r="167" spans="1:9">
      <c r="A167" s="40"/>
      <c r="B167" s="40"/>
      <c r="C167" s="40"/>
      <c r="D167" s="40"/>
      <c r="E167" s="40"/>
      <c r="F167" s="40"/>
      <c r="G167" s="40"/>
      <c r="H167" s="40"/>
      <c r="I167" s="40"/>
    </row>
    <row r="168" spans="1:9">
      <c r="A168" s="40"/>
      <c r="B168" s="40"/>
      <c r="C168" s="40"/>
      <c r="D168" s="40"/>
      <c r="E168" s="40"/>
      <c r="F168" s="40"/>
      <c r="G168" s="40"/>
      <c r="H168" s="40"/>
      <c r="I168" s="40"/>
    </row>
    <row r="169" spans="1:9">
      <c r="A169" s="40"/>
      <c r="B169" s="40"/>
      <c r="C169" s="40"/>
      <c r="D169" s="40"/>
      <c r="E169" s="40"/>
      <c r="F169" s="40"/>
      <c r="G169" s="40"/>
      <c r="H169" s="40"/>
      <c r="I169" s="40"/>
    </row>
    <row r="170" spans="1:9">
      <c r="A170" s="40"/>
      <c r="B170" s="40"/>
      <c r="C170" s="40"/>
      <c r="D170" s="40"/>
      <c r="E170" s="40"/>
      <c r="F170" s="40"/>
      <c r="G170" s="40"/>
      <c r="H170" s="40"/>
      <c r="I170" s="40"/>
    </row>
    <row r="171" spans="1:9">
      <c r="A171" s="40"/>
      <c r="B171" s="40"/>
      <c r="C171" s="40"/>
      <c r="D171" s="40"/>
      <c r="E171" s="40"/>
      <c r="F171" s="40"/>
      <c r="G171" s="40"/>
      <c r="H171" s="40"/>
      <c r="I171" s="40"/>
    </row>
    <row r="172" spans="1:9">
      <c r="A172" s="40"/>
      <c r="B172" s="40"/>
      <c r="C172" s="40"/>
      <c r="D172" s="40"/>
      <c r="E172" s="40"/>
      <c r="F172" s="40"/>
      <c r="G172" s="40"/>
      <c r="H172" s="40"/>
      <c r="I172" s="40"/>
    </row>
    <row r="173" spans="1:9">
      <c r="A173" s="40"/>
      <c r="B173" s="40"/>
      <c r="C173" s="40"/>
      <c r="D173" s="40"/>
      <c r="E173" s="40"/>
      <c r="F173" s="40"/>
      <c r="G173" s="40"/>
      <c r="H173" s="40"/>
      <c r="I173" s="40"/>
    </row>
    <row r="174" spans="1:9">
      <c r="A174" s="40"/>
      <c r="B174" s="40"/>
      <c r="C174" s="40"/>
      <c r="D174" s="40"/>
      <c r="E174" s="40"/>
      <c r="F174" s="40"/>
      <c r="G174" s="40"/>
      <c r="H174" s="40"/>
      <c r="I174" s="40"/>
    </row>
    <row r="175" spans="1:9">
      <c r="A175" s="40"/>
      <c r="B175" s="40"/>
      <c r="C175" s="40"/>
      <c r="D175" s="40"/>
      <c r="E175" s="40"/>
      <c r="F175" s="40"/>
      <c r="G175" s="40"/>
      <c r="H175" s="40"/>
      <c r="I175" s="40"/>
    </row>
    <row r="176" spans="1:9">
      <c r="A176" s="40"/>
      <c r="B176" s="40"/>
      <c r="C176" s="40"/>
      <c r="D176" s="40"/>
      <c r="E176" s="40"/>
      <c r="F176" s="40"/>
      <c r="G176" s="40"/>
      <c r="H176" s="40"/>
      <c r="I176" s="40"/>
    </row>
    <row r="177" spans="1:9">
      <c r="A177" s="40"/>
      <c r="B177" s="40"/>
      <c r="C177" s="40"/>
      <c r="D177" s="40"/>
      <c r="E177" s="40"/>
      <c r="F177" s="40"/>
      <c r="G177" s="40"/>
      <c r="H177" s="40"/>
      <c r="I177" s="40"/>
    </row>
    <row r="178" spans="1:9">
      <c r="A178" s="40"/>
      <c r="B178" s="40"/>
      <c r="C178" s="40"/>
      <c r="D178" s="40"/>
      <c r="E178" s="40"/>
      <c r="F178" s="40"/>
      <c r="G178" s="40"/>
      <c r="H178" s="40"/>
      <c r="I178" s="40"/>
    </row>
    <row r="179" spans="1:9">
      <c r="A179" s="40"/>
      <c r="B179" s="40"/>
      <c r="C179" s="40"/>
      <c r="D179" s="40"/>
      <c r="E179" s="40"/>
      <c r="F179" s="40"/>
      <c r="G179" s="40"/>
      <c r="H179" s="40"/>
      <c r="I179" s="40"/>
    </row>
    <row r="180" spans="1:9">
      <c r="A180" s="40"/>
      <c r="B180" s="40"/>
      <c r="C180" s="40"/>
      <c r="D180" s="40"/>
      <c r="E180" s="40"/>
      <c r="F180" s="40"/>
      <c r="G180" s="40"/>
      <c r="H180" s="40"/>
      <c r="I180" s="40"/>
    </row>
    <row r="181" spans="1:9">
      <c r="A181" s="40"/>
      <c r="B181" s="40"/>
      <c r="C181" s="40"/>
      <c r="D181" s="40"/>
      <c r="E181" s="40"/>
      <c r="F181" s="40"/>
      <c r="G181" s="40"/>
      <c r="H181" s="40"/>
      <c r="I181" s="40"/>
    </row>
    <row r="182" spans="1:9">
      <c r="A182" s="40"/>
      <c r="B182" s="40"/>
      <c r="C182" s="40"/>
      <c r="D182" s="40"/>
      <c r="E182" s="40"/>
      <c r="F182" s="40"/>
      <c r="G182" s="40"/>
      <c r="H182" s="40"/>
      <c r="I182" s="40"/>
    </row>
    <row r="183" spans="1:9">
      <c r="A183" s="40"/>
      <c r="B183" s="40"/>
      <c r="C183" s="40"/>
      <c r="D183" s="40"/>
      <c r="E183" s="40"/>
      <c r="F183" s="40"/>
      <c r="G183" s="40"/>
      <c r="H183" s="40"/>
      <c r="I183" s="40"/>
    </row>
    <row r="184" spans="1:9">
      <c r="A184" s="40"/>
      <c r="B184" s="40"/>
      <c r="C184" s="40"/>
      <c r="D184" s="40"/>
      <c r="E184" s="40"/>
      <c r="F184" s="40"/>
      <c r="G184" s="40"/>
      <c r="H184" s="40"/>
      <c r="I184" s="40"/>
    </row>
    <row r="185" spans="1:9">
      <c r="A185" s="40"/>
      <c r="B185" s="40"/>
      <c r="C185" s="40"/>
      <c r="D185" s="40"/>
      <c r="E185" s="40"/>
      <c r="F185" s="40"/>
      <c r="G185" s="40"/>
      <c r="H185" s="40"/>
      <c r="I185" s="40"/>
    </row>
    <row r="186" spans="1:9">
      <c r="A186" s="40"/>
      <c r="B186" s="40"/>
      <c r="C186" s="40"/>
      <c r="D186" s="40"/>
      <c r="E186" s="40"/>
      <c r="F186" s="40"/>
      <c r="G186" s="40"/>
      <c r="H186" s="40"/>
      <c r="I186" s="40"/>
    </row>
    <row r="187" spans="1:9">
      <c r="A187" s="40"/>
      <c r="B187" s="40"/>
      <c r="C187" s="40"/>
      <c r="D187" s="40"/>
      <c r="E187" s="40"/>
      <c r="F187" s="40"/>
      <c r="G187" s="40"/>
      <c r="H187" s="40"/>
      <c r="I187" s="40"/>
    </row>
    <row r="188" spans="1:9">
      <c r="A188" s="40"/>
      <c r="B188" s="40"/>
      <c r="C188" s="40"/>
      <c r="D188" s="40"/>
      <c r="E188" s="40"/>
      <c r="F188" s="40"/>
      <c r="G188" s="40"/>
      <c r="H188" s="40"/>
      <c r="I188" s="40"/>
    </row>
    <row r="189" spans="1:9">
      <c r="A189" s="40"/>
      <c r="B189" s="40"/>
      <c r="C189" s="40"/>
      <c r="D189" s="40"/>
      <c r="E189" s="40"/>
      <c r="F189" s="40"/>
      <c r="G189" s="40"/>
      <c r="H189" s="40"/>
      <c r="I189" s="40"/>
    </row>
    <row r="190" spans="1:9">
      <c r="A190" s="40"/>
      <c r="B190" s="40"/>
      <c r="C190" s="40"/>
      <c r="D190" s="40"/>
      <c r="E190" s="40"/>
      <c r="F190" s="40"/>
      <c r="G190" s="40"/>
      <c r="H190" s="40"/>
      <c r="I190" s="40"/>
    </row>
    <row r="191" spans="1:9">
      <c r="A191" s="40"/>
      <c r="B191" s="40"/>
      <c r="C191" s="40"/>
      <c r="D191" s="40"/>
      <c r="E191" s="40"/>
      <c r="F191" s="40"/>
      <c r="G191" s="40"/>
      <c r="H191" s="40"/>
      <c r="I191" s="40"/>
    </row>
    <row r="192" spans="1:9">
      <c r="A192" s="40"/>
      <c r="B192" s="40"/>
      <c r="C192" s="40"/>
      <c r="D192" s="40"/>
      <c r="E192" s="40"/>
      <c r="F192" s="40"/>
      <c r="G192" s="40"/>
      <c r="H192" s="40"/>
      <c r="I192" s="40"/>
    </row>
    <row r="193" spans="1:9">
      <c r="A193" s="40"/>
      <c r="B193" s="40"/>
      <c r="C193" s="40"/>
      <c r="D193" s="40"/>
      <c r="E193" s="40"/>
      <c r="F193" s="40"/>
      <c r="G193" s="40"/>
      <c r="H193" s="40"/>
      <c r="I193" s="40"/>
    </row>
    <row r="194" spans="1:9">
      <c r="A194" s="40"/>
      <c r="B194" s="40"/>
      <c r="C194" s="40"/>
      <c r="D194" s="40"/>
      <c r="E194" s="40"/>
      <c r="F194" s="40"/>
      <c r="G194" s="40"/>
      <c r="H194" s="40"/>
      <c r="I194" s="40"/>
    </row>
    <row r="195" spans="1:9">
      <c r="A195" s="40"/>
      <c r="B195" s="40"/>
      <c r="C195" s="40"/>
      <c r="D195" s="40"/>
      <c r="E195" s="40"/>
      <c r="F195" s="40"/>
      <c r="G195" s="40"/>
      <c r="H195" s="40"/>
      <c r="I195" s="40"/>
    </row>
    <row r="196" spans="1:9">
      <c r="A196" s="40"/>
      <c r="B196" s="40"/>
      <c r="C196" s="40"/>
      <c r="D196" s="40"/>
      <c r="E196" s="40"/>
      <c r="F196" s="40"/>
      <c r="G196" s="40"/>
      <c r="H196" s="40"/>
      <c r="I196" s="40"/>
    </row>
    <row r="197" spans="1:9">
      <c r="A197" s="40"/>
      <c r="B197" s="40"/>
      <c r="C197" s="40"/>
      <c r="D197" s="40"/>
      <c r="E197" s="40"/>
      <c r="F197" s="40"/>
      <c r="G197" s="40"/>
      <c r="H197" s="40"/>
      <c r="I197" s="40"/>
    </row>
    <row r="198" spans="1:9">
      <c r="A198" s="40"/>
      <c r="B198" s="40"/>
      <c r="C198" s="40"/>
      <c r="D198" s="40"/>
      <c r="E198" s="40"/>
      <c r="F198" s="40"/>
      <c r="G198" s="40"/>
      <c r="H198" s="40"/>
      <c r="I198" s="40"/>
    </row>
    <row r="199" spans="1:9">
      <c r="A199" s="40"/>
      <c r="B199" s="40"/>
      <c r="C199" s="40"/>
      <c r="D199" s="40"/>
      <c r="E199" s="40"/>
      <c r="F199" s="40"/>
      <c r="G199" s="40"/>
      <c r="H199" s="40"/>
      <c r="I199" s="40"/>
    </row>
    <row r="200" spans="1:9">
      <c r="A200" s="40"/>
      <c r="B200" s="40"/>
      <c r="C200" s="40"/>
      <c r="D200" s="40"/>
      <c r="E200" s="40"/>
      <c r="F200" s="40"/>
      <c r="G200" s="40"/>
      <c r="H200" s="40"/>
      <c r="I200" s="40"/>
    </row>
    <row r="201" spans="1:9">
      <c r="A201" s="40"/>
      <c r="B201" s="40"/>
      <c r="C201" s="40"/>
      <c r="D201" s="40"/>
      <c r="E201" s="40"/>
      <c r="F201" s="40"/>
      <c r="G201" s="40"/>
      <c r="H201" s="40"/>
      <c r="I201" s="40"/>
    </row>
    <row r="202" spans="1:9">
      <c r="A202" s="40"/>
      <c r="B202" s="40"/>
      <c r="C202" s="40"/>
      <c r="D202" s="40"/>
      <c r="E202" s="40"/>
      <c r="F202" s="40"/>
      <c r="G202" s="40"/>
      <c r="H202" s="40"/>
      <c r="I202" s="40"/>
    </row>
  </sheetData>
  <mergeCells count="51">
    <mergeCell ref="O8:O9"/>
    <mergeCell ref="I14:I20"/>
    <mergeCell ref="H52:H53"/>
    <mergeCell ref="I52:I53"/>
    <mergeCell ref="H39:H42"/>
    <mergeCell ref="I39:I42"/>
    <mergeCell ref="H43:H51"/>
    <mergeCell ref="I43:I51"/>
    <mergeCell ref="O13:O14"/>
    <mergeCell ref="O4:O6"/>
    <mergeCell ref="I69:I76"/>
    <mergeCell ref="H62:H68"/>
    <mergeCell ref="I62:I68"/>
    <mergeCell ref="H25:H26"/>
    <mergeCell ref="H23:H24"/>
    <mergeCell ref="I23:I24"/>
    <mergeCell ref="H21:H22"/>
    <mergeCell ref="I21:I22"/>
    <mergeCell ref="H3:H7"/>
    <mergeCell ref="I3:I7"/>
    <mergeCell ref="H8:H12"/>
    <mergeCell ref="H29:H37"/>
    <mergeCell ref="I29:I37"/>
    <mergeCell ref="I8:I12"/>
    <mergeCell ref="H14:H20"/>
    <mergeCell ref="H88:H95"/>
    <mergeCell ref="I88:I95"/>
    <mergeCell ref="H82:H87"/>
    <mergeCell ref="I82:I87"/>
    <mergeCell ref="H96:H97"/>
    <mergeCell ref="I96:I97"/>
    <mergeCell ref="H77:H81"/>
    <mergeCell ref="I77:I81"/>
    <mergeCell ref="H57:H59"/>
    <mergeCell ref="I55:I59"/>
    <mergeCell ref="H60:H61"/>
    <mergeCell ref="I60:I61"/>
    <mergeCell ref="H75:H76"/>
    <mergeCell ref="H55:H56"/>
    <mergeCell ref="H69:H74"/>
    <mergeCell ref="H117:H119"/>
    <mergeCell ref="I106:I119"/>
    <mergeCell ref="H121:H129"/>
    <mergeCell ref="I121:I129"/>
    <mergeCell ref="H110:H112"/>
    <mergeCell ref="H106:H109"/>
    <mergeCell ref="H98:H100"/>
    <mergeCell ref="I98:I100"/>
    <mergeCell ref="I102:I104"/>
    <mergeCell ref="H113:H116"/>
    <mergeCell ref="H102:H104"/>
  </mergeCells>
  <pageMargins left="0.70866141732283472" right="0.70866141732283472" top="0.74803149606299213" bottom="0.74803149606299213" header="0.31496062992125984" footer="0.31496062992125984"/>
  <pageSetup paperSize="9" orientation="landscape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R110"/>
  <sheetViews>
    <sheetView tabSelected="1" topLeftCell="A115" workbookViewId="0">
      <selection activeCell="A138" sqref="A138"/>
    </sheetView>
  </sheetViews>
  <sheetFormatPr defaultRowHeight="15"/>
  <cols>
    <col min="2" max="2" width="87.42578125" customWidth="1"/>
    <col min="3" max="3" width="14" customWidth="1"/>
    <col min="6" max="6" width="17.85546875" customWidth="1"/>
    <col min="7" max="7" width="18" customWidth="1"/>
    <col min="8" max="8" width="17.42578125" customWidth="1"/>
    <col min="9" max="9" width="21.140625" customWidth="1"/>
    <col min="10" max="10" width="22.140625" customWidth="1"/>
    <col min="12" max="12" width="13.140625" customWidth="1"/>
    <col min="13" max="13" width="15.7109375" customWidth="1"/>
    <col min="14" max="14" width="17.28515625" customWidth="1"/>
    <col min="15" max="15" width="24.140625" customWidth="1"/>
    <col min="16" max="16" width="14" bestFit="1" customWidth="1"/>
    <col min="17" max="17" width="20.140625" customWidth="1"/>
    <col min="19" max="19" width="16.85546875" customWidth="1"/>
  </cols>
  <sheetData>
    <row r="1" spans="1:17">
      <c r="A1" s="1" t="s">
        <v>0</v>
      </c>
      <c r="C1" s="2"/>
      <c r="D1" s="2"/>
      <c r="E1" s="2"/>
      <c r="F1" s="3"/>
      <c r="G1" s="3"/>
      <c r="H1" s="3"/>
      <c r="K1" s="4" t="s">
        <v>1044</v>
      </c>
      <c r="L1" s="5"/>
      <c r="M1" s="5"/>
      <c r="N1" s="3"/>
    </row>
    <row r="2" spans="1:17" ht="30">
      <c r="A2" s="6" t="s">
        <v>1</v>
      </c>
      <c r="B2" s="527" t="s">
        <v>2</v>
      </c>
      <c r="C2" s="527" t="s">
        <v>3</v>
      </c>
      <c r="D2" s="527" t="s">
        <v>4</v>
      </c>
      <c r="E2" s="527" t="s">
        <v>5</v>
      </c>
      <c r="F2" s="8" t="s">
        <v>6</v>
      </c>
      <c r="G2" s="9" t="s">
        <v>7</v>
      </c>
      <c r="H2" s="8" t="s">
        <v>8</v>
      </c>
      <c r="I2" s="527" t="s">
        <v>9</v>
      </c>
      <c r="K2" s="10" t="s">
        <v>10</v>
      </c>
      <c r="L2" s="11" t="s">
        <v>11</v>
      </c>
      <c r="M2" s="6" t="s">
        <v>12</v>
      </c>
      <c r="N2" s="9" t="s">
        <v>13</v>
      </c>
      <c r="O2" s="527" t="s">
        <v>9</v>
      </c>
    </row>
    <row r="3" spans="1:17">
      <c r="A3" s="66">
        <v>44532</v>
      </c>
      <c r="B3" s="40" t="s">
        <v>1218</v>
      </c>
      <c r="C3" s="67" t="s">
        <v>164</v>
      </c>
      <c r="D3" s="67">
        <v>13</v>
      </c>
      <c r="E3" s="67" t="s">
        <v>26</v>
      </c>
      <c r="F3" s="65">
        <v>130000</v>
      </c>
      <c r="G3" s="65">
        <f>F3*D3</f>
        <v>1690000</v>
      </c>
      <c r="H3" s="715">
        <f>SUM(G3:G6)</f>
        <v>4707000</v>
      </c>
      <c r="I3" s="715" t="s">
        <v>36</v>
      </c>
      <c r="J3" s="623">
        <f>SUM(H3:H10)</f>
        <v>8921000</v>
      </c>
      <c r="K3" s="30">
        <v>1</v>
      </c>
      <c r="L3" s="490">
        <v>44459</v>
      </c>
      <c r="M3" s="486" t="s">
        <v>17</v>
      </c>
      <c r="N3" s="654">
        <v>1521500</v>
      </c>
      <c r="O3" s="655" t="s">
        <v>1448</v>
      </c>
    </row>
    <row r="4" spans="1:17">
      <c r="A4" s="40"/>
      <c r="B4" s="40" t="s">
        <v>1379</v>
      </c>
      <c r="C4" s="67" t="s">
        <v>164</v>
      </c>
      <c r="D4" s="67">
        <v>6</v>
      </c>
      <c r="E4" s="67" t="s">
        <v>26</v>
      </c>
      <c r="F4" s="65">
        <v>151500</v>
      </c>
      <c r="G4" s="65">
        <f t="shared" ref="G4:G67" si="0">F4*D4</f>
        <v>909000</v>
      </c>
      <c r="H4" s="807"/>
      <c r="I4" s="807"/>
      <c r="J4" s="19"/>
      <c r="K4" s="12">
        <v>2</v>
      </c>
      <c r="L4" s="306">
        <v>44424</v>
      </c>
      <c r="M4" s="307" t="s">
        <v>49</v>
      </c>
      <c r="N4" s="628">
        <v>10000000</v>
      </c>
      <c r="O4" s="1029" t="s">
        <v>1373</v>
      </c>
      <c r="P4" s="349"/>
    </row>
    <row r="5" spans="1:17">
      <c r="A5" s="40"/>
      <c r="B5" s="40" t="s">
        <v>1212</v>
      </c>
      <c r="C5" s="67" t="s">
        <v>164</v>
      </c>
      <c r="D5" s="67">
        <v>9</v>
      </c>
      <c r="E5" s="67" t="s">
        <v>26</v>
      </c>
      <c r="F5" s="65">
        <v>162000</v>
      </c>
      <c r="G5" s="65">
        <f t="shared" si="0"/>
        <v>1458000</v>
      </c>
      <c r="H5" s="807"/>
      <c r="I5" s="807"/>
      <c r="J5" s="20"/>
      <c r="K5" s="15">
        <v>3</v>
      </c>
      <c r="L5" s="306">
        <v>44389</v>
      </c>
      <c r="M5" s="307" t="s">
        <v>49</v>
      </c>
      <c r="N5" s="628">
        <v>910000</v>
      </c>
      <c r="O5" s="1030"/>
      <c r="Q5" s="349"/>
    </row>
    <row r="6" spans="1:17">
      <c r="A6" s="40"/>
      <c r="B6" s="40" t="s">
        <v>1215</v>
      </c>
      <c r="C6" s="67" t="s">
        <v>164</v>
      </c>
      <c r="D6" s="67">
        <v>5</v>
      </c>
      <c r="E6" s="67" t="s">
        <v>26</v>
      </c>
      <c r="F6" s="65">
        <v>130000</v>
      </c>
      <c r="G6" s="65">
        <f t="shared" si="0"/>
        <v>650000</v>
      </c>
      <c r="H6" s="716"/>
      <c r="I6" s="807"/>
      <c r="J6" s="14"/>
      <c r="K6" s="30">
        <v>4</v>
      </c>
      <c r="L6" s="306">
        <v>44476</v>
      </c>
      <c r="M6" s="307" t="s">
        <v>49</v>
      </c>
      <c r="N6" s="308">
        <v>10400000</v>
      </c>
      <c r="O6" s="1020" t="s">
        <v>1449</v>
      </c>
      <c r="P6" s="349"/>
    </row>
    <row r="7" spans="1:17">
      <c r="A7" s="40"/>
      <c r="B7" s="40" t="s">
        <v>1380</v>
      </c>
      <c r="C7" s="67" t="s">
        <v>164</v>
      </c>
      <c r="D7" s="67">
        <v>8</v>
      </c>
      <c r="E7" s="67" t="s">
        <v>26</v>
      </c>
      <c r="F7" s="65">
        <v>130000</v>
      </c>
      <c r="G7" s="65">
        <f t="shared" si="0"/>
        <v>1040000</v>
      </c>
      <c r="H7" s="715">
        <f>SUM(G7:G10)</f>
        <v>4214000</v>
      </c>
      <c r="I7" s="807"/>
      <c r="J7" s="14"/>
      <c r="K7" s="30">
        <v>5</v>
      </c>
      <c r="L7" s="306">
        <v>44477</v>
      </c>
      <c r="M7" s="307" t="s">
        <v>49</v>
      </c>
      <c r="N7" s="308">
        <v>9545000</v>
      </c>
      <c r="O7" s="1021"/>
      <c r="Q7" s="142"/>
    </row>
    <row r="8" spans="1:17">
      <c r="A8" s="66"/>
      <c r="B8" s="40" t="s">
        <v>1217</v>
      </c>
      <c r="C8" s="67" t="s">
        <v>164</v>
      </c>
      <c r="D8" s="67">
        <v>5</v>
      </c>
      <c r="E8" s="67" t="s">
        <v>26</v>
      </c>
      <c r="F8" s="65">
        <v>138000</v>
      </c>
      <c r="G8" s="65">
        <f t="shared" si="0"/>
        <v>690000</v>
      </c>
      <c r="H8" s="807"/>
      <c r="I8" s="807"/>
      <c r="J8" s="14"/>
      <c r="K8" s="12">
        <v>6</v>
      </c>
      <c r="L8" s="388">
        <v>44494</v>
      </c>
      <c r="M8" s="389" t="s">
        <v>1208</v>
      </c>
      <c r="N8" s="404">
        <v>1950000</v>
      </c>
      <c r="O8" s="435" t="s">
        <v>1496</v>
      </c>
      <c r="Q8" s="142"/>
    </row>
    <row r="9" spans="1:17">
      <c r="A9" s="40"/>
      <c r="B9" s="40" t="s">
        <v>1220</v>
      </c>
      <c r="C9" s="67" t="s">
        <v>164</v>
      </c>
      <c r="D9" s="67">
        <v>16</v>
      </c>
      <c r="E9" s="67" t="s">
        <v>26</v>
      </c>
      <c r="F9" s="65">
        <v>138000</v>
      </c>
      <c r="G9" s="65">
        <f t="shared" si="0"/>
        <v>2208000</v>
      </c>
      <c r="H9" s="807"/>
      <c r="I9" s="807"/>
      <c r="J9" s="14"/>
      <c r="K9" s="15">
        <v>7</v>
      </c>
      <c r="L9" s="198">
        <v>44495</v>
      </c>
      <c r="M9" s="195" t="s">
        <v>164</v>
      </c>
      <c r="N9" s="184">
        <v>16467500</v>
      </c>
      <c r="O9" s="182" t="s">
        <v>1500</v>
      </c>
      <c r="Q9" s="142"/>
    </row>
    <row r="10" spans="1:17">
      <c r="A10" s="21"/>
      <c r="B10" s="40" t="s">
        <v>1381</v>
      </c>
      <c r="C10" s="67" t="s">
        <v>164</v>
      </c>
      <c r="D10" s="41">
        <v>2</v>
      </c>
      <c r="E10" s="67" t="s">
        <v>26</v>
      </c>
      <c r="F10" s="65">
        <v>138000</v>
      </c>
      <c r="G10" s="65">
        <f t="shared" si="0"/>
        <v>276000</v>
      </c>
      <c r="H10" s="716"/>
      <c r="I10" s="716"/>
      <c r="J10" s="14"/>
      <c r="K10" s="30">
        <v>8</v>
      </c>
      <c r="L10" s="198">
        <v>44501</v>
      </c>
      <c r="M10" s="195" t="s">
        <v>164</v>
      </c>
      <c r="N10" s="184">
        <v>7600000</v>
      </c>
      <c r="O10" s="182" t="s">
        <v>1500</v>
      </c>
    </row>
    <row r="11" spans="1:17">
      <c r="A11" s="23">
        <v>44532</v>
      </c>
      <c r="B11" s="21" t="s">
        <v>44</v>
      </c>
      <c r="C11" s="67" t="s">
        <v>96</v>
      </c>
      <c r="D11" s="41">
        <v>1</v>
      </c>
      <c r="E11" s="67" t="s">
        <v>26</v>
      </c>
      <c r="F11" s="65">
        <v>0</v>
      </c>
      <c r="G11" s="65">
        <f t="shared" si="0"/>
        <v>0</v>
      </c>
      <c r="H11" s="124" t="s">
        <v>1382</v>
      </c>
      <c r="I11" s="124"/>
      <c r="J11" s="14"/>
      <c r="K11" s="30">
        <v>9</v>
      </c>
      <c r="L11" s="198">
        <v>44508</v>
      </c>
      <c r="M11" s="195" t="s">
        <v>164</v>
      </c>
      <c r="N11" s="184">
        <v>1470000</v>
      </c>
      <c r="O11" s="182" t="s">
        <v>1500</v>
      </c>
      <c r="Q11" s="142"/>
    </row>
    <row r="12" spans="1:17">
      <c r="A12" s="21"/>
      <c r="B12" s="21" t="s">
        <v>46</v>
      </c>
      <c r="C12" s="67" t="s">
        <v>96</v>
      </c>
      <c r="D12" s="41">
        <v>1</v>
      </c>
      <c r="E12" s="67" t="s">
        <v>26</v>
      </c>
      <c r="F12" s="24">
        <v>0</v>
      </c>
      <c r="G12" s="24">
        <f t="shared" si="0"/>
        <v>0</v>
      </c>
      <c r="H12" s="124"/>
      <c r="I12" s="124"/>
      <c r="J12" s="14"/>
      <c r="K12" s="12">
        <v>10</v>
      </c>
      <c r="L12" s="198">
        <v>44515</v>
      </c>
      <c r="M12" s="195" t="s">
        <v>164</v>
      </c>
      <c r="N12" s="184">
        <v>5480000</v>
      </c>
      <c r="O12" s="182" t="s">
        <v>1500</v>
      </c>
      <c r="P12" s="142"/>
      <c r="Q12" s="142"/>
    </row>
    <row r="13" spans="1:17">
      <c r="A13" s="23">
        <v>44532</v>
      </c>
      <c r="B13" s="21" t="s">
        <v>1386</v>
      </c>
      <c r="C13" s="25" t="s">
        <v>146</v>
      </c>
      <c r="D13" s="41">
        <v>1</v>
      </c>
      <c r="E13" s="41" t="s">
        <v>1384</v>
      </c>
      <c r="F13" s="24">
        <v>1100000</v>
      </c>
      <c r="G13" s="24">
        <f t="shared" si="0"/>
        <v>1100000</v>
      </c>
      <c r="H13" s="24">
        <f>SUM(G13)</f>
        <v>1100000</v>
      </c>
      <c r="I13" s="25" t="s">
        <v>1385</v>
      </c>
      <c r="J13" s="14"/>
      <c r="K13" s="15">
        <v>11</v>
      </c>
      <c r="L13" s="306">
        <v>44502</v>
      </c>
      <c r="M13" s="307" t="s">
        <v>49</v>
      </c>
      <c r="N13" s="628">
        <v>1320000</v>
      </c>
      <c r="O13" s="878" t="s">
        <v>1449</v>
      </c>
    </row>
    <row r="14" spans="1:17">
      <c r="A14" s="23">
        <v>44534</v>
      </c>
      <c r="B14" s="21" t="s">
        <v>1387</v>
      </c>
      <c r="C14" s="25" t="s">
        <v>164</v>
      </c>
      <c r="D14" s="41">
        <v>4</v>
      </c>
      <c r="E14" s="41" t="s">
        <v>26</v>
      </c>
      <c r="F14" s="24">
        <v>640000</v>
      </c>
      <c r="G14" s="24">
        <f t="shared" si="0"/>
        <v>2560000</v>
      </c>
      <c r="H14" s="711">
        <f>SUM(G14:G17)</f>
        <v>6800000</v>
      </c>
      <c r="I14" s="698" t="s">
        <v>36</v>
      </c>
      <c r="J14" s="14"/>
      <c r="K14" s="30">
        <v>12</v>
      </c>
      <c r="L14" s="306">
        <v>44503</v>
      </c>
      <c r="M14" s="307" t="s">
        <v>49</v>
      </c>
      <c r="N14" s="308">
        <v>10275000</v>
      </c>
      <c r="O14" s="1031"/>
    </row>
    <row r="15" spans="1:17">
      <c r="A15" s="21"/>
      <c r="B15" s="21" t="s">
        <v>1390</v>
      </c>
      <c r="C15" s="25" t="s">
        <v>164</v>
      </c>
      <c r="D15" s="41">
        <v>2</v>
      </c>
      <c r="E15" s="41" t="s">
        <v>26</v>
      </c>
      <c r="F15" s="24">
        <v>740000</v>
      </c>
      <c r="G15" s="24">
        <f t="shared" si="0"/>
        <v>1480000</v>
      </c>
      <c r="H15" s="712"/>
      <c r="I15" s="699"/>
      <c r="J15" s="14"/>
      <c r="K15" s="30">
        <v>13</v>
      </c>
      <c r="L15" s="306">
        <v>44512</v>
      </c>
      <c r="M15" s="307" t="s">
        <v>49</v>
      </c>
      <c r="N15" s="308">
        <v>7725000</v>
      </c>
      <c r="O15" s="1031"/>
      <c r="Q15" s="142"/>
    </row>
    <row r="16" spans="1:17">
      <c r="A16" s="21"/>
      <c r="B16" s="21" t="s">
        <v>1388</v>
      </c>
      <c r="C16" s="25" t="s">
        <v>164</v>
      </c>
      <c r="D16" s="41">
        <v>2</v>
      </c>
      <c r="E16" s="41" t="s">
        <v>26</v>
      </c>
      <c r="F16" s="24">
        <v>640000</v>
      </c>
      <c r="G16" s="24">
        <f t="shared" si="0"/>
        <v>1280000</v>
      </c>
      <c r="H16" s="712"/>
      <c r="I16" s="699"/>
      <c r="J16" s="14"/>
      <c r="K16" s="12">
        <v>14</v>
      </c>
      <c r="L16" s="306">
        <v>44522</v>
      </c>
      <c r="M16" s="307" t="s">
        <v>49</v>
      </c>
      <c r="N16" s="308">
        <v>4850000</v>
      </c>
      <c r="O16" s="879"/>
    </row>
    <row r="17" spans="1:18">
      <c r="A17" s="21"/>
      <c r="B17" s="21" t="s">
        <v>1389</v>
      </c>
      <c r="C17" s="25" t="s">
        <v>164</v>
      </c>
      <c r="D17" s="41">
        <v>2</v>
      </c>
      <c r="E17" s="41" t="s">
        <v>26</v>
      </c>
      <c r="F17" s="24">
        <v>740000</v>
      </c>
      <c r="G17" s="24">
        <f t="shared" si="0"/>
        <v>1480000</v>
      </c>
      <c r="H17" s="713"/>
      <c r="I17" s="700"/>
      <c r="J17" s="14"/>
      <c r="K17" s="15">
        <v>15</v>
      </c>
      <c r="L17" s="175">
        <v>44565</v>
      </c>
      <c r="M17" s="174" t="s">
        <v>28</v>
      </c>
      <c r="N17" s="161">
        <v>7880000</v>
      </c>
      <c r="O17" s="159" t="s">
        <v>1508</v>
      </c>
    </row>
    <row r="18" spans="1:18">
      <c r="A18" s="23">
        <v>44534</v>
      </c>
      <c r="B18" s="21" t="s">
        <v>1391</v>
      </c>
      <c r="C18" s="25" t="s">
        <v>28</v>
      </c>
      <c r="D18" s="41">
        <v>5</v>
      </c>
      <c r="E18" s="41" t="s">
        <v>26</v>
      </c>
      <c r="F18" s="24">
        <v>195000</v>
      </c>
      <c r="G18" s="24">
        <f t="shared" si="0"/>
        <v>975000</v>
      </c>
      <c r="H18" s="24">
        <f>SUM(G18)</f>
        <v>975000</v>
      </c>
      <c r="I18" s="21" t="s">
        <v>1392</v>
      </c>
      <c r="J18" s="14"/>
      <c r="K18" s="30">
        <v>16</v>
      </c>
      <c r="L18" s="198">
        <v>44897</v>
      </c>
      <c r="M18" s="195" t="s">
        <v>164</v>
      </c>
      <c r="N18" s="184">
        <v>4707000</v>
      </c>
      <c r="O18" s="182" t="s">
        <v>1500</v>
      </c>
    </row>
    <row r="19" spans="1:18">
      <c r="A19" s="23">
        <v>44536</v>
      </c>
      <c r="B19" s="21" t="s">
        <v>1393</v>
      </c>
      <c r="C19" s="25" t="s">
        <v>164</v>
      </c>
      <c r="D19" s="41">
        <v>2</v>
      </c>
      <c r="E19" s="41" t="s">
        <v>26</v>
      </c>
      <c r="F19" s="24">
        <v>640000</v>
      </c>
      <c r="G19" s="24">
        <f t="shared" si="0"/>
        <v>1280000</v>
      </c>
      <c r="H19" s="711">
        <f>SUM(G19:G21)</f>
        <v>4680000</v>
      </c>
      <c r="I19" s="698" t="s">
        <v>151</v>
      </c>
      <c r="J19" s="14"/>
      <c r="K19" s="15">
        <v>17</v>
      </c>
      <c r="L19" s="490">
        <v>44919</v>
      </c>
      <c r="M19" s="486" t="s">
        <v>820</v>
      </c>
      <c r="N19" s="488">
        <v>900000</v>
      </c>
      <c r="O19" s="485" t="s">
        <v>1500</v>
      </c>
    </row>
    <row r="20" spans="1:18">
      <c r="A20" s="21"/>
      <c r="B20" s="21" t="s">
        <v>1394</v>
      </c>
      <c r="C20" s="25" t="s">
        <v>164</v>
      </c>
      <c r="D20" s="41">
        <v>3</v>
      </c>
      <c r="E20" s="41" t="s">
        <v>26</v>
      </c>
      <c r="F20" s="24">
        <v>640000</v>
      </c>
      <c r="G20" s="24">
        <f t="shared" si="0"/>
        <v>1920000</v>
      </c>
      <c r="H20" s="712"/>
      <c r="I20" s="699"/>
      <c r="J20" s="14"/>
      <c r="K20" s="15">
        <v>19</v>
      </c>
      <c r="L20" s="490">
        <v>44919</v>
      </c>
      <c r="M20" s="486" t="s">
        <v>820</v>
      </c>
      <c r="N20" s="488">
        <v>1230000</v>
      </c>
      <c r="O20" s="485" t="s">
        <v>1500</v>
      </c>
    </row>
    <row r="21" spans="1:18">
      <c r="A21" s="21"/>
      <c r="B21" s="21" t="s">
        <v>1395</v>
      </c>
      <c r="C21" s="25" t="s">
        <v>164</v>
      </c>
      <c r="D21" s="41">
        <v>2</v>
      </c>
      <c r="E21" s="41" t="s">
        <v>26</v>
      </c>
      <c r="F21" s="24">
        <v>740000</v>
      </c>
      <c r="G21" s="24">
        <f t="shared" si="0"/>
        <v>1480000</v>
      </c>
      <c r="H21" s="713"/>
      <c r="I21" s="700"/>
      <c r="J21" s="14"/>
      <c r="K21" s="15">
        <v>20</v>
      </c>
      <c r="L21" s="63">
        <v>44614</v>
      </c>
      <c r="M21" s="25" t="s">
        <v>1510</v>
      </c>
      <c r="N21" s="24">
        <v>2067000</v>
      </c>
      <c r="O21" s="21"/>
      <c r="P21" s="142"/>
    </row>
    <row r="22" spans="1:18">
      <c r="A22" s="23">
        <v>44536</v>
      </c>
      <c r="B22" s="21" t="s">
        <v>1396</v>
      </c>
      <c r="C22" s="25" t="s">
        <v>280</v>
      </c>
      <c r="D22" s="41">
        <v>1</v>
      </c>
      <c r="E22" s="41" t="s">
        <v>26</v>
      </c>
      <c r="F22" s="24">
        <v>0</v>
      </c>
      <c r="G22" s="24">
        <f t="shared" si="0"/>
        <v>0</v>
      </c>
      <c r="H22" s="24">
        <v>0</v>
      </c>
      <c r="I22" s="21"/>
      <c r="J22" s="14"/>
      <c r="N22" s="142">
        <f>SUM(N3:N21)</f>
        <v>106298000</v>
      </c>
    </row>
    <row r="23" spans="1:18">
      <c r="A23" s="23">
        <v>44536</v>
      </c>
      <c r="B23" s="21" t="s">
        <v>1397</v>
      </c>
      <c r="C23" s="25" t="s">
        <v>49</v>
      </c>
      <c r="D23" s="41">
        <v>10</v>
      </c>
      <c r="E23" s="41" t="s">
        <v>26</v>
      </c>
      <c r="F23" s="24">
        <v>85000</v>
      </c>
      <c r="G23" s="24">
        <f t="shared" si="0"/>
        <v>850000</v>
      </c>
      <c r="H23" s="1005">
        <f>SUM(G23:G36)</f>
        <v>31030000</v>
      </c>
      <c r="I23" s="698" t="s">
        <v>253</v>
      </c>
      <c r="J23" s="36">
        <f>SUM(H23:H44)</f>
        <v>40295000</v>
      </c>
    </row>
    <row r="24" spans="1:18">
      <c r="A24" s="40"/>
      <c r="B24" s="40" t="s">
        <v>1398</v>
      </c>
      <c r="C24" s="25" t="s">
        <v>49</v>
      </c>
      <c r="D24" s="67">
        <v>10</v>
      </c>
      <c r="E24" s="41" t="s">
        <v>26</v>
      </c>
      <c r="F24" s="364">
        <v>130000</v>
      </c>
      <c r="G24" s="24">
        <f t="shared" si="0"/>
        <v>1300000</v>
      </c>
      <c r="H24" s="1005"/>
      <c r="I24" s="699"/>
    </row>
    <row r="25" spans="1:18">
      <c r="A25" s="40"/>
      <c r="B25" s="40" t="s">
        <v>1399</v>
      </c>
      <c r="C25" s="25" t="s">
        <v>49</v>
      </c>
      <c r="D25" s="67">
        <v>20</v>
      </c>
      <c r="E25" s="41" t="s">
        <v>26</v>
      </c>
      <c r="F25" s="364">
        <v>100000</v>
      </c>
      <c r="G25" s="24">
        <f t="shared" si="0"/>
        <v>2000000</v>
      </c>
      <c r="H25" s="1005"/>
      <c r="I25" s="699"/>
    </row>
    <row r="26" spans="1:18">
      <c r="A26" s="40"/>
      <c r="B26" s="40" t="s">
        <v>1400</v>
      </c>
      <c r="C26" s="25" t="s">
        <v>49</v>
      </c>
      <c r="D26" s="67">
        <v>10</v>
      </c>
      <c r="E26" s="41" t="s">
        <v>26</v>
      </c>
      <c r="F26" s="364">
        <v>110000</v>
      </c>
      <c r="G26" s="24">
        <f t="shared" si="0"/>
        <v>1100000</v>
      </c>
      <c r="H26" s="1005"/>
      <c r="I26" s="699"/>
      <c r="O26" s="198"/>
      <c r="P26" s="195"/>
      <c r="Q26" s="184"/>
      <c r="R26" s="182"/>
    </row>
    <row r="27" spans="1:18">
      <c r="A27" s="40"/>
      <c r="B27" s="40" t="s">
        <v>1401</v>
      </c>
      <c r="C27" s="25" t="s">
        <v>49</v>
      </c>
      <c r="D27" s="67">
        <v>3</v>
      </c>
      <c r="E27" s="41" t="s">
        <v>26</v>
      </c>
      <c r="F27" s="364">
        <v>2300000</v>
      </c>
      <c r="G27" s="24">
        <f t="shared" si="0"/>
        <v>6900000</v>
      </c>
      <c r="H27" s="1005"/>
      <c r="I27" s="699"/>
    </row>
    <row r="28" spans="1:18">
      <c r="A28" s="40"/>
      <c r="B28" s="40" t="s">
        <v>1402</v>
      </c>
      <c r="C28" s="25" t="s">
        <v>49</v>
      </c>
      <c r="D28" s="67">
        <v>3</v>
      </c>
      <c r="E28" s="41" t="s">
        <v>26</v>
      </c>
      <c r="F28" s="364">
        <v>1750000</v>
      </c>
      <c r="G28" s="24">
        <f t="shared" si="0"/>
        <v>5250000</v>
      </c>
      <c r="H28" s="1005"/>
      <c r="I28" s="699"/>
    </row>
    <row r="29" spans="1:18">
      <c r="A29" s="40"/>
      <c r="B29" s="40" t="s">
        <v>1403</v>
      </c>
      <c r="C29" s="25" t="s">
        <v>49</v>
      </c>
      <c r="D29" s="67">
        <v>5</v>
      </c>
      <c r="E29" s="41" t="s">
        <v>26</v>
      </c>
      <c r="F29" s="364">
        <v>420000</v>
      </c>
      <c r="G29" s="24">
        <f t="shared" si="0"/>
        <v>2100000</v>
      </c>
      <c r="H29" s="1005"/>
      <c r="I29" s="699"/>
    </row>
    <row r="30" spans="1:18">
      <c r="A30" s="40"/>
      <c r="B30" s="40" t="s">
        <v>1404</v>
      </c>
      <c r="C30" s="25" t="s">
        <v>49</v>
      </c>
      <c r="D30" s="67">
        <v>2</v>
      </c>
      <c r="E30" s="41" t="s">
        <v>26</v>
      </c>
      <c r="F30" s="364">
        <v>1800000</v>
      </c>
      <c r="G30" s="24">
        <f t="shared" si="0"/>
        <v>3600000</v>
      </c>
      <c r="H30" s="1005"/>
      <c r="I30" s="699"/>
    </row>
    <row r="31" spans="1:18">
      <c r="A31" s="40"/>
      <c r="B31" s="40" t="s">
        <v>1405</v>
      </c>
      <c r="C31" s="25" t="s">
        <v>49</v>
      </c>
      <c r="D31" s="67">
        <v>10</v>
      </c>
      <c r="E31" s="41" t="s">
        <v>26</v>
      </c>
      <c r="F31" s="364">
        <v>145000</v>
      </c>
      <c r="G31" s="24">
        <f t="shared" si="0"/>
        <v>1450000</v>
      </c>
      <c r="H31" s="1005"/>
      <c r="I31" s="699"/>
    </row>
    <row r="32" spans="1:18">
      <c r="A32" s="40"/>
      <c r="B32" s="40" t="s">
        <v>1406</v>
      </c>
      <c r="C32" s="25" t="s">
        <v>49</v>
      </c>
      <c r="D32" s="67">
        <v>16</v>
      </c>
      <c r="E32" s="41" t="s">
        <v>26</v>
      </c>
      <c r="F32" s="364">
        <v>85000</v>
      </c>
      <c r="G32" s="24">
        <f t="shared" si="0"/>
        <v>1360000</v>
      </c>
      <c r="H32" s="1005"/>
      <c r="I32" s="699"/>
    </row>
    <row r="33" spans="1:9">
      <c r="A33" s="40"/>
      <c r="B33" s="40" t="s">
        <v>1407</v>
      </c>
      <c r="C33" s="25" t="s">
        <v>49</v>
      </c>
      <c r="D33" s="67">
        <v>9</v>
      </c>
      <c r="E33" s="41" t="s">
        <v>26</v>
      </c>
      <c r="F33" s="364">
        <v>135000</v>
      </c>
      <c r="G33" s="24">
        <f t="shared" si="0"/>
        <v>1215000</v>
      </c>
      <c r="H33" s="1005"/>
      <c r="I33" s="699"/>
    </row>
    <row r="34" spans="1:9">
      <c r="A34" s="40"/>
      <c r="B34" s="40" t="s">
        <v>1408</v>
      </c>
      <c r="C34" s="25" t="s">
        <v>49</v>
      </c>
      <c r="D34" s="67">
        <v>9</v>
      </c>
      <c r="E34" s="41" t="s">
        <v>26</v>
      </c>
      <c r="F34" s="364">
        <v>145000</v>
      </c>
      <c r="G34" s="24">
        <f t="shared" si="0"/>
        <v>1305000</v>
      </c>
      <c r="H34" s="1005"/>
      <c r="I34" s="699"/>
    </row>
    <row r="35" spans="1:9">
      <c r="A35" s="40"/>
      <c r="B35" s="40" t="s">
        <v>1409</v>
      </c>
      <c r="C35" s="25" t="s">
        <v>49</v>
      </c>
      <c r="D35" s="67">
        <v>20</v>
      </c>
      <c r="E35" s="41" t="s">
        <v>26</v>
      </c>
      <c r="F35" s="364">
        <v>45000</v>
      </c>
      <c r="G35" s="24">
        <f t="shared" si="0"/>
        <v>900000</v>
      </c>
      <c r="H35" s="1005"/>
      <c r="I35" s="699"/>
    </row>
    <row r="36" spans="1:9">
      <c r="A36" s="40"/>
      <c r="B36" s="40" t="s">
        <v>1410</v>
      </c>
      <c r="C36" s="25" t="s">
        <v>49</v>
      </c>
      <c r="D36" s="67">
        <v>20</v>
      </c>
      <c r="E36" s="41" t="s">
        <v>26</v>
      </c>
      <c r="F36" s="364">
        <v>85000</v>
      </c>
      <c r="G36" s="24">
        <f t="shared" si="0"/>
        <v>1700000</v>
      </c>
      <c r="H36" s="1005"/>
      <c r="I36" s="700"/>
    </row>
    <row r="37" spans="1:9">
      <c r="A37" s="40"/>
      <c r="B37" s="40" t="s">
        <v>1411</v>
      </c>
      <c r="C37" s="25" t="s">
        <v>49</v>
      </c>
      <c r="D37" s="67">
        <v>20</v>
      </c>
      <c r="E37" s="41" t="s">
        <v>26</v>
      </c>
      <c r="F37" s="364">
        <v>95000</v>
      </c>
      <c r="G37" s="24">
        <f t="shared" si="0"/>
        <v>1900000</v>
      </c>
      <c r="H37" s="711">
        <f>SUM(G37:G44)</f>
        <v>9265000</v>
      </c>
      <c r="I37" s="808" t="s">
        <v>151</v>
      </c>
    </row>
    <row r="38" spans="1:9">
      <c r="A38" s="40"/>
      <c r="B38" s="40" t="s">
        <v>1417</v>
      </c>
      <c r="C38" s="25" t="s">
        <v>49</v>
      </c>
      <c r="D38" s="67">
        <v>10</v>
      </c>
      <c r="E38" s="41" t="s">
        <v>26</v>
      </c>
      <c r="F38" s="364">
        <v>0</v>
      </c>
      <c r="G38" s="24">
        <f t="shared" si="0"/>
        <v>0</v>
      </c>
      <c r="H38" s="712"/>
      <c r="I38" s="809"/>
    </row>
    <row r="39" spans="1:9">
      <c r="A39" s="40"/>
      <c r="B39" s="40" t="s">
        <v>1412</v>
      </c>
      <c r="C39" s="25" t="s">
        <v>49</v>
      </c>
      <c r="D39" s="67">
        <v>5</v>
      </c>
      <c r="E39" s="41" t="s">
        <v>26</v>
      </c>
      <c r="F39" s="364">
        <v>840000</v>
      </c>
      <c r="G39" s="24">
        <f t="shared" si="0"/>
        <v>4200000</v>
      </c>
      <c r="H39" s="712"/>
      <c r="I39" s="809"/>
    </row>
    <row r="40" spans="1:9">
      <c r="A40" s="40"/>
      <c r="B40" s="40" t="s">
        <v>1413</v>
      </c>
      <c r="C40" s="25" t="s">
        <v>49</v>
      </c>
      <c r="D40" s="67">
        <v>19</v>
      </c>
      <c r="E40" s="41" t="s">
        <v>26</v>
      </c>
      <c r="F40" s="364">
        <v>95000</v>
      </c>
      <c r="G40" s="24">
        <f t="shared" si="0"/>
        <v>1805000</v>
      </c>
      <c r="H40" s="712"/>
      <c r="I40" s="809"/>
    </row>
    <row r="41" spans="1:9">
      <c r="A41" s="40"/>
      <c r="B41" s="40" t="s">
        <v>1414</v>
      </c>
      <c r="C41" s="25" t="s">
        <v>49</v>
      </c>
      <c r="D41" s="67">
        <v>5</v>
      </c>
      <c r="E41" s="41" t="s">
        <v>26</v>
      </c>
      <c r="F41" s="364">
        <v>95000</v>
      </c>
      <c r="G41" s="24">
        <f t="shared" si="0"/>
        <v>475000</v>
      </c>
      <c r="H41" s="712"/>
      <c r="I41" s="809"/>
    </row>
    <row r="42" spans="1:9">
      <c r="A42" s="40"/>
      <c r="B42" s="40" t="s">
        <v>1415</v>
      </c>
      <c r="C42" s="25" t="s">
        <v>49</v>
      </c>
      <c r="D42" s="67">
        <v>5</v>
      </c>
      <c r="E42" s="41" t="s">
        <v>26</v>
      </c>
      <c r="F42" s="364">
        <v>45000</v>
      </c>
      <c r="G42" s="24">
        <f t="shared" si="0"/>
        <v>225000</v>
      </c>
      <c r="H42" s="712"/>
      <c r="I42" s="809"/>
    </row>
    <row r="43" spans="1:9">
      <c r="A43" s="40"/>
      <c r="B43" s="40" t="s">
        <v>1017</v>
      </c>
      <c r="C43" s="25" t="s">
        <v>49</v>
      </c>
      <c r="D43" s="67">
        <v>3</v>
      </c>
      <c r="E43" s="41" t="s">
        <v>26</v>
      </c>
      <c r="F43" s="364">
        <v>85000</v>
      </c>
      <c r="G43" s="24">
        <f t="shared" si="0"/>
        <v>255000</v>
      </c>
      <c r="H43" s="712"/>
      <c r="I43" s="809"/>
    </row>
    <row r="44" spans="1:9">
      <c r="A44" s="40"/>
      <c r="B44" s="40" t="s">
        <v>1416</v>
      </c>
      <c r="C44" s="25" t="s">
        <v>49</v>
      </c>
      <c r="D44" s="67">
        <v>9</v>
      </c>
      <c r="E44" s="41" t="s">
        <v>26</v>
      </c>
      <c r="F44" s="364">
        <v>45000</v>
      </c>
      <c r="G44" s="24">
        <f t="shared" si="0"/>
        <v>405000</v>
      </c>
      <c r="H44" s="713"/>
      <c r="I44" s="810"/>
    </row>
    <row r="45" spans="1:9">
      <c r="A45" s="66">
        <v>44537</v>
      </c>
      <c r="B45" s="153" t="s">
        <v>1420</v>
      </c>
      <c r="C45" s="67" t="s">
        <v>510</v>
      </c>
      <c r="D45" s="67">
        <v>2</v>
      </c>
      <c r="E45" s="41" t="s">
        <v>26</v>
      </c>
      <c r="F45" s="624">
        <v>4200000</v>
      </c>
      <c r="G45" s="364">
        <f t="shared" si="0"/>
        <v>8400000</v>
      </c>
      <c r="H45" s="364">
        <f>SUM(G45)</f>
        <v>8400000</v>
      </c>
      <c r="I45" s="67" t="s">
        <v>1421</v>
      </c>
    </row>
    <row r="46" spans="1:9">
      <c r="A46" s="66">
        <v>44537</v>
      </c>
      <c r="B46" s="40" t="s">
        <v>1422</v>
      </c>
      <c r="C46" s="67" t="s">
        <v>1424</v>
      </c>
      <c r="D46" s="67">
        <v>8</v>
      </c>
      <c r="E46" s="41" t="s">
        <v>26</v>
      </c>
      <c r="F46" s="364"/>
      <c r="G46" s="364">
        <f t="shared" si="0"/>
        <v>0</v>
      </c>
      <c r="H46" s="40"/>
      <c r="I46" s="40"/>
    </row>
    <row r="47" spans="1:9">
      <c r="A47" s="40"/>
      <c r="B47" s="40" t="s">
        <v>1423</v>
      </c>
      <c r="C47" s="67" t="s">
        <v>1424</v>
      </c>
      <c r="D47" s="67">
        <v>11</v>
      </c>
      <c r="E47" s="41" t="s">
        <v>26</v>
      </c>
      <c r="F47" s="40"/>
      <c r="G47" s="364">
        <f t="shared" si="0"/>
        <v>0</v>
      </c>
      <c r="H47" s="40"/>
      <c r="I47" s="40"/>
    </row>
    <row r="48" spans="1:9">
      <c r="A48" s="66">
        <v>44538</v>
      </c>
      <c r="B48" s="40" t="s">
        <v>1425</v>
      </c>
      <c r="C48" s="625" t="s">
        <v>60</v>
      </c>
      <c r="D48" s="625">
        <v>1</v>
      </c>
      <c r="E48" s="625" t="s">
        <v>61</v>
      </c>
      <c r="F48" s="40">
        <v>0</v>
      </c>
      <c r="G48" s="364">
        <f t="shared" si="0"/>
        <v>0</v>
      </c>
      <c r="H48" s="40">
        <v>0</v>
      </c>
      <c r="I48" s="808" t="s">
        <v>205</v>
      </c>
    </row>
    <row r="49" spans="1:10">
      <c r="A49" s="40"/>
      <c r="B49" s="40" t="s">
        <v>1426</v>
      </c>
      <c r="C49" s="625" t="s">
        <v>60</v>
      </c>
      <c r="D49" s="625">
        <v>1</v>
      </c>
      <c r="E49" s="625" t="s">
        <v>61</v>
      </c>
      <c r="F49" s="40">
        <v>0</v>
      </c>
      <c r="G49" s="364">
        <f t="shared" si="0"/>
        <v>0</v>
      </c>
      <c r="H49" s="40">
        <v>0</v>
      </c>
      <c r="I49" s="810"/>
    </row>
    <row r="50" spans="1:10">
      <c r="A50" s="66">
        <v>44539</v>
      </c>
      <c r="B50" s="40" t="s">
        <v>1432</v>
      </c>
      <c r="C50" s="67" t="s">
        <v>60</v>
      </c>
      <c r="D50" s="67">
        <v>1</v>
      </c>
      <c r="E50" s="67" t="s">
        <v>61</v>
      </c>
      <c r="F50" s="364">
        <v>19800000</v>
      </c>
      <c r="G50" s="364">
        <f t="shared" si="0"/>
        <v>19800000</v>
      </c>
      <c r="H50" s="943">
        <f>SUM(G50:G51)</f>
        <v>29800000</v>
      </c>
      <c r="I50" s="808" t="s">
        <v>685</v>
      </c>
    </row>
    <row r="51" spans="1:10">
      <c r="A51" s="40"/>
      <c r="B51" s="40" t="s">
        <v>1433</v>
      </c>
      <c r="C51" s="67" t="s">
        <v>60</v>
      </c>
      <c r="D51" s="67">
        <v>1</v>
      </c>
      <c r="E51" s="67" t="s">
        <v>61</v>
      </c>
      <c r="F51" s="364">
        <v>10000000</v>
      </c>
      <c r="G51" s="364">
        <f t="shared" si="0"/>
        <v>10000000</v>
      </c>
      <c r="H51" s="996"/>
      <c r="I51" s="810"/>
    </row>
    <row r="52" spans="1:10">
      <c r="A52" s="528">
        <v>44540</v>
      </c>
      <c r="B52" s="529" t="s">
        <v>1427</v>
      </c>
      <c r="C52" s="529" t="s">
        <v>745</v>
      </c>
      <c r="D52" s="529">
        <v>1</v>
      </c>
      <c r="E52" s="529" t="s">
        <v>26</v>
      </c>
      <c r="F52" s="537">
        <v>3200000</v>
      </c>
      <c r="G52" s="537">
        <f t="shared" si="0"/>
        <v>3200000</v>
      </c>
      <c r="H52" s="537">
        <f>SUM(G52)</f>
        <v>3200000</v>
      </c>
      <c r="I52" s="529" t="s">
        <v>1428</v>
      </c>
    </row>
    <row r="53" spans="1:10">
      <c r="A53" s="66">
        <v>44540</v>
      </c>
      <c r="B53" s="40" t="s">
        <v>1429</v>
      </c>
      <c r="C53" s="67" t="s">
        <v>21</v>
      </c>
      <c r="D53" s="67">
        <v>1</v>
      </c>
      <c r="E53" s="67" t="s">
        <v>61</v>
      </c>
      <c r="F53" s="364">
        <v>1650000</v>
      </c>
      <c r="G53" s="364">
        <f t="shared" si="0"/>
        <v>1650000</v>
      </c>
      <c r="H53" s="364">
        <f>SUM(G53)</f>
        <v>1650000</v>
      </c>
      <c r="I53" s="67" t="s">
        <v>1421</v>
      </c>
    </row>
    <row r="54" spans="1:10">
      <c r="A54" s="66">
        <v>44544</v>
      </c>
      <c r="B54" s="40" t="s">
        <v>1434</v>
      </c>
      <c r="C54" s="67" t="s">
        <v>49</v>
      </c>
      <c r="D54" s="67">
        <v>15</v>
      </c>
      <c r="E54" s="67" t="s">
        <v>26</v>
      </c>
      <c r="F54" s="364">
        <v>135000</v>
      </c>
      <c r="G54" s="364">
        <f t="shared" si="0"/>
        <v>2025000</v>
      </c>
      <c r="H54" s="943">
        <f>SUM(G54:G65)</f>
        <v>8315000</v>
      </c>
      <c r="I54" s="1007" t="s">
        <v>253</v>
      </c>
    </row>
    <row r="55" spans="1:10">
      <c r="A55" s="40"/>
      <c r="B55" s="40" t="s">
        <v>1435</v>
      </c>
      <c r="C55" s="67" t="s">
        <v>49</v>
      </c>
      <c r="D55" s="67">
        <v>20</v>
      </c>
      <c r="E55" s="67" t="s">
        <v>26</v>
      </c>
      <c r="F55" s="364">
        <v>85000</v>
      </c>
      <c r="G55" s="364">
        <f t="shared" si="0"/>
        <v>1700000</v>
      </c>
      <c r="H55" s="995"/>
      <c r="I55" s="1008"/>
    </row>
    <row r="56" spans="1:10">
      <c r="A56" s="40"/>
      <c r="B56" s="40" t="s">
        <v>1436</v>
      </c>
      <c r="C56" s="67" t="s">
        <v>49</v>
      </c>
      <c r="D56" s="67">
        <v>3</v>
      </c>
      <c r="E56" s="67" t="s">
        <v>26</v>
      </c>
      <c r="F56" s="364">
        <v>125000</v>
      </c>
      <c r="G56" s="364">
        <f t="shared" si="0"/>
        <v>375000</v>
      </c>
      <c r="H56" s="995"/>
      <c r="I56" s="1008"/>
    </row>
    <row r="57" spans="1:10">
      <c r="A57" s="40"/>
      <c r="B57" s="40" t="s">
        <v>1437</v>
      </c>
      <c r="C57" s="67" t="s">
        <v>49</v>
      </c>
      <c r="D57" s="67">
        <v>3</v>
      </c>
      <c r="E57" s="67" t="s">
        <v>26</v>
      </c>
      <c r="F57" s="364">
        <v>125000</v>
      </c>
      <c r="G57" s="364">
        <f t="shared" si="0"/>
        <v>375000</v>
      </c>
      <c r="H57" s="995"/>
      <c r="I57" s="1008"/>
      <c r="J57" t="s">
        <v>1468</v>
      </c>
    </row>
    <row r="58" spans="1:10">
      <c r="A58" s="40"/>
      <c r="B58" s="40" t="s">
        <v>1438</v>
      </c>
      <c r="C58" s="67" t="s">
        <v>49</v>
      </c>
      <c r="D58" s="67">
        <v>3</v>
      </c>
      <c r="E58" s="67" t="s">
        <v>26</v>
      </c>
      <c r="F58" s="364">
        <v>125000</v>
      </c>
      <c r="G58" s="364">
        <f t="shared" si="0"/>
        <v>375000</v>
      </c>
      <c r="H58" s="995"/>
      <c r="I58" s="1008"/>
    </row>
    <row r="59" spans="1:10">
      <c r="A59" s="40"/>
      <c r="B59" s="40" t="s">
        <v>1439</v>
      </c>
      <c r="C59" s="67" t="s">
        <v>49</v>
      </c>
      <c r="D59" s="67">
        <v>10</v>
      </c>
      <c r="E59" s="67" t="s">
        <v>26</v>
      </c>
      <c r="F59" s="364">
        <v>12000</v>
      </c>
      <c r="G59" s="364">
        <f t="shared" si="0"/>
        <v>120000</v>
      </c>
      <c r="H59" s="995"/>
      <c r="I59" s="1008"/>
    </row>
    <row r="60" spans="1:10">
      <c r="A60" s="40"/>
      <c r="B60" s="40" t="s">
        <v>1440</v>
      </c>
      <c r="C60" s="67" t="s">
        <v>49</v>
      </c>
      <c r="D60" s="67">
        <v>5</v>
      </c>
      <c r="E60" s="67" t="s">
        <v>26</v>
      </c>
      <c r="F60" s="364">
        <v>165000</v>
      </c>
      <c r="G60" s="364">
        <f t="shared" si="0"/>
        <v>825000</v>
      </c>
      <c r="H60" s="995"/>
      <c r="I60" s="1008"/>
    </row>
    <row r="61" spans="1:10">
      <c r="A61" s="40"/>
      <c r="B61" s="40" t="s">
        <v>1441</v>
      </c>
      <c r="C61" s="67" t="s">
        <v>49</v>
      </c>
      <c r="D61" s="67">
        <v>9</v>
      </c>
      <c r="E61" s="67" t="s">
        <v>26</v>
      </c>
      <c r="F61" s="364">
        <v>120000</v>
      </c>
      <c r="G61" s="364">
        <f t="shared" si="0"/>
        <v>1080000</v>
      </c>
      <c r="H61" s="995"/>
      <c r="I61" s="1008"/>
    </row>
    <row r="62" spans="1:10">
      <c r="A62" s="40"/>
      <c r="B62" s="40" t="s">
        <v>1442</v>
      </c>
      <c r="C62" s="67" t="s">
        <v>49</v>
      </c>
      <c r="D62" s="67">
        <v>8</v>
      </c>
      <c r="E62" s="67" t="s">
        <v>26</v>
      </c>
      <c r="F62" s="364">
        <v>120000</v>
      </c>
      <c r="G62" s="364">
        <f t="shared" si="0"/>
        <v>960000</v>
      </c>
      <c r="H62" s="995"/>
      <c r="I62" s="1008"/>
    </row>
    <row r="63" spans="1:10">
      <c r="A63" s="40"/>
      <c r="B63" s="40" t="s">
        <v>1443</v>
      </c>
      <c r="C63" s="67" t="s">
        <v>49</v>
      </c>
      <c r="D63" s="67">
        <v>4</v>
      </c>
      <c r="E63" s="67" t="s">
        <v>26</v>
      </c>
      <c r="F63" s="364">
        <v>120000</v>
      </c>
      <c r="G63" s="364">
        <f t="shared" si="0"/>
        <v>480000</v>
      </c>
      <c r="H63" s="995"/>
      <c r="I63" s="1008"/>
    </row>
    <row r="64" spans="1:10">
      <c r="A64" s="40"/>
      <c r="B64" s="40" t="s">
        <v>974</v>
      </c>
      <c r="C64" s="67" t="s">
        <v>49</v>
      </c>
      <c r="D64" s="67">
        <v>0</v>
      </c>
      <c r="E64" s="67" t="s">
        <v>26</v>
      </c>
      <c r="F64" s="364">
        <v>120000</v>
      </c>
      <c r="G64" s="364">
        <f t="shared" si="0"/>
        <v>0</v>
      </c>
      <c r="H64" s="995"/>
      <c r="I64" s="1008"/>
    </row>
    <row r="65" spans="1:10">
      <c r="A65" s="40"/>
      <c r="B65" s="40" t="s">
        <v>1192</v>
      </c>
      <c r="C65" s="67" t="s">
        <v>49</v>
      </c>
      <c r="D65" s="67">
        <v>0</v>
      </c>
      <c r="E65" s="67" t="s">
        <v>26</v>
      </c>
      <c r="F65" s="364">
        <v>120000</v>
      </c>
      <c r="G65" s="364">
        <f t="shared" si="0"/>
        <v>0</v>
      </c>
      <c r="H65" s="996"/>
      <c r="I65" s="1009"/>
    </row>
    <row r="66" spans="1:10">
      <c r="A66" s="66">
        <v>44546</v>
      </c>
      <c r="B66" s="40" t="s">
        <v>1444</v>
      </c>
      <c r="C66" s="67" t="s">
        <v>510</v>
      </c>
      <c r="D66" s="67">
        <v>1</v>
      </c>
      <c r="E66" s="67" t="s">
        <v>442</v>
      </c>
      <c r="F66" s="604">
        <v>325000</v>
      </c>
      <c r="G66" s="604">
        <f t="shared" si="0"/>
        <v>325000</v>
      </c>
      <c r="H66" s="364">
        <f>SUM(G66)</f>
        <v>325000</v>
      </c>
      <c r="I66" s="40" t="s">
        <v>1421</v>
      </c>
    </row>
    <row r="67" spans="1:10">
      <c r="A67" s="66">
        <v>44551</v>
      </c>
      <c r="B67" s="40" t="s">
        <v>1451</v>
      </c>
      <c r="C67" s="67" t="s">
        <v>280</v>
      </c>
      <c r="D67" s="67">
        <v>1</v>
      </c>
      <c r="E67" s="67" t="s">
        <v>26</v>
      </c>
      <c r="F67" s="40">
        <v>0</v>
      </c>
      <c r="G67" s="604">
        <f t="shared" si="0"/>
        <v>0</v>
      </c>
      <c r="H67" s="40"/>
      <c r="I67" s="40"/>
    </row>
    <row r="68" spans="1:10">
      <c r="A68" s="66">
        <v>44551</v>
      </c>
      <c r="B68" s="66" t="s">
        <v>1452</v>
      </c>
      <c r="C68" s="67" t="s">
        <v>18</v>
      </c>
      <c r="D68" s="67">
        <v>8</v>
      </c>
      <c r="E68" s="67" t="s">
        <v>26</v>
      </c>
      <c r="F68" s="364">
        <v>110000</v>
      </c>
      <c r="G68" s="604">
        <f t="shared" ref="G68:G82" si="1">F68*D68</f>
        <v>880000</v>
      </c>
      <c r="H68" s="1035">
        <f>SUM(G68:G77)</f>
        <v>5150000</v>
      </c>
      <c r="I68" s="1007" t="s">
        <v>1462</v>
      </c>
    </row>
    <row r="69" spans="1:10">
      <c r="A69" s="40"/>
      <c r="B69" s="40" t="s">
        <v>1453</v>
      </c>
      <c r="C69" s="67" t="s">
        <v>18</v>
      </c>
      <c r="D69" s="67">
        <v>8</v>
      </c>
      <c r="E69" s="67" t="s">
        <v>26</v>
      </c>
      <c r="F69" s="364">
        <v>125000</v>
      </c>
      <c r="G69" s="604">
        <f t="shared" si="1"/>
        <v>1000000</v>
      </c>
      <c r="H69" s="1036"/>
      <c r="I69" s="1008"/>
    </row>
    <row r="70" spans="1:10">
      <c r="A70" s="40"/>
      <c r="B70" s="40" t="s">
        <v>1454</v>
      </c>
      <c r="C70" s="67" t="s">
        <v>18</v>
      </c>
      <c r="D70" s="67">
        <v>8</v>
      </c>
      <c r="E70" s="67" t="s">
        <v>26</v>
      </c>
      <c r="F70" s="364">
        <v>40000</v>
      </c>
      <c r="G70" s="604">
        <f t="shared" si="1"/>
        <v>320000</v>
      </c>
      <c r="H70" s="1036"/>
      <c r="I70" s="1008"/>
    </row>
    <row r="71" spans="1:10">
      <c r="A71" s="40"/>
      <c r="B71" s="40" t="s">
        <v>1455</v>
      </c>
      <c r="C71" s="67" t="s">
        <v>18</v>
      </c>
      <c r="D71" s="67">
        <v>6</v>
      </c>
      <c r="E71" s="67" t="s">
        <v>26</v>
      </c>
      <c r="F71" s="364">
        <v>140000</v>
      </c>
      <c r="G71" s="604">
        <f t="shared" si="1"/>
        <v>840000</v>
      </c>
      <c r="H71" s="1036"/>
      <c r="I71" s="1008"/>
    </row>
    <row r="72" spans="1:10">
      <c r="A72" s="40"/>
      <c r="B72" s="40" t="s">
        <v>1456</v>
      </c>
      <c r="C72" s="67" t="s">
        <v>18</v>
      </c>
      <c r="D72" s="67">
        <v>6</v>
      </c>
      <c r="E72" s="67" t="s">
        <v>26</v>
      </c>
      <c r="F72" s="364">
        <v>160000</v>
      </c>
      <c r="G72" s="604">
        <f t="shared" si="1"/>
        <v>960000</v>
      </c>
      <c r="H72" s="1036"/>
      <c r="I72" s="1008"/>
    </row>
    <row r="73" spans="1:10">
      <c r="A73" s="40"/>
      <c r="B73" s="66" t="s">
        <v>1457</v>
      </c>
      <c r="C73" s="67" t="s">
        <v>18</v>
      </c>
      <c r="D73" s="67">
        <v>2</v>
      </c>
      <c r="E73" s="67" t="s">
        <v>26</v>
      </c>
      <c r="F73" s="364">
        <v>110000</v>
      </c>
      <c r="G73" s="604">
        <f t="shared" si="1"/>
        <v>220000</v>
      </c>
      <c r="H73" s="1036"/>
      <c r="I73" s="1008"/>
    </row>
    <row r="74" spans="1:10">
      <c r="A74" s="40"/>
      <c r="B74" s="40" t="s">
        <v>1458</v>
      </c>
      <c r="C74" s="67" t="s">
        <v>18</v>
      </c>
      <c r="D74" s="67">
        <v>2</v>
      </c>
      <c r="E74" s="67" t="s">
        <v>26</v>
      </c>
      <c r="F74" s="364">
        <v>125000</v>
      </c>
      <c r="G74" s="604">
        <f t="shared" si="1"/>
        <v>250000</v>
      </c>
      <c r="H74" s="1036"/>
      <c r="I74" s="1008"/>
    </row>
    <row r="75" spans="1:10">
      <c r="A75" s="40"/>
      <c r="B75" s="40" t="s">
        <v>1459</v>
      </c>
      <c r="C75" s="67" t="s">
        <v>18</v>
      </c>
      <c r="D75" s="67">
        <v>2</v>
      </c>
      <c r="E75" s="67" t="s">
        <v>26</v>
      </c>
      <c r="F75" s="364">
        <v>40000</v>
      </c>
      <c r="G75" s="604">
        <f t="shared" si="1"/>
        <v>80000</v>
      </c>
      <c r="H75" s="1036"/>
      <c r="I75" s="1008"/>
    </row>
    <row r="76" spans="1:10">
      <c r="A76" s="40"/>
      <c r="B76" s="40" t="s">
        <v>1460</v>
      </c>
      <c r="C76" s="67" t="s">
        <v>18</v>
      </c>
      <c r="D76" s="67">
        <v>2</v>
      </c>
      <c r="E76" s="67" t="s">
        <v>26</v>
      </c>
      <c r="F76" s="364">
        <v>140000</v>
      </c>
      <c r="G76" s="604">
        <f t="shared" si="1"/>
        <v>280000</v>
      </c>
      <c r="H76" s="1036"/>
      <c r="I76" s="1008"/>
    </row>
    <row r="77" spans="1:10">
      <c r="A77" s="40"/>
      <c r="B77" s="40" t="s">
        <v>1461</v>
      </c>
      <c r="C77" s="67" t="s">
        <v>18</v>
      </c>
      <c r="D77" s="67">
        <v>2</v>
      </c>
      <c r="E77" s="67" t="s">
        <v>26</v>
      </c>
      <c r="F77" s="364">
        <v>160000</v>
      </c>
      <c r="G77" s="604">
        <f t="shared" si="1"/>
        <v>320000</v>
      </c>
      <c r="H77" s="1037"/>
      <c r="I77" s="1009"/>
    </row>
    <row r="78" spans="1:10">
      <c r="A78" s="66">
        <v>44551</v>
      </c>
      <c r="B78" s="40" t="s">
        <v>1463</v>
      </c>
      <c r="C78" s="67" t="s">
        <v>510</v>
      </c>
      <c r="D78" s="67">
        <v>9</v>
      </c>
      <c r="E78" s="67" t="s">
        <v>442</v>
      </c>
      <c r="F78" s="364">
        <v>180000</v>
      </c>
      <c r="G78" s="364">
        <f t="shared" si="1"/>
        <v>1620000</v>
      </c>
      <c r="H78" s="364">
        <f>SUM(G78)</f>
        <v>1620000</v>
      </c>
      <c r="I78" s="40" t="s">
        <v>1421</v>
      </c>
    </row>
    <row r="79" spans="1:10">
      <c r="A79" s="66">
        <v>44554</v>
      </c>
      <c r="B79" s="40" t="s">
        <v>1469</v>
      </c>
      <c r="C79" s="67" t="s">
        <v>17</v>
      </c>
      <c r="D79" s="67">
        <v>10</v>
      </c>
      <c r="E79" s="67" t="s">
        <v>26</v>
      </c>
      <c r="F79" s="364">
        <v>123000</v>
      </c>
      <c r="G79" s="364">
        <f t="shared" si="1"/>
        <v>1230000</v>
      </c>
      <c r="H79" s="364">
        <f>SUM(G79)</f>
        <v>1230000</v>
      </c>
      <c r="I79" s="1007" t="s">
        <v>67</v>
      </c>
      <c r="J79" s="502">
        <f>SUM(H79:H80)</f>
        <v>2130000</v>
      </c>
    </row>
    <row r="80" spans="1:10">
      <c r="A80" s="66">
        <v>44554</v>
      </c>
      <c r="B80" s="40" t="s">
        <v>1470</v>
      </c>
      <c r="C80" s="67" t="s">
        <v>17</v>
      </c>
      <c r="D80" s="67">
        <v>3</v>
      </c>
      <c r="E80" s="67" t="s">
        <v>26</v>
      </c>
      <c r="F80" s="364">
        <v>300000</v>
      </c>
      <c r="G80" s="364">
        <f t="shared" si="1"/>
        <v>900000</v>
      </c>
      <c r="H80" s="364">
        <f>SUM(G80)</f>
        <v>900000</v>
      </c>
      <c r="I80" s="1009"/>
    </row>
    <row r="81" spans="1:9">
      <c r="A81" s="66">
        <v>44555</v>
      </c>
      <c r="B81" s="40" t="s">
        <v>1472</v>
      </c>
      <c r="C81" s="630" t="s">
        <v>280</v>
      </c>
      <c r="D81" s="67">
        <v>1</v>
      </c>
      <c r="E81" s="67" t="s">
        <v>26</v>
      </c>
      <c r="F81" s="40">
        <v>0</v>
      </c>
      <c r="G81" s="40">
        <f t="shared" si="1"/>
        <v>0</v>
      </c>
      <c r="H81" s="808">
        <f>SUM(G81:G82)</f>
        <v>0</v>
      </c>
      <c r="I81" s="40"/>
    </row>
    <row r="82" spans="1:9">
      <c r="A82" s="40"/>
      <c r="B82" s="40" t="s">
        <v>1471</v>
      </c>
      <c r="C82" s="630" t="s">
        <v>280</v>
      </c>
      <c r="D82" s="67">
        <v>1</v>
      </c>
      <c r="E82" s="67" t="s">
        <v>26</v>
      </c>
      <c r="F82" s="40">
        <v>0</v>
      </c>
      <c r="G82" s="40">
        <f t="shared" si="1"/>
        <v>0</v>
      </c>
      <c r="H82" s="810"/>
      <c r="I82" s="40"/>
    </row>
    <row r="83" spans="1:9">
      <c r="A83" s="329">
        <v>44560</v>
      </c>
      <c r="B83" s="330" t="s">
        <v>1474</v>
      </c>
      <c r="C83" s="331" t="s">
        <v>1478</v>
      </c>
      <c r="D83" s="331">
        <v>1</v>
      </c>
      <c r="E83" s="331" t="s">
        <v>442</v>
      </c>
      <c r="F83" s="646"/>
      <c r="G83" s="646"/>
      <c r="H83" s="1032">
        <v>2000000</v>
      </c>
      <c r="I83" s="820" t="s">
        <v>1491</v>
      </c>
    </row>
    <row r="84" spans="1:9">
      <c r="A84" s="330"/>
      <c r="B84" s="330" t="s">
        <v>1475</v>
      </c>
      <c r="C84" s="331" t="s">
        <v>1478</v>
      </c>
      <c r="D84" s="331">
        <v>2</v>
      </c>
      <c r="E84" s="331" t="s">
        <v>442</v>
      </c>
      <c r="F84" s="647"/>
      <c r="G84" s="647"/>
      <c r="H84" s="1033"/>
      <c r="I84" s="821"/>
    </row>
    <row r="85" spans="1:9">
      <c r="A85" s="330"/>
      <c r="B85" s="330" t="s">
        <v>1476</v>
      </c>
      <c r="C85" s="331" t="s">
        <v>1478</v>
      </c>
      <c r="D85" s="331">
        <v>1</v>
      </c>
      <c r="E85" s="331" t="s">
        <v>26</v>
      </c>
      <c r="F85" s="647"/>
      <c r="G85" s="647"/>
      <c r="H85" s="1033"/>
      <c r="I85" s="821"/>
    </row>
    <row r="86" spans="1:9">
      <c r="A86" s="330"/>
      <c r="B86" s="330" t="s">
        <v>1477</v>
      </c>
      <c r="C86" s="331" t="s">
        <v>1478</v>
      </c>
      <c r="D86" s="331">
        <v>1</v>
      </c>
      <c r="E86" s="331" t="s">
        <v>26</v>
      </c>
      <c r="F86" s="647"/>
      <c r="G86" s="647"/>
      <c r="H86" s="1033"/>
      <c r="I86" s="821"/>
    </row>
    <row r="87" spans="1:9">
      <c r="A87" s="330"/>
      <c r="B87" s="330" t="s">
        <v>1479</v>
      </c>
      <c r="C87" s="331" t="s">
        <v>1478</v>
      </c>
      <c r="D87" s="331">
        <v>1</v>
      </c>
      <c r="E87" s="331" t="s">
        <v>26</v>
      </c>
      <c r="F87" s="647"/>
      <c r="G87" s="647"/>
      <c r="H87" s="1033"/>
      <c r="I87" s="821"/>
    </row>
    <row r="88" spans="1:9">
      <c r="A88" s="330"/>
      <c r="B88" s="330" t="s">
        <v>1480</v>
      </c>
      <c r="C88" s="331" t="s">
        <v>1478</v>
      </c>
      <c r="D88" s="331">
        <v>1</v>
      </c>
      <c r="E88" s="331" t="s">
        <v>26</v>
      </c>
      <c r="F88" s="647"/>
      <c r="G88" s="647"/>
      <c r="H88" s="1033"/>
      <c r="I88" s="821"/>
    </row>
    <row r="89" spans="1:9">
      <c r="A89" s="330"/>
      <c r="B89" s="330" t="s">
        <v>1481</v>
      </c>
      <c r="C89" s="331" t="s">
        <v>1478</v>
      </c>
      <c r="D89" s="331">
        <v>1</v>
      </c>
      <c r="E89" s="331" t="s">
        <v>26</v>
      </c>
      <c r="F89" s="647"/>
      <c r="G89" s="647"/>
      <c r="H89" s="1033"/>
      <c r="I89" s="821"/>
    </row>
    <row r="90" spans="1:9">
      <c r="A90" s="330"/>
      <c r="B90" s="330" t="s">
        <v>1482</v>
      </c>
      <c r="C90" s="331" t="s">
        <v>1478</v>
      </c>
      <c r="D90" s="331">
        <v>1</v>
      </c>
      <c r="E90" s="331" t="s">
        <v>442</v>
      </c>
      <c r="F90" s="647"/>
      <c r="G90" s="647"/>
      <c r="H90" s="1033"/>
      <c r="I90" s="821"/>
    </row>
    <row r="91" spans="1:9">
      <c r="A91" s="330"/>
      <c r="B91" s="330" t="s">
        <v>1483</v>
      </c>
      <c r="C91" s="331" t="s">
        <v>1478</v>
      </c>
      <c r="D91" s="331">
        <v>1</v>
      </c>
      <c r="E91" s="331" t="s">
        <v>442</v>
      </c>
      <c r="F91" s="647"/>
      <c r="G91" s="647"/>
      <c r="H91" s="1033"/>
      <c r="I91" s="821"/>
    </row>
    <row r="92" spans="1:9">
      <c r="A92" s="330"/>
      <c r="B92" s="330" t="s">
        <v>1484</v>
      </c>
      <c r="C92" s="331" t="s">
        <v>1478</v>
      </c>
      <c r="D92" s="331">
        <v>1</v>
      </c>
      <c r="E92" s="331" t="s">
        <v>442</v>
      </c>
      <c r="F92" s="647"/>
      <c r="G92" s="647"/>
      <c r="H92" s="1033"/>
      <c r="I92" s="821"/>
    </row>
    <row r="93" spans="1:9">
      <c r="A93" s="330"/>
      <c r="B93" s="330" t="s">
        <v>1485</v>
      </c>
      <c r="C93" s="331" t="s">
        <v>1478</v>
      </c>
      <c r="D93" s="331">
        <v>1</v>
      </c>
      <c r="E93" s="331" t="s">
        <v>442</v>
      </c>
      <c r="F93" s="647"/>
      <c r="G93" s="647"/>
      <c r="H93" s="1033"/>
      <c r="I93" s="821"/>
    </row>
    <row r="94" spans="1:9">
      <c r="A94" s="330"/>
      <c r="B94" s="330" t="s">
        <v>1486</v>
      </c>
      <c r="C94" s="331" t="s">
        <v>1478</v>
      </c>
      <c r="D94" s="331">
        <v>1</v>
      </c>
      <c r="E94" s="331" t="s">
        <v>442</v>
      </c>
      <c r="F94" s="647"/>
      <c r="G94" s="647"/>
      <c r="H94" s="1033"/>
      <c r="I94" s="821"/>
    </row>
    <row r="95" spans="1:9">
      <c r="A95" s="330"/>
      <c r="B95" s="330" t="s">
        <v>1487</v>
      </c>
      <c r="C95" s="331" t="s">
        <v>1478</v>
      </c>
      <c r="D95" s="331">
        <v>1</v>
      </c>
      <c r="E95" s="331" t="s">
        <v>442</v>
      </c>
      <c r="F95" s="647"/>
      <c r="G95" s="647"/>
      <c r="H95" s="1033"/>
      <c r="I95" s="821"/>
    </row>
    <row r="96" spans="1:9">
      <c r="A96" s="330"/>
      <c r="B96" s="330" t="s">
        <v>1488</v>
      </c>
      <c r="C96" s="331" t="s">
        <v>1478</v>
      </c>
      <c r="D96" s="331">
        <v>1</v>
      </c>
      <c r="E96" s="331" t="s">
        <v>442</v>
      </c>
      <c r="F96" s="647"/>
      <c r="G96" s="647"/>
      <c r="H96" s="1033"/>
      <c r="I96" s="821"/>
    </row>
    <row r="97" spans="1:9">
      <c r="A97" s="330"/>
      <c r="B97" s="330" t="s">
        <v>1489</v>
      </c>
      <c r="C97" s="331" t="s">
        <v>1478</v>
      </c>
      <c r="D97" s="331">
        <v>1</v>
      </c>
      <c r="E97" s="330" t="s">
        <v>26</v>
      </c>
      <c r="F97" s="647"/>
      <c r="G97" s="647"/>
      <c r="H97" s="1033"/>
      <c r="I97" s="821"/>
    </row>
    <row r="98" spans="1:9">
      <c r="A98" s="330"/>
      <c r="B98" s="330" t="s">
        <v>1490</v>
      </c>
      <c r="C98" s="331" t="s">
        <v>1478</v>
      </c>
      <c r="D98" s="331">
        <v>1</v>
      </c>
      <c r="E98" s="330" t="s">
        <v>26</v>
      </c>
      <c r="F98" s="648"/>
      <c r="G98" s="648"/>
      <c r="H98" s="1034"/>
      <c r="I98" s="822"/>
    </row>
    <row r="99" spans="1:9">
      <c r="A99" s="40"/>
      <c r="B99" s="40"/>
      <c r="C99" s="40"/>
      <c r="D99" s="40"/>
      <c r="E99" s="40"/>
      <c r="F99" s="40"/>
      <c r="G99" s="40"/>
      <c r="H99" s="40"/>
      <c r="I99" s="40"/>
    </row>
    <row r="100" spans="1:9">
      <c r="A100" s="40"/>
      <c r="B100" s="40"/>
      <c r="C100" s="40"/>
      <c r="D100" s="40"/>
      <c r="E100" s="40"/>
      <c r="F100" s="40"/>
      <c r="G100" s="40"/>
      <c r="H100" s="40"/>
      <c r="I100" s="40"/>
    </row>
    <row r="101" spans="1:9">
      <c r="A101" s="40"/>
      <c r="B101" s="40"/>
      <c r="C101" s="40"/>
      <c r="D101" s="40"/>
      <c r="E101" s="40"/>
      <c r="F101" s="40"/>
      <c r="G101" s="40"/>
      <c r="H101" s="40"/>
      <c r="I101" s="40"/>
    </row>
    <row r="102" spans="1:9">
      <c r="A102" s="40"/>
      <c r="B102" s="40"/>
      <c r="C102" s="40"/>
      <c r="D102" s="40"/>
      <c r="E102" s="40"/>
      <c r="F102" s="40"/>
      <c r="G102" s="40"/>
      <c r="H102" s="40"/>
      <c r="I102" s="40"/>
    </row>
    <row r="103" spans="1:9">
      <c r="A103" s="40"/>
      <c r="B103" s="40"/>
      <c r="C103" s="40"/>
      <c r="D103" s="40"/>
      <c r="E103" s="40"/>
      <c r="F103" s="40"/>
      <c r="G103" s="40"/>
      <c r="H103" s="40"/>
      <c r="I103" s="40"/>
    </row>
    <row r="104" spans="1:9">
      <c r="A104" s="40"/>
      <c r="B104" s="40"/>
      <c r="C104" s="40"/>
      <c r="D104" s="40"/>
      <c r="E104" s="40"/>
      <c r="F104" s="40"/>
      <c r="G104" s="40"/>
      <c r="H104" s="40"/>
      <c r="I104" s="40"/>
    </row>
    <row r="105" spans="1:9">
      <c r="A105" s="40"/>
      <c r="B105" s="40"/>
      <c r="C105" s="40"/>
      <c r="D105" s="40"/>
      <c r="E105" s="40"/>
      <c r="F105" s="40"/>
      <c r="G105" s="40"/>
      <c r="H105" s="40"/>
      <c r="I105" s="40"/>
    </row>
    <row r="106" spans="1:9">
      <c r="A106" s="40"/>
      <c r="B106" s="40"/>
      <c r="C106" s="40"/>
      <c r="D106" s="40"/>
      <c r="E106" s="40"/>
      <c r="F106" s="40"/>
      <c r="G106" s="40"/>
      <c r="H106" s="40"/>
      <c r="I106" s="40"/>
    </row>
    <row r="107" spans="1:9">
      <c r="A107" s="40"/>
      <c r="B107" s="40"/>
      <c r="C107" s="40"/>
      <c r="D107" s="40"/>
      <c r="E107" s="40"/>
      <c r="F107" s="40"/>
      <c r="G107" s="40"/>
      <c r="H107" s="40"/>
      <c r="I107" s="40"/>
    </row>
    <row r="108" spans="1:9">
      <c r="A108" s="40"/>
      <c r="B108" s="40"/>
      <c r="C108" s="40"/>
      <c r="D108" s="40"/>
      <c r="E108" s="40"/>
      <c r="F108" s="40"/>
      <c r="G108" s="40"/>
      <c r="H108" s="40"/>
      <c r="I108" s="40"/>
    </row>
    <row r="109" spans="1:9">
      <c r="A109" s="40"/>
      <c r="B109" s="40"/>
      <c r="C109" s="40"/>
      <c r="D109" s="40"/>
      <c r="E109" s="40"/>
      <c r="F109" s="40"/>
      <c r="G109" s="40"/>
      <c r="H109" s="40"/>
      <c r="I109" s="40"/>
    </row>
    <row r="110" spans="1:9">
      <c r="A110" s="40">
        <v>0</v>
      </c>
      <c r="B110" s="40"/>
      <c r="C110" s="40"/>
      <c r="D110" s="40"/>
      <c r="E110" s="40"/>
      <c r="F110" s="40"/>
      <c r="G110" s="40"/>
      <c r="H110" s="40"/>
      <c r="I110" s="40"/>
    </row>
  </sheetData>
  <mergeCells count="25">
    <mergeCell ref="H83:H98"/>
    <mergeCell ref="I83:I98"/>
    <mergeCell ref="I79:I80"/>
    <mergeCell ref="H81:H82"/>
    <mergeCell ref="I48:I49"/>
    <mergeCell ref="H68:H77"/>
    <mergeCell ref="I68:I77"/>
    <mergeCell ref="I54:I65"/>
    <mergeCell ref="H50:H51"/>
    <mergeCell ref="I50:I51"/>
    <mergeCell ref="H54:H65"/>
    <mergeCell ref="O4:O5"/>
    <mergeCell ref="H3:H6"/>
    <mergeCell ref="H7:H10"/>
    <mergeCell ref="I3:I10"/>
    <mergeCell ref="H14:H17"/>
    <mergeCell ref="I14:I17"/>
    <mergeCell ref="O6:O7"/>
    <mergeCell ref="O13:O16"/>
    <mergeCell ref="H19:H21"/>
    <mergeCell ref="I19:I21"/>
    <mergeCell ref="H23:H36"/>
    <mergeCell ref="H37:H44"/>
    <mergeCell ref="I23:I36"/>
    <mergeCell ref="I37:I44"/>
  </mergeCells>
  <pageMargins left="0.7" right="0.7" top="0.75" bottom="0.75" header="0.3" footer="0.3"/>
  <pageSetup paperSize="9" orientation="portrait" horizontalDpi="0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29"/>
  <sheetViews>
    <sheetView workbookViewId="0">
      <selection activeCell="G8" sqref="G8"/>
    </sheetView>
  </sheetViews>
  <sheetFormatPr defaultRowHeight="15"/>
  <cols>
    <col min="1" max="1" width="6.7109375" style="644" customWidth="1"/>
    <col min="2" max="2" width="9.140625" style="644"/>
    <col min="3" max="3" width="23.42578125" style="644" customWidth="1"/>
    <col min="4" max="4" width="16.140625" style="644" customWidth="1"/>
    <col min="5" max="5" width="27.85546875" style="644" customWidth="1"/>
    <col min="6" max="6" width="9.140625" style="644"/>
    <col min="7" max="7" width="16.28515625" style="644" bestFit="1" customWidth="1"/>
    <col min="8" max="16384" width="9.140625" style="644"/>
  </cols>
  <sheetData>
    <row r="1" spans="1:5">
      <c r="A1" s="4" t="s">
        <v>801</v>
      </c>
      <c r="B1" s="5"/>
      <c r="C1" s="5"/>
      <c r="D1" s="3"/>
      <c r="E1"/>
    </row>
    <row r="2" spans="1:5" ht="45">
      <c r="A2" s="10" t="s">
        <v>10</v>
      </c>
      <c r="B2" s="11" t="s">
        <v>11</v>
      </c>
      <c r="C2" s="6" t="s">
        <v>12</v>
      </c>
      <c r="D2" s="9" t="s">
        <v>13</v>
      </c>
      <c r="E2" s="643" t="s">
        <v>9</v>
      </c>
    </row>
    <row r="3" spans="1:5">
      <c r="A3" s="370">
        <v>1</v>
      </c>
      <c r="B3" s="544">
        <v>44404</v>
      </c>
      <c r="C3" s="535" t="s">
        <v>49</v>
      </c>
      <c r="D3" s="545">
        <v>9900000</v>
      </c>
      <c r="E3" s="557" t="s">
        <v>1046</v>
      </c>
    </row>
    <row r="4" spans="1:5">
      <c r="A4" s="411">
        <v>2</v>
      </c>
      <c r="B4" s="392">
        <v>44410</v>
      </c>
      <c r="C4" s="393" t="s">
        <v>164</v>
      </c>
      <c r="D4" s="586">
        <v>3000000</v>
      </c>
      <c r="E4" s="599" t="s">
        <v>1179</v>
      </c>
    </row>
    <row r="5" spans="1:5">
      <c r="A5" s="412">
        <v>3</v>
      </c>
      <c r="B5" s="544">
        <v>44411</v>
      </c>
      <c r="C5" s="535" t="s">
        <v>49</v>
      </c>
      <c r="D5" s="545">
        <v>2900000</v>
      </c>
      <c r="E5" s="557" t="s">
        <v>1046</v>
      </c>
    </row>
    <row r="6" spans="1:5">
      <c r="A6" s="370">
        <v>4</v>
      </c>
      <c r="B6" s="392">
        <v>44411</v>
      </c>
      <c r="C6" s="393" t="s">
        <v>164</v>
      </c>
      <c r="D6" s="211">
        <v>4500000</v>
      </c>
      <c r="E6" s="599" t="s">
        <v>1179</v>
      </c>
    </row>
    <row r="7" spans="1:5">
      <c r="A7" s="411">
        <v>5</v>
      </c>
      <c r="B7" s="392">
        <v>44414</v>
      </c>
      <c r="C7" s="393" t="s">
        <v>164</v>
      </c>
      <c r="D7" s="211">
        <v>9000000</v>
      </c>
      <c r="E7" s="599" t="s">
        <v>1179</v>
      </c>
    </row>
    <row r="8" spans="1:5">
      <c r="A8" s="412">
        <v>6</v>
      </c>
      <c r="B8" s="544">
        <v>44415</v>
      </c>
      <c r="C8" s="535" t="s">
        <v>49</v>
      </c>
      <c r="D8" s="532">
        <v>4950000</v>
      </c>
      <c r="E8" s="557" t="s">
        <v>1046</v>
      </c>
    </row>
    <row r="9" spans="1:5">
      <c r="A9" s="370">
        <v>7</v>
      </c>
      <c r="B9" s="392">
        <v>44415</v>
      </c>
      <c r="C9" s="393" t="s">
        <v>164</v>
      </c>
      <c r="D9" s="211">
        <v>2225000</v>
      </c>
      <c r="E9" s="599" t="s">
        <v>1179</v>
      </c>
    </row>
    <row r="10" spans="1:5">
      <c r="A10" s="411">
        <v>8</v>
      </c>
      <c r="B10" s="61">
        <v>44417</v>
      </c>
      <c r="C10" s="52" t="s">
        <v>96</v>
      </c>
      <c r="D10" s="53">
        <v>12000000</v>
      </c>
      <c r="E10" s="980" t="s">
        <v>1494</v>
      </c>
    </row>
    <row r="11" spans="1:5">
      <c r="A11" s="412">
        <v>9</v>
      </c>
      <c r="B11" s="61">
        <v>44420</v>
      </c>
      <c r="C11" s="52" t="s">
        <v>96</v>
      </c>
      <c r="D11" s="53">
        <v>9000000</v>
      </c>
      <c r="E11" s="981"/>
    </row>
    <row r="12" spans="1:5">
      <c r="A12" s="370">
        <v>10</v>
      </c>
      <c r="B12" s="61">
        <v>44426</v>
      </c>
      <c r="C12" s="52" t="s">
        <v>96</v>
      </c>
      <c r="D12" s="53">
        <v>3600000</v>
      </c>
      <c r="E12" s="982"/>
    </row>
    <row r="13" spans="1:5">
      <c r="A13" s="411">
        <v>11</v>
      </c>
      <c r="B13" s="544">
        <v>44424</v>
      </c>
      <c r="C13" s="535" t="s">
        <v>49</v>
      </c>
      <c r="D13" s="532">
        <v>10550000</v>
      </c>
      <c r="E13" s="557" t="s">
        <v>1046</v>
      </c>
    </row>
    <row r="14" spans="1:5">
      <c r="A14" s="412">
        <v>12</v>
      </c>
      <c r="B14" s="392">
        <v>44424</v>
      </c>
      <c r="C14" s="393" t="s">
        <v>164</v>
      </c>
      <c r="D14" s="211">
        <v>3065000</v>
      </c>
      <c r="E14" s="599" t="s">
        <v>1179</v>
      </c>
    </row>
    <row r="15" spans="1:5">
      <c r="A15" s="370">
        <v>13</v>
      </c>
      <c r="B15" s="392">
        <v>44426</v>
      </c>
      <c r="C15" s="393" t="s">
        <v>164</v>
      </c>
      <c r="D15" s="211">
        <v>12930000</v>
      </c>
      <c r="E15" s="599" t="s">
        <v>1179</v>
      </c>
    </row>
    <row r="16" spans="1:5">
      <c r="A16" s="411">
        <v>14</v>
      </c>
      <c r="B16" s="544">
        <v>44427</v>
      </c>
      <c r="C16" s="535" t="s">
        <v>49</v>
      </c>
      <c r="D16" s="532">
        <v>6025000</v>
      </c>
      <c r="E16" s="557" t="s">
        <v>1046</v>
      </c>
    </row>
    <row r="17" spans="1:5">
      <c r="A17" s="412">
        <v>15</v>
      </c>
      <c r="B17" s="392">
        <v>44432</v>
      </c>
      <c r="C17" s="393" t="s">
        <v>164</v>
      </c>
      <c r="D17" s="211">
        <v>6055000</v>
      </c>
      <c r="E17" s="599" t="s">
        <v>1179</v>
      </c>
    </row>
    <row r="18" spans="1:5">
      <c r="A18" s="370">
        <v>16</v>
      </c>
      <c r="B18" s="382">
        <v>44448</v>
      </c>
      <c r="C18" s="372" t="s">
        <v>28</v>
      </c>
      <c r="D18" s="205">
        <v>4690000</v>
      </c>
      <c r="E18" s="383" t="s">
        <v>1419</v>
      </c>
    </row>
    <row r="19" spans="1:5">
      <c r="A19" s="411">
        <v>17</v>
      </c>
      <c r="B19" s="371">
        <v>44452</v>
      </c>
      <c r="C19" s="203" t="s">
        <v>28</v>
      </c>
      <c r="D19" s="205">
        <v>5055000</v>
      </c>
      <c r="E19" s="383" t="s">
        <v>1419</v>
      </c>
    </row>
    <row r="20" spans="1:5">
      <c r="A20" s="412">
        <v>18</v>
      </c>
      <c r="B20" s="371">
        <v>44453</v>
      </c>
      <c r="C20" s="203" t="s">
        <v>28</v>
      </c>
      <c r="D20" s="205">
        <v>6300000</v>
      </c>
      <c r="E20" s="383" t="s">
        <v>1419</v>
      </c>
    </row>
    <row r="21" spans="1:5">
      <c r="A21" s="370">
        <v>19</v>
      </c>
      <c r="B21" s="371">
        <v>44466</v>
      </c>
      <c r="C21" s="203" t="s">
        <v>28</v>
      </c>
      <c r="D21" s="205">
        <v>2880000</v>
      </c>
      <c r="E21" s="383" t="s">
        <v>1419</v>
      </c>
    </row>
    <row r="22" spans="1:5">
      <c r="A22" s="411">
        <v>20</v>
      </c>
      <c r="B22" s="371">
        <v>44491</v>
      </c>
      <c r="C22" s="203" t="s">
        <v>28</v>
      </c>
      <c r="D22" s="205">
        <v>3600000</v>
      </c>
      <c r="E22" s="383" t="s">
        <v>1419</v>
      </c>
    </row>
    <row r="23" spans="1:5">
      <c r="A23" s="412">
        <v>21</v>
      </c>
      <c r="B23" s="306">
        <v>44522</v>
      </c>
      <c r="C23" s="307" t="s">
        <v>28</v>
      </c>
      <c r="D23" s="308">
        <v>12500000</v>
      </c>
      <c r="E23" s="495" t="s">
        <v>1501</v>
      </c>
    </row>
    <row r="24" spans="1:5">
      <c r="A24" s="14"/>
      <c r="B24"/>
      <c r="C24"/>
      <c r="D24"/>
      <c r="E24" s="14"/>
    </row>
    <row r="25" spans="1:5">
      <c r="A25" s="14"/>
      <c r="B25" s="39"/>
      <c r="C25" s="39" t="s">
        <v>883</v>
      </c>
      <c r="D25" s="22">
        <f>SUM(D3:D24)</f>
        <v>134725000</v>
      </c>
      <c r="E25" s="14"/>
    </row>
    <row r="26" spans="1:5">
      <c r="A26"/>
      <c r="B26"/>
      <c r="C26"/>
      <c r="D26"/>
      <c r="E26"/>
    </row>
    <row r="27" spans="1:5">
      <c r="A27"/>
      <c r="B27"/>
      <c r="C27" s="5" t="s">
        <v>1465</v>
      </c>
      <c r="D27" s="142">
        <f>D22+D21+D20+D19+D18+D17+D16+D15+D14+D13+D9+D8+D7+D6+D5+D4+D3</f>
        <v>97625000</v>
      </c>
      <c r="E27"/>
    </row>
    <row r="29" spans="1:5">
      <c r="D29" s="645"/>
    </row>
  </sheetData>
  <mergeCells count="1">
    <mergeCell ref="E10:E12"/>
  </mergeCells>
  <pageMargins left="0.7" right="0.7" top="0.75" bottom="0.75" header="0.3" footer="0.3"/>
  <pageSetup paperSize="9" orientation="portrait" horizontalDpi="0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32"/>
  <sheetViews>
    <sheetView topLeftCell="A7" workbookViewId="0">
      <selection activeCell="D10" sqref="D10"/>
    </sheetView>
  </sheetViews>
  <sheetFormatPr defaultRowHeight="15"/>
  <cols>
    <col min="2" max="2" width="12.42578125" customWidth="1"/>
    <col min="3" max="3" width="21.28515625" customWidth="1"/>
    <col min="4" max="4" width="15.5703125" customWidth="1"/>
    <col min="5" max="5" width="27.140625" customWidth="1"/>
  </cols>
  <sheetData>
    <row r="1" spans="1:5">
      <c r="A1" s="4" t="s">
        <v>623</v>
      </c>
      <c r="B1" s="5"/>
      <c r="C1" s="5"/>
      <c r="D1" s="3"/>
    </row>
    <row r="2" spans="1:5" ht="30">
      <c r="A2" s="10" t="s">
        <v>10</v>
      </c>
      <c r="B2" s="11" t="s">
        <v>11</v>
      </c>
      <c r="C2" s="6" t="s">
        <v>12</v>
      </c>
      <c r="D2" s="9" t="s">
        <v>13</v>
      </c>
      <c r="E2" s="633" t="s">
        <v>9</v>
      </c>
    </row>
    <row r="3" spans="1:5">
      <c r="A3" s="30">
        <v>1</v>
      </c>
      <c r="B3" s="544">
        <v>44354</v>
      </c>
      <c r="C3" s="535" t="s">
        <v>49</v>
      </c>
      <c r="D3" s="545">
        <v>10000000</v>
      </c>
      <c r="E3" s="973" t="s">
        <v>941</v>
      </c>
    </row>
    <row r="4" spans="1:5">
      <c r="A4" s="12">
        <v>2</v>
      </c>
      <c r="B4" s="544">
        <v>44361</v>
      </c>
      <c r="C4" s="535" t="s">
        <v>49</v>
      </c>
      <c r="D4" s="545">
        <v>7070000</v>
      </c>
      <c r="E4" s="974"/>
    </row>
    <row r="5" spans="1:5">
      <c r="A5" s="15">
        <v>3</v>
      </c>
      <c r="B5" s="544">
        <v>44368</v>
      </c>
      <c r="C5" s="535" t="s">
        <v>49</v>
      </c>
      <c r="D5" s="545">
        <v>1320000</v>
      </c>
      <c r="E5" s="974"/>
    </row>
    <row r="6" spans="1:5">
      <c r="A6" s="30">
        <v>4</v>
      </c>
      <c r="B6" s="544">
        <v>44375</v>
      </c>
      <c r="C6" s="535" t="s">
        <v>49</v>
      </c>
      <c r="D6" s="532">
        <v>2400000</v>
      </c>
      <c r="E6" s="975"/>
    </row>
    <row r="7" spans="1:5">
      <c r="A7" s="12">
        <v>5</v>
      </c>
      <c r="B7" s="392">
        <v>44378</v>
      </c>
      <c r="C7" s="393" t="s">
        <v>158</v>
      </c>
      <c r="D7" s="211">
        <v>4400000</v>
      </c>
      <c r="E7" s="516" t="s">
        <v>941</v>
      </c>
    </row>
    <row r="8" spans="1:5">
      <c r="A8" s="15">
        <v>6</v>
      </c>
      <c r="B8" s="392">
        <v>44383</v>
      </c>
      <c r="C8" s="393" t="s">
        <v>158</v>
      </c>
      <c r="D8" s="211">
        <v>5720000</v>
      </c>
      <c r="E8" s="516" t="s">
        <v>941</v>
      </c>
    </row>
    <row r="9" spans="1:5">
      <c r="A9" s="30">
        <v>7</v>
      </c>
      <c r="B9" s="544">
        <v>44385</v>
      </c>
      <c r="C9" s="535" t="s">
        <v>49</v>
      </c>
      <c r="D9" s="532">
        <v>14425000</v>
      </c>
      <c r="E9" s="556" t="s">
        <v>941</v>
      </c>
    </row>
    <row r="10" spans="1:5">
      <c r="A10" s="12">
        <v>8</v>
      </c>
      <c r="B10" s="409">
        <v>44387</v>
      </c>
      <c r="C10" s="271" t="s">
        <v>510</v>
      </c>
      <c r="D10" s="273">
        <v>2000000</v>
      </c>
      <c r="E10" s="422" t="s">
        <v>942</v>
      </c>
    </row>
    <row r="11" spans="1:5">
      <c r="A11" s="15">
        <v>9</v>
      </c>
      <c r="B11" s="544">
        <v>44389</v>
      </c>
      <c r="C11" s="535" t="s">
        <v>49</v>
      </c>
      <c r="D11" s="532">
        <v>5825000</v>
      </c>
      <c r="E11" s="556" t="s">
        <v>941</v>
      </c>
    </row>
    <row r="12" spans="1:5">
      <c r="A12" s="30">
        <v>10</v>
      </c>
      <c r="B12" s="392">
        <v>44398</v>
      </c>
      <c r="C12" s="393" t="s">
        <v>158</v>
      </c>
      <c r="D12" s="211">
        <v>2960000</v>
      </c>
      <c r="E12" s="516" t="s">
        <v>941</v>
      </c>
    </row>
    <row r="13" spans="1:5">
      <c r="A13" s="12">
        <v>11</v>
      </c>
      <c r="B13" s="544">
        <v>44404</v>
      </c>
      <c r="C13" s="535" t="s">
        <v>49</v>
      </c>
      <c r="D13" s="532">
        <v>3670000</v>
      </c>
      <c r="E13" s="556" t="s">
        <v>941</v>
      </c>
    </row>
    <row r="14" spans="1:5">
      <c r="A14" s="15">
        <v>12</v>
      </c>
      <c r="B14" s="490">
        <v>44421</v>
      </c>
      <c r="C14" s="486" t="s">
        <v>820</v>
      </c>
      <c r="D14" s="488">
        <v>750000</v>
      </c>
      <c r="E14" s="492" t="s">
        <v>942</v>
      </c>
    </row>
    <row r="15" spans="1:5">
      <c r="A15" s="30">
        <v>13</v>
      </c>
      <c r="B15" s="366">
        <v>44400</v>
      </c>
      <c r="C15" s="367" t="s">
        <v>510</v>
      </c>
      <c r="D15" s="273">
        <v>150000</v>
      </c>
      <c r="E15" s="422" t="s">
        <v>943</v>
      </c>
    </row>
    <row r="16" spans="1:5">
      <c r="A16" s="12">
        <v>14</v>
      </c>
      <c r="B16" s="490">
        <v>44464</v>
      </c>
      <c r="C16" s="486" t="s">
        <v>820</v>
      </c>
      <c r="D16" s="488">
        <v>14645000</v>
      </c>
      <c r="E16" s="492" t="s">
        <v>942</v>
      </c>
    </row>
    <row r="17" spans="1:5">
      <c r="A17" s="15">
        <v>15</v>
      </c>
      <c r="B17" s="61">
        <v>44481</v>
      </c>
      <c r="C17" s="52" t="s">
        <v>97</v>
      </c>
      <c r="D17" s="53">
        <v>3518400</v>
      </c>
      <c r="E17" s="73" t="s">
        <v>1383</v>
      </c>
    </row>
    <row r="18" spans="1:5">
      <c r="A18" s="30">
        <v>16</v>
      </c>
      <c r="B18" s="371">
        <v>44483</v>
      </c>
      <c r="C18" s="203" t="s">
        <v>1166</v>
      </c>
      <c r="D18" s="205">
        <v>11190000</v>
      </c>
      <c r="E18" s="386" t="s">
        <v>1418</v>
      </c>
    </row>
    <row r="19" spans="1:5">
      <c r="A19" s="12">
        <v>17</v>
      </c>
      <c r="B19" s="490">
        <v>44459</v>
      </c>
      <c r="C19" s="486" t="s">
        <v>820</v>
      </c>
      <c r="D19" s="596">
        <v>780000</v>
      </c>
      <c r="E19" s="492" t="s">
        <v>942</v>
      </c>
    </row>
    <row r="20" spans="1:5">
      <c r="A20" s="15">
        <v>18</v>
      </c>
      <c r="B20" s="392">
        <v>44487</v>
      </c>
      <c r="C20" s="393" t="s">
        <v>1184</v>
      </c>
      <c r="D20" s="512">
        <v>15000000</v>
      </c>
      <c r="E20" s="516" t="s">
        <v>1185</v>
      </c>
    </row>
    <row r="21" spans="1:5">
      <c r="A21" s="30">
        <v>19</v>
      </c>
      <c r="B21" s="64">
        <v>44498</v>
      </c>
      <c r="C21" s="16" t="s">
        <v>1238</v>
      </c>
      <c r="D21" s="606">
        <v>2100000</v>
      </c>
      <c r="E21" s="607"/>
    </row>
    <row r="22" spans="1:5">
      <c r="A22" s="12">
        <v>20</v>
      </c>
      <c r="B22" s="62">
        <v>44515</v>
      </c>
      <c r="C22" s="13" t="s">
        <v>1238</v>
      </c>
      <c r="D22" s="597">
        <v>3200000</v>
      </c>
      <c r="E22" s="598"/>
    </row>
    <row r="23" spans="1:5">
      <c r="A23" s="15">
        <v>21</v>
      </c>
      <c r="B23" s="306">
        <v>44512</v>
      </c>
      <c r="C23" s="307" t="s">
        <v>811</v>
      </c>
      <c r="D23" s="308">
        <v>7200000</v>
      </c>
      <c r="E23" s="629" t="s">
        <v>856</v>
      </c>
    </row>
    <row r="24" spans="1:5">
      <c r="A24" s="30">
        <v>22</v>
      </c>
      <c r="B24" s="388">
        <v>44539</v>
      </c>
      <c r="C24" s="389" t="s">
        <v>60</v>
      </c>
      <c r="D24" s="631">
        <v>29800000</v>
      </c>
      <c r="E24" s="632" t="s">
        <v>1473</v>
      </c>
    </row>
    <row r="25" spans="1:5">
      <c r="A25" s="12">
        <v>23</v>
      </c>
      <c r="B25" s="63">
        <v>44551</v>
      </c>
      <c r="C25" s="25" t="s">
        <v>18</v>
      </c>
      <c r="D25" s="626">
        <v>4892500</v>
      </c>
      <c r="E25" s="67" t="s">
        <v>1464</v>
      </c>
    </row>
    <row r="26" spans="1:5">
      <c r="A26" s="14"/>
      <c r="B26" s="39"/>
      <c r="C26" s="39"/>
      <c r="D26" s="14"/>
      <c r="E26" s="14"/>
    </row>
    <row r="27" spans="1:5">
      <c r="A27" s="14"/>
      <c r="B27" s="39"/>
      <c r="C27" s="39" t="s">
        <v>883</v>
      </c>
      <c r="D27" s="22">
        <f>SUM(D3:D26)</f>
        <v>153015900</v>
      </c>
      <c r="E27" s="14"/>
    </row>
    <row r="28" spans="1:5">
      <c r="A28" s="14"/>
      <c r="C28" s="39"/>
      <c r="D28" s="22"/>
      <c r="E28" s="502"/>
    </row>
    <row r="29" spans="1:5">
      <c r="A29" s="14"/>
      <c r="B29" s="39"/>
      <c r="C29" s="39" t="s">
        <v>1445</v>
      </c>
      <c r="D29" s="501">
        <f>D21+D22+D25</f>
        <v>10192500</v>
      </c>
    </row>
    <row r="30" spans="1:5">
      <c r="A30" s="14"/>
      <c r="B30" s="39"/>
      <c r="E30" s="14"/>
    </row>
    <row r="31" spans="1:5">
      <c r="A31" s="14"/>
      <c r="B31" s="39"/>
      <c r="C31" s="5" t="s">
        <v>1465</v>
      </c>
      <c r="D31" s="349">
        <f>D3+D4+D5+D6+D7+D8+D9+D10+D11+D12+D13+D14+D15+D16+D18+D19+D20</f>
        <v>102305000</v>
      </c>
      <c r="E31" s="14"/>
    </row>
    <row r="32" spans="1:5">
      <c r="C32" s="5"/>
    </row>
  </sheetData>
  <mergeCells count="1">
    <mergeCell ref="E3:E6"/>
  </mergeCells>
  <pageMargins left="0.7" right="0.7" top="0.75" bottom="0.75" header="0.3" footer="0.3"/>
  <pageSetup paperSize="9" orientation="portrait" horizontalDpi="0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29"/>
  <sheetViews>
    <sheetView topLeftCell="A7" workbookViewId="0">
      <selection activeCell="J14" sqref="J14"/>
    </sheetView>
  </sheetViews>
  <sheetFormatPr defaultRowHeight="15"/>
  <cols>
    <col min="3" max="3" width="18.140625" customWidth="1"/>
    <col min="4" max="4" width="15.7109375" customWidth="1"/>
    <col min="5" max="5" width="24" customWidth="1"/>
  </cols>
  <sheetData>
    <row r="1" spans="1:5">
      <c r="A1" s="4" t="s">
        <v>801</v>
      </c>
      <c r="B1" s="5"/>
      <c r="C1" s="5"/>
      <c r="D1" s="3"/>
    </row>
    <row r="2" spans="1:5" ht="45">
      <c r="A2" s="10" t="s">
        <v>10</v>
      </c>
      <c r="B2" s="11" t="s">
        <v>11</v>
      </c>
      <c r="C2" s="6" t="s">
        <v>12</v>
      </c>
      <c r="D2" s="9" t="s">
        <v>13</v>
      </c>
      <c r="E2" s="634" t="s">
        <v>9</v>
      </c>
    </row>
    <row r="3" spans="1:5">
      <c r="A3" s="370">
        <v>1</v>
      </c>
      <c r="B3" s="544">
        <v>44404</v>
      </c>
      <c r="C3" s="535" t="s">
        <v>49</v>
      </c>
      <c r="D3" s="545">
        <v>9900000</v>
      </c>
      <c r="E3" s="557" t="s">
        <v>1046</v>
      </c>
    </row>
    <row r="4" spans="1:5">
      <c r="A4" s="411">
        <v>2</v>
      </c>
      <c r="B4" s="392">
        <v>44410</v>
      </c>
      <c r="C4" s="393" t="s">
        <v>164</v>
      </c>
      <c r="D4" s="586">
        <v>3000000</v>
      </c>
      <c r="E4" s="599" t="s">
        <v>1179</v>
      </c>
    </row>
    <row r="5" spans="1:5">
      <c r="A5" s="412">
        <v>3</v>
      </c>
      <c r="B5" s="544">
        <v>44411</v>
      </c>
      <c r="C5" s="535" t="s">
        <v>49</v>
      </c>
      <c r="D5" s="545">
        <v>2900000</v>
      </c>
      <c r="E5" s="557" t="s">
        <v>1046</v>
      </c>
    </row>
    <row r="6" spans="1:5">
      <c r="A6" s="370">
        <v>4</v>
      </c>
      <c r="B6" s="392">
        <v>44411</v>
      </c>
      <c r="C6" s="393" t="s">
        <v>164</v>
      </c>
      <c r="D6" s="211">
        <v>4500000</v>
      </c>
      <c r="E6" s="599" t="s">
        <v>1179</v>
      </c>
    </row>
    <row r="7" spans="1:5">
      <c r="A7" s="411">
        <v>5</v>
      </c>
      <c r="B7" s="392">
        <v>44414</v>
      </c>
      <c r="C7" s="393" t="s">
        <v>164</v>
      </c>
      <c r="D7" s="211">
        <v>9000000</v>
      </c>
      <c r="E7" s="599" t="s">
        <v>1179</v>
      </c>
    </row>
    <row r="8" spans="1:5">
      <c r="A8" s="412">
        <v>6</v>
      </c>
      <c r="B8" s="544">
        <v>44415</v>
      </c>
      <c r="C8" s="535" t="s">
        <v>49</v>
      </c>
      <c r="D8" s="532">
        <v>4950000</v>
      </c>
      <c r="E8" s="557" t="s">
        <v>1046</v>
      </c>
    </row>
    <row r="9" spans="1:5">
      <c r="A9" s="370">
        <v>7</v>
      </c>
      <c r="B9" s="392">
        <v>44415</v>
      </c>
      <c r="C9" s="393" t="s">
        <v>164</v>
      </c>
      <c r="D9" s="211">
        <v>2225000</v>
      </c>
      <c r="E9" s="599" t="s">
        <v>1179</v>
      </c>
    </row>
    <row r="10" spans="1:5">
      <c r="A10" s="411">
        <v>8</v>
      </c>
      <c r="B10" s="64">
        <v>44417</v>
      </c>
      <c r="C10" s="16" t="s">
        <v>96</v>
      </c>
      <c r="D10" s="31">
        <v>12000000</v>
      </c>
      <c r="E10" s="32" t="s">
        <v>1170</v>
      </c>
    </row>
    <row r="11" spans="1:5">
      <c r="A11" s="412">
        <v>9</v>
      </c>
      <c r="B11" s="64">
        <v>44420</v>
      </c>
      <c r="C11" s="16" t="s">
        <v>96</v>
      </c>
      <c r="D11" s="31">
        <v>9000000</v>
      </c>
      <c r="E11" s="32" t="s">
        <v>853</v>
      </c>
    </row>
    <row r="12" spans="1:5">
      <c r="A12" s="370">
        <v>10</v>
      </c>
      <c r="B12" s="64">
        <v>44426</v>
      </c>
      <c r="C12" s="16" t="s">
        <v>96</v>
      </c>
      <c r="D12" s="31">
        <v>3600000</v>
      </c>
      <c r="E12" s="32"/>
    </row>
    <row r="13" spans="1:5">
      <c r="A13" s="411">
        <v>11</v>
      </c>
      <c r="B13" s="544">
        <v>44424</v>
      </c>
      <c r="C13" s="535" t="s">
        <v>49</v>
      </c>
      <c r="D13" s="532">
        <v>10550000</v>
      </c>
      <c r="E13" s="557" t="s">
        <v>1046</v>
      </c>
    </row>
    <row r="14" spans="1:5">
      <c r="A14" s="412">
        <v>12</v>
      </c>
      <c r="B14" s="392">
        <v>44424</v>
      </c>
      <c r="C14" s="393" t="s">
        <v>164</v>
      </c>
      <c r="D14" s="211">
        <v>3065000</v>
      </c>
      <c r="E14" s="599" t="s">
        <v>1179</v>
      </c>
    </row>
    <row r="15" spans="1:5">
      <c r="A15" s="370">
        <v>13</v>
      </c>
      <c r="B15" s="392">
        <v>44426</v>
      </c>
      <c r="C15" s="393" t="s">
        <v>164</v>
      </c>
      <c r="D15" s="211">
        <v>12930000</v>
      </c>
      <c r="E15" s="599" t="s">
        <v>1179</v>
      </c>
    </row>
    <row r="16" spans="1:5">
      <c r="A16" s="411">
        <v>14</v>
      </c>
      <c r="B16" s="544">
        <v>44427</v>
      </c>
      <c r="C16" s="535" t="s">
        <v>49</v>
      </c>
      <c r="D16" s="532">
        <v>6025000</v>
      </c>
      <c r="E16" s="557" t="s">
        <v>1046</v>
      </c>
    </row>
    <row r="17" spans="1:5">
      <c r="A17" s="412">
        <v>15</v>
      </c>
      <c r="B17" s="392">
        <v>44432</v>
      </c>
      <c r="C17" s="393" t="s">
        <v>164</v>
      </c>
      <c r="D17" s="211">
        <v>6055000</v>
      </c>
      <c r="E17" s="599" t="s">
        <v>1179</v>
      </c>
    </row>
    <row r="18" spans="1:5">
      <c r="A18" s="370">
        <v>16</v>
      </c>
      <c r="B18" s="233">
        <v>44448</v>
      </c>
      <c r="C18" s="82" t="s">
        <v>28</v>
      </c>
      <c r="D18" s="53">
        <v>4690000</v>
      </c>
      <c r="E18" s="360" t="s">
        <v>1419</v>
      </c>
    </row>
    <row r="19" spans="1:5">
      <c r="A19" s="411">
        <v>17</v>
      </c>
      <c r="B19" s="61">
        <v>44452</v>
      </c>
      <c r="C19" s="52" t="s">
        <v>28</v>
      </c>
      <c r="D19" s="53">
        <v>5055000</v>
      </c>
      <c r="E19" s="360" t="s">
        <v>1419</v>
      </c>
    </row>
    <row r="20" spans="1:5">
      <c r="A20" s="412">
        <v>18</v>
      </c>
      <c r="B20" s="61">
        <v>44453</v>
      </c>
      <c r="C20" s="52" t="s">
        <v>28</v>
      </c>
      <c r="D20" s="53">
        <v>6300000</v>
      </c>
      <c r="E20" s="360" t="s">
        <v>1419</v>
      </c>
    </row>
    <row r="21" spans="1:5">
      <c r="A21" s="370">
        <v>19</v>
      </c>
      <c r="B21" s="61">
        <v>44466</v>
      </c>
      <c r="C21" s="52" t="s">
        <v>28</v>
      </c>
      <c r="D21" s="53">
        <v>2880000</v>
      </c>
      <c r="E21" s="360" t="s">
        <v>1419</v>
      </c>
    </row>
    <row r="22" spans="1:5">
      <c r="A22" s="411">
        <v>20</v>
      </c>
      <c r="B22" s="61">
        <v>44491</v>
      </c>
      <c r="C22" s="52" t="s">
        <v>28</v>
      </c>
      <c r="D22" s="53">
        <v>3600000</v>
      </c>
      <c r="E22" s="360" t="s">
        <v>1419</v>
      </c>
    </row>
    <row r="23" spans="1:5">
      <c r="A23" s="412">
        <v>21</v>
      </c>
      <c r="B23" s="63">
        <v>44522</v>
      </c>
      <c r="C23" s="25" t="s">
        <v>28</v>
      </c>
      <c r="D23" s="24">
        <v>12500000</v>
      </c>
      <c r="E23" s="21"/>
    </row>
    <row r="24" spans="1:5">
      <c r="A24" s="14"/>
      <c r="E24" s="14"/>
    </row>
    <row r="25" spans="1:5">
      <c r="A25" s="14"/>
      <c r="B25" s="39"/>
      <c r="C25" s="39" t="s">
        <v>883</v>
      </c>
      <c r="D25" s="22">
        <f>SUM(D3:D24)</f>
        <v>134725000</v>
      </c>
      <c r="E25" s="14"/>
    </row>
    <row r="27" spans="1:5">
      <c r="C27" t="s">
        <v>1446</v>
      </c>
      <c r="D27" s="142">
        <f>D23+D12+D11+D10</f>
        <v>37100000</v>
      </c>
    </row>
    <row r="29" spans="1:5">
      <c r="C29" t="s">
        <v>1447</v>
      </c>
      <c r="D29" s="349">
        <f>D3+D4+D5+D6+D7+D8+D9+D13+D14+D15+D16+D17+D18+D19+D20+D21+D22</f>
        <v>97625000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JANUARI</vt:lpstr>
      <vt:lpstr>FEBRUARI</vt:lpstr>
      <vt:lpstr>MARET</vt:lpstr>
      <vt:lpstr>APRIL</vt:lpstr>
      <vt:lpstr>MEI</vt:lpstr>
      <vt:lpstr>JUNI</vt:lpstr>
      <vt:lpstr>JULI</vt:lpstr>
      <vt:lpstr>AGUSTUS</vt:lpstr>
      <vt:lpstr>SEPTEMBER</vt:lpstr>
      <vt:lpstr>OKTOBER</vt:lpstr>
      <vt:lpstr>NOVEMBER</vt:lpstr>
      <vt:lpstr>DESEMBER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araw film</dc:creator>
  <cp:lastModifiedBy>user</cp:lastModifiedBy>
  <cp:lastPrinted>2022-01-04T08:23:25Z</cp:lastPrinted>
  <dcterms:created xsi:type="dcterms:W3CDTF">2020-11-10T04:18:41Z</dcterms:created>
  <dcterms:modified xsi:type="dcterms:W3CDTF">2025-12-20T05:40:54Z</dcterms:modified>
</cp:coreProperties>
</file>