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9210" firstSheet="5" activeTab="11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  <sheet name="Sheet9" sheetId="13" r:id="rId13"/>
    <sheet name="Sheet1" sheetId="14" r:id="rId14"/>
    <sheet name="Sheet2" sheetId="15" r:id="rId15"/>
  </sheets>
  <calcPr calcId="124519"/>
</workbook>
</file>

<file path=xl/calcChain.xml><?xml version="1.0" encoding="utf-8"?>
<calcChain xmlns="http://schemas.openxmlformats.org/spreadsheetml/2006/main">
  <c r="D21" i="11"/>
  <c r="F21" s="1"/>
  <c r="E51" i="13"/>
  <c r="C51"/>
  <c r="B51"/>
  <c r="L41"/>
  <c r="G38"/>
  <c r="D38"/>
  <c r="F38" s="1"/>
  <c r="G37"/>
  <c r="D37"/>
  <c r="F37" s="1"/>
  <c r="G36"/>
  <c r="F36"/>
  <c r="D36"/>
  <c r="G35"/>
  <c r="D35"/>
  <c r="F35" s="1"/>
  <c r="G34"/>
  <c r="F34"/>
  <c r="D34"/>
  <c r="G33"/>
  <c r="D33"/>
  <c r="F33" s="1"/>
  <c r="G32"/>
  <c r="F32"/>
  <c r="D32"/>
  <c r="G31"/>
  <c r="D31"/>
  <c r="F31" s="1"/>
  <c r="G30"/>
  <c r="D30"/>
  <c r="F30" s="1"/>
  <c r="G29"/>
  <c r="D29"/>
  <c r="F29" s="1"/>
  <c r="G28"/>
  <c r="F28"/>
  <c r="D28"/>
  <c r="G27"/>
  <c r="D27"/>
  <c r="F27" s="1"/>
  <c r="G26"/>
  <c r="F26"/>
  <c r="D26"/>
  <c r="G25"/>
  <c r="D25"/>
  <c r="F25" s="1"/>
  <c r="G24"/>
  <c r="F24"/>
  <c r="D24"/>
  <c r="G23"/>
  <c r="D23"/>
  <c r="F23" s="1"/>
  <c r="G22"/>
  <c r="F22"/>
  <c r="D22"/>
  <c r="G21"/>
  <c r="F21"/>
  <c r="G20"/>
  <c r="D20"/>
  <c r="F20" s="1"/>
  <c r="G19"/>
  <c r="F19"/>
  <c r="D19"/>
  <c r="G18"/>
  <c r="D18"/>
  <c r="F18" s="1"/>
  <c r="G17"/>
  <c r="F17"/>
  <c r="D17"/>
  <c r="G16"/>
  <c r="D16"/>
  <c r="F16" s="1"/>
  <c r="G15"/>
  <c r="F15"/>
  <c r="D15"/>
  <c r="G14"/>
  <c r="D14"/>
  <c r="F14" s="1"/>
  <c r="G13"/>
  <c r="F13"/>
  <c r="D13"/>
  <c r="G12"/>
  <c r="D12"/>
  <c r="F12" s="1"/>
  <c r="G11"/>
  <c r="F11"/>
  <c r="D11"/>
  <c r="G10"/>
  <c r="D10"/>
  <c r="F10" s="1"/>
  <c r="G9"/>
  <c r="F9"/>
  <c r="D9"/>
  <c r="G8"/>
  <c r="D8"/>
  <c r="D51" s="1"/>
  <c r="G7"/>
  <c r="G51" s="1"/>
  <c r="D10" i="11"/>
  <c r="D27" i="10"/>
  <c r="G39" i="8"/>
  <c r="D21"/>
  <c r="D17"/>
  <c r="F17" s="1"/>
  <c r="F29" i="7"/>
  <c r="D21" i="6"/>
  <c r="D21" i="3"/>
  <c r="D33" i="2"/>
  <c r="D20"/>
  <c r="L40" i="1"/>
  <c r="D20"/>
  <c r="E51" i="12"/>
  <c r="C51"/>
  <c r="B51"/>
  <c r="L41"/>
  <c r="G38"/>
  <c r="D38"/>
  <c r="F38" s="1"/>
  <c r="G37"/>
  <c r="D37"/>
  <c r="F37" s="1"/>
  <c r="G36"/>
  <c r="D36"/>
  <c r="F36" s="1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F30"/>
  <c r="G29"/>
  <c r="D29"/>
  <c r="F29" s="1"/>
  <c r="G28"/>
  <c r="F28"/>
  <c r="D28"/>
  <c r="G27"/>
  <c r="D27"/>
  <c r="F27" s="1"/>
  <c r="G26"/>
  <c r="D26"/>
  <c r="F26" s="1"/>
  <c r="G25"/>
  <c r="D25"/>
  <c r="F25" s="1"/>
  <c r="G24"/>
  <c r="D24"/>
  <c r="F24" s="1"/>
  <c r="G23"/>
  <c r="D23"/>
  <c r="F23" s="1"/>
  <c r="G22"/>
  <c r="D22"/>
  <c r="F22" s="1"/>
  <c r="G21"/>
  <c r="F21"/>
  <c r="G20"/>
  <c r="D20"/>
  <c r="F20" s="1"/>
  <c r="G19"/>
  <c r="F19"/>
  <c r="G18"/>
  <c r="D18"/>
  <c r="F18" s="1"/>
  <c r="G17"/>
  <c r="D17"/>
  <c r="F17" s="1"/>
  <c r="G16"/>
  <c r="D16"/>
  <c r="F16" s="1"/>
  <c r="G15"/>
  <c r="D15"/>
  <c r="F15" s="1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G7"/>
  <c r="E51" i="11"/>
  <c r="C51"/>
  <c r="B51"/>
  <c r="L41"/>
  <c r="G38"/>
  <c r="F38"/>
  <c r="D38"/>
  <c r="G37"/>
  <c r="D37"/>
  <c r="F37" s="1"/>
  <c r="G36"/>
  <c r="D36"/>
  <c r="F36" s="1"/>
  <c r="G35"/>
  <c r="D35"/>
  <c r="F35" s="1"/>
  <c r="G34"/>
  <c r="F34"/>
  <c r="D34"/>
  <c r="G33"/>
  <c r="D33"/>
  <c r="F33" s="1"/>
  <c r="G32"/>
  <c r="D32"/>
  <c r="F32" s="1"/>
  <c r="G31"/>
  <c r="D31"/>
  <c r="F31" s="1"/>
  <c r="G30"/>
  <c r="G29"/>
  <c r="D29"/>
  <c r="F29" s="1"/>
  <c r="G28"/>
  <c r="D28"/>
  <c r="F28" s="1"/>
  <c r="G27"/>
  <c r="D27"/>
  <c r="F27" s="1"/>
  <c r="G26"/>
  <c r="D26"/>
  <c r="F26" s="1"/>
  <c r="G25"/>
  <c r="D25"/>
  <c r="F25" s="1"/>
  <c r="G24"/>
  <c r="D24"/>
  <c r="F24" s="1"/>
  <c r="G23"/>
  <c r="D23"/>
  <c r="F23" s="1"/>
  <c r="G22"/>
  <c r="D22"/>
  <c r="F22" s="1"/>
  <c r="G21"/>
  <c r="G20"/>
  <c r="D20"/>
  <c r="F20" s="1"/>
  <c r="G19"/>
  <c r="D19"/>
  <c r="F19" s="1"/>
  <c r="G18"/>
  <c r="D18"/>
  <c r="F18" s="1"/>
  <c r="G17"/>
  <c r="D17"/>
  <c r="F17" s="1"/>
  <c r="G16"/>
  <c r="F16"/>
  <c r="D16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F10"/>
  <c r="G9"/>
  <c r="D9"/>
  <c r="F9" s="1"/>
  <c r="G8"/>
  <c r="D8"/>
  <c r="G7"/>
  <c r="E51" i="10"/>
  <c r="C51"/>
  <c r="B51"/>
  <c r="L41"/>
  <c r="G38"/>
  <c r="D38"/>
  <c r="F38" s="1"/>
  <c r="G37"/>
  <c r="D37"/>
  <c r="F37" s="1"/>
  <c r="G36"/>
  <c r="D36"/>
  <c r="F36" s="1"/>
  <c r="G35"/>
  <c r="D35"/>
  <c r="F35" s="1"/>
  <c r="G34"/>
  <c r="D34"/>
  <c r="F34" s="1"/>
  <c r="G33"/>
  <c r="F33"/>
  <c r="D33"/>
  <c r="G32"/>
  <c r="D32"/>
  <c r="F32" s="1"/>
  <c r="G31"/>
  <c r="D31"/>
  <c r="F31" s="1"/>
  <c r="G30"/>
  <c r="D30"/>
  <c r="F30" s="1"/>
  <c r="G29"/>
  <c r="D29"/>
  <c r="F29" s="1"/>
  <c r="G28"/>
  <c r="D28"/>
  <c r="F28" s="1"/>
  <c r="G27"/>
  <c r="F27"/>
  <c r="G26"/>
  <c r="D26"/>
  <c r="F26" s="1"/>
  <c r="G25"/>
  <c r="D25"/>
  <c r="F25" s="1"/>
  <c r="G24"/>
  <c r="D24"/>
  <c r="F24" s="1"/>
  <c r="G23"/>
  <c r="F23"/>
  <c r="D23"/>
  <c r="G22"/>
  <c r="D22"/>
  <c r="F22" s="1"/>
  <c r="G21"/>
  <c r="F21"/>
  <c r="G20"/>
  <c r="D20"/>
  <c r="F20" s="1"/>
  <c r="G19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G7"/>
  <c r="E51" i="9"/>
  <c r="C51"/>
  <c r="B51"/>
  <c r="G38"/>
  <c r="F38"/>
  <c r="D38"/>
  <c r="G37"/>
  <c r="D37"/>
  <c r="F37" s="1"/>
  <c r="G36"/>
  <c r="F36"/>
  <c r="D36"/>
  <c r="G35"/>
  <c r="D35"/>
  <c r="F35" s="1"/>
  <c r="G34"/>
  <c r="F34"/>
  <c r="D34"/>
  <c r="G33"/>
  <c r="G51" s="1"/>
  <c r="D33"/>
  <c r="F33" s="1"/>
  <c r="G32"/>
  <c r="D32"/>
  <c r="F32" s="1"/>
  <c r="G31"/>
  <c r="D31"/>
  <c r="F31" s="1"/>
  <c r="G30"/>
  <c r="D30"/>
  <c r="F30" s="1"/>
  <c r="G29"/>
  <c r="D29"/>
  <c r="F29" s="1"/>
  <c r="G28"/>
  <c r="D28"/>
  <c r="F28" s="1"/>
  <c r="G27"/>
  <c r="D27"/>
  <c r="F27" s="1"/>
  <c r="G26"/>
  <c r="D26"/>
  <c r="F26" s="1"/>
  <c r="G25"/>
  <c r="D25"/>
  <c r="F25" s="1"/>
  <c r="G24"/>
  <c r="D24"/>
  <c r="F24" s="1"/>
  <c r="G23"/>
  <c r="F23"/>
  <c r="D23"/>
  <c r="G22"/>
  <c r="F22"/>
  <c r="G21"/>
  <c r="F21"/>
  <c r="G20"/>
  <c r="D20"/>
  <c r="F20" s="1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G7"/>
  <c r="E51" i="8"/>
  <c r="C51"/>
  <c r="B51"/>
  <c r="L41"/>
  <c r="G38"/>
  <c r="D38"/>
  <c r="F38" s="1"/>
  <c r="G37"/>
  <c r="D37"/>
  <c r="F37" s="1"/>
  <c r="G36"/>
  <c r="D36"/>
  <c r="F36" s="1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D30"/>
  <c r="F30" s="1"/>
  <c r="G29"/>
  <c r="D29"/>
  <c r="F29" s="1"/>
  <c r="G28"/>
  <c r="D28"/>
  <c r="F28" s="1"/>
  <c r="G27"/>
  <c r="D27"/>
  <c r="F27" s="1"/>
  <c r="G26"/>
  <c r="D26"/>
  <c r="F26" s="1"/>
  <c r="G25"/>
  <c r="F25"/>
  <c r="D25"/>
  <c r="G24"/>
  <c r="D24"/>
  <c r="F24" s="1"/>
  <c r="G23"/>
  <c r="D23"/>
  <c r="F23" s="1"/>
  <c r="G22"/>
  <c r="D22"/>
  <c r="F22" s="1"/>
  <c r="G21"/>
  <c r="F21"/>
  <c r="G20"/>
  <c r="D20"/>
  <c r="F20" s="1"/>
  <c r="G19"/>
  <c r="D19"/>
  <c r="F19" s="1"/>
  <c r="G18"/>
  <c r="D18"/>
  <c r="F18" s="1"/>
  <c r="G17"/>
  <c r="G16"/>
  <c r="D16"/>
  <c r="F16" s="1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G7"/>
  <c r="E51" i="7"/>
  <c r="C51"/>
  <c r="B51"/>
  <c r="L41"/>
  <c r="G38"/>
  <c r="D38"/>
  <c r="F38" s="1"/>
  <c r="G37"/>
  <c r="D37"/>
  <c r="F37" s="1"/>
  <c r="G36"/>
  <c r="D36"/>
  <c r="F36" s="1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D30"/>
  <c r="F30" s="1"/>
  <c r="G29"/>
  <c r="D29"/>
  <c r="G28"/>
  <c r="D28"/>
  <c r="F28" s="1"/>
  <c r="G27"/>
  <c r="D27"/>
  <c r="F27" s="1"/>
  <c r="G26"/>
  <c r="D26"/>
  <c r="F26" s="1"/>
  <c r="G25"/>
  <c r="D25"/>
  <c r="F25" s="1"/>
  <c r="G24"/>
  <c r="D24"/>
  <c r="F24" s="1"/>
  <c r="G23"/>
  <c r="D23"/>
  <c r="F23" s="1"/>
  <c r="G22"/>
  <c r="D22"/>
  <c r="F22" s="1"/>
  <c r="G21"/>
  <c r="F21"/>
  <c r="G20"/>
  <c r="D20"/>
  <c r="F20" s="1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D51" s="1"/>
  <c r="G7"/>
  <c r="E51" i="6"/>
  <c r="C51"/>
  <c r="B51"/>
  <c r="L41"/>
  <c r="G38"/>
  <c r="F38"/>
  <c r="D38"/>
  <c r="G37"/>
  <c r="D37"/>
  <c r="F37" s="1"/>
  <c r="G36"/>
  <c r="F36"/>
  <c r="D36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D30"/>
  <c r="F30" s="1"/>
  <c r="G29"/>
  <c r="G28"/>
  <c r="D28"/>
  <c r="F28" s="1"/>
  <c r="G27"/>
  <c r="D27"/>
  <c r="F27" s="1"/>
  <c r="G26"/>
  <c r="D26"/>
  <c r="F26" s="1"/>
  <c r="G25"/>
  <c r="D25"/>
  <c r="F25" s="1"/>
  <c r="G24"/>
  <c r="D24"/>
  <c r="F24" s="1"/>
  <c r="G23"/>
  <c r="D23"/>
  <c r="F23" s="1"/>
  <c r="G22"/>
  <c r="D22"/>
  <c r="F22" s="1"/>
  <c r="G21"/>
  <c r="F21"/>
  <c r="G20"/>
  <c r="D20"/>
  <c r="F20" s="1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F13"/>
  <c r="D13"/>
  <c r="G12"/>
  <c r="D12"/>
  <c r="F12" s="1"/>
  <c r="G11"/>
  <c r="D11"/>
  <c r="F11" s="1"/>
  <c r="G10"/>
  <c r="D10"/>
  <c r="F10" s="1"/>
  <c r="G9"/>
  <c r="D9"/>
  <c r="F9" s="1"/>
  <c r="G8"/>
  <c r="D8"/>
  <c r="G7"/>
  <c r="E51" i="5"/>
  <c r="C51"/>
  <c r="B51"/>
  <c r="L41"/>
  <c r="G38"/>
  <c r="D38"/>
  <c r="F38" s="1"/>
  <c r="G37"/>
  <c r="D37"/>
  <c r="F37" s="1"/>
  <c r="G36"/>
  <c r="D36"/>
  <c r="F36" s="1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D30"/>
  <c r="F30" s="1"/>
  <c r="G29"/>
  <c r="D29"/>
  <c r="F29" s="1"/>
  <c r="G28"/>
  <c r="D28"/>
  <c r="F28" s="1"/>
  <c r="G27"/>
  <c r="D27"/>
  <c r="F27" s="1"/>
  <c r="G26"/>
  <c r="D26"/>
  <c r="F26" s="1"/>
  <c r="G25"/>
  <c r="D25"/>
  <c r="F25" s="1"/>
  <c r="G24"/>
  <c r="D24"/>
  <c r="F24" s="1"/>
  <c r="G23"/>
  <c r="D23"/>
  <c r="F23" s="1"/>
  <c r="G22"/>
  <c r="D22"/>
  <c r="F22" s="1"/>
  <c r="G21"/>
  <c r="F21"/>
  <c r="G20"/>
  <c r="D20"/>
  <c r="F20" s="1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G7"/>
  <c r="E51" i="4"/>
  <c r="C51"/>
  <c r="B51"/>
  <c r="L40"/>
  <c r="G38"/>
  <c r="D38"/>
  <c r="F38" s="1"/>
  <c r="G37"/>
  <c r="D37"/>
  <c r="F37" s="1"/>
  <c r="G36"/>
  <c r="D36"/>
  <c r="F36" s="1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D30"/>
  <c r="F30" s="1"/>
  <c r="G29"/>
  <c r="D29"/>
  <c r="F29" s="1"/>
  <c r="G28"/>
  <c r="D28"/>
  <c r="F28" s="1"/>
  <c r="G27"/>
  <c r="F27"/>
  <c r="G26"/>
  <c r="D26"/>
  <c r="F26" s="1"/>
  <c r="G25"/>
  <c r="D25"/>
  <c r="F25" s="1"/>
  <c r="G24"/>
  <c r="D24"/>
  <c r="F24" s="1"/>
  <c r="G23"/>
  <c r="D23"/>
  <c r="F23" s="1"/>
  <c r="G22"/>
  <c r="D22"/>
  <c r="F22" s="1"/>
  <c r="G21"/>
  <c r="F21"/>
  <c r="G20"/>
  <c r="D20"/>
  <c r="F20" s="1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G7"/>
  <c r="E51" i="3"/>
  <c r="C51"/>
  <c r="B51"/>
  <c r="L41"/>
  <c r="G38"/>
  <c r="F38"/>
  <c r="D38"/>
  <c r="G37"/>
  <c r="D37"/>
  <c r="F37" s="1"/>
  <c r="G36"/>
  <c r="D36"/>
  <c r="F36" s="1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D30"/>
  <c r="F30" s="1"/>
  <c r="G29"/>
  <c r="D29"/>
  <c r="F29" s="1"/>
  <c r="G28"/>
  <c r="D28"/>
  <c r="F28" s="1"/>
  <c r="G27"/>
  <c r="D27"/>
  <c r="F27" s="1"/>
  <c r="G26"/>
  <c r="D26"/>
  <c r="F26" s="1"/>
  <c r="G25"/>
  <c r="F25"/>
  <c r="D25"/>
  <c r="G24"/>
  <c r="D24"/>
  <c r="F24" s="1"/>
  <c r="G23"/>
  <c r="D23"/>
  <c r="F23" s="1"/>
  <c r="G22"/>
  <c r="D22"/>
  <c r="F22" s="1"/>
  <c r="G21"/>
  <c r="F21"/>
  <c r="G20"/>
  <c r="D20"/>
  <c r="F20" s="1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G7"/>
  <c r="D7" i="2"/>
  <c r="F7" s="1"/>
  <c r="E50"/>
  <c r="C50"/>
  <c r="B50"/>
  <c r="L40"/>
  <c r="G37"/>
  <c r="D37"/>
  <c r="F37" s="1"/>
  <c r="G36"/>
  <c r="D36"/>
  <c r="F36" s="1"/>
  <c r="G35"/>
  <c r="D35"/>
  <c r="F35" s="1"/>
  <c r="G34"/>
  <c r="D34"/>
  <c r="F34" s="1"/>
  <c r="G33"/>
  <c r="F33"/>
  <c r="G32"/>
  <c r="D32"/>
  <c r="F32" s="1"/>
  <c r="G31"/>
  <c r="D31"/>
  <c r="F31" s="1"/>
  <c r="G30"/>
  <c r="D30"/>
  <c r="F30" s="1"/>
  <c r="G29"/>
  <c r="D29"/>
  <c r="F29" s="1"/>
  <c r="G28"/>
  <c r="D28"/>
  <c r="F28" s="1"/>
  <c r="G27"/>
  <c r="D27"/>
  <c r="F27" s="1"/>
  <c r="G26"/>
  <c r="D26"/>
  <c r="F26" s="1"/>
  <c r="G25"/>
  <c r="D25"/>
  <c r="F25" s="1"/>
  <c r="G24"/>
  <c r="D24"/>
  <c r="F24" s="1"/>
  <c r="G23"/>
  <c r="D23"/>
  <c r="F23" s="1"/>
  <c r="G22"/>
  <c r="F22"/>
  <c r="D22"/>
  <c r="G21"/>
  <c r="D21"/>
  <c r="F21" s="1"/>
  <c r="G20"/>
  <c r="F20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F8" s="1"/>
  <c r="G7"/>
  <c r="G6"/>
  <c r="D7" i="1"/>
  <c r="E50"/>
  <c r="C50"/>
  <c r="B50"/>
  <c r="G37"/>
  <c r="D37"/>
  <c r="F37" s="1"/>
  <c r="G36"/>
  <c r="D36"/>
  <c r="F36" s="1"/>
  <c r="G35"/>
  <c r="D35"/>
  <c r="F35" s="1"/>
  <c r="G34"/>
  <c r="D34"/>
  <c r="F34" s="1"/>
  <c r="G33"/>
  <c r="D33"/>
  <c r="F33" s="1"/>
  <c r="G32"/>
  <c r="D32"/>
  <c r="F32" s="1"/>
  <c r="G31"/>
  <c r="D31"/>
  <c r="F31" s="1"/>
  <c r="G30"/>
  <c r="D30"/>
  <c r="F30" s="1"/>
  <c r="G29"/>
  <c r="G28"/>
  <c r="D28"/>
  <c r="F28" s="1"/>
  <c r="G27"/>
  <c r="D27"/>
  <c r="F27" s="1"/>
  <c r="G26"/>
  <c r="D26"/>
  <c r="F26" s="1"/>
  <c r="G25"/>
  <c r="D25"/>
  <c r="F25" s="1"/>
  <c r="G24"/>
  <c r="D24"/>
  <c r="F24" s="1"/>
  <c r="G23"/>
  <c r="D23"/>
  <c r="F23" s="1"/>
  <c r="G22"/>
  <c r="D22"/>
  <c r="F22" s="1"/>
  <c r="G21"/>
  <c r="D21"/>
  <c r="F21" s="1"/>
  <c r="G20"/>
  <c r="F20"/>
  <c r="G19"/>
  <c r="D19"/>
  <c r="F19" s="1"/>
  <c r="G18"/>
  <c r="D18"/>
  <c r="F18" s="1"/>
  <c r="G17"/>
  <c r="D17"/>
  <c r="F17" s="1"/>
  <c r="G16"/>
  <c r="D16"/>
  <c r="F16" s="1"/>
  <c r="G15"/>
  <c r="D15"/>
  <c r="F15" s="1"/>
  <c r="G14"/>
  <c r="D14"/>
  <c r="F14" s="1"/>
  <c r="G13"/>
  <c r="D13"/>
  <c r="F13" s="1"/>
  <c r="G12"/>
  <c r="D12"/>
  <c r="F12" s="1"/>
  <c r="G11"/>
  <c r="D11"/>
  <c r="F11" s="1"/>
  <c r="G10"/>
  <c r="D10"/>
  <c r="F10" s="1"/>
  <c r="G9"/>
  <c r="D9"/>
  <c r="F9" s="1"/>
  <c r="G8"/>
  <c r="D8"/>
  <c r="F8" s="1"/>
  <c r="G7"/>
  <c r="G6"/>
  <c r="G51" i="12" l="1"/>
  <c r="D51"/>
  <c r="D51" i="11"/>
  <c r="G51"/>
  <c r="L43" i="13"/>
  <c r="L48" s="1"/>
  <c r="F8"/>
  <c r="F51" s="1"/>
  <c r="L43" i="11"/>
  <c r="L48" s="1"/>
  <c r="F8"/>
  <c r="D51" i="10"/>
  <c r="G51"/>
  <c r="L43"/>
  <c r="L48" s="1"/>
  <c r="D51" i="9"/>
  <c r="L43"/>
  <c r="L48" s="1"/>
  <c r="G51" i="8"/>
  <c r="L43"/>
  <c r="L48" s="1"/>
  <c r="D51"/>
  <c r="G51" i="7"/>
  <c r="G51" i="6"/>
  <c r="L43"/>
  <c r="L48" s="1"/>
  <c r="D51"/>
  <c r="G51" i="5"/>
  <c r="D51"/>
  <c r="L43"/>
  <c r="L48" s="1"/>
  <c r="G51" i="4"/>
  <c r="D51"/>
  <c r="L42"/>
  <c r="L47" s="1"/>
  <c r="G51" i="3"/>
  <c r="D51"/>
  <c r="G50" i="2"/>
  <c r="D50"/>
  <c r="L43" i="12"/>
  <c r="L48" s="1"/>
  <c r="F8"/>
  <c r="F51" s="1"/>
  <c r="F8" i="9"/>
  <c r="F51" s="1"/>
  <c r="F8" i="8"/>
  <c r="F51" s="1"/>
  <c r="L43" i="7"/>
  <c r="L48" s="1"/>
  <c r="F51" i="11"/>
  <c r="F8" i="10"/>
  <c r="F51" s="1"/>
  <c r="F8" i="7"/>
  <c r="F51" s="1"/>
  <c r="F8" i="6"/>
  <c r="F51" s="1"/>
  <c r="F8" i="5"/>
  <c r="F51" s="1"/>
  <c r="F8" i="4"/>
  <c r="F51" s="1"/>
  <c r="L43" i="3"/>
  <c r="L48" s="1"/>
  <c r="F8"/>
  <c r="F51" s="1"/>
  <c r="L42" i="2"/>
  <c r="L47" s="1"/>
  <c r="F50"/>
  <c r="G50" i="1"/>
  <c r="L42"/>
  <c r="L47" s="1"/>
  <c r="D50"/>
  <c r="F7"/>
  <c r="F50" s="1"/>
</calcChain>
</file>

<file path=xl/sharedStrings.xml><?xml version="1.0" encoding="utf-8"?>
<sst xmlns="http://schemas.openxmlformats.org/spreadsheetml/2006/main" count="934" uniqueCount="446">
  <si>
    <t>TGL</t>
  </si>
  <si>
    <t>PEMASUKAN</t>
  </si>
  <si>
    <t>BRUTO</t>
  </si>
  <si>
    <t>BY. KELUAR HARIAN</t>
  </si>
  <si>
    <t>NETT</t>
  </si>
  <si>
    <t>NET TUNAI</t>
  </si>
  <si>
    <t>PENGELUARAN</t>
  </si>
  <si>
    <t>NON TUNAI</t>
  </si>
  <si>
    <t>TUNAI</t>
  </si>
  <si>
    <t>KETERANGAN</t>
  </si>
  <si>
    <t>JUMLAH</t>
  </si>
  <si>
    <t>KET:</t>
  </si>
  <si>
    <t>PENDAPATAN KOTOR</t>
  </si>
  <si>
    <t>PENGELUARAN HARIAN</t>
  </si>
  <si>
    <t>PENGELUARAN BULANAN</t>
  </si>
  <si>
    <t>TOTAL PENGELUARAN</t>
  </si>
  <si>
    <t>PENDAPATAN BERSIH FEBRUARI 2025</t>
  </si>
  <si>
    <t>LAPORAN BULAN FEBRUARI 2025</t>
  </si>
  <si>
    <t>LAPORAN BULAN MARET 2025</t>
  </si>
  <si>
    <t>PENDAPATAN BERSIH MARET 2025</t>
  </si>
  <si>
    <t>PENDAPATAN BERSIH APRIL 2025</t>
  </si>
  <si>
    <t>LAPORAN BULAN APRIL 2025</t>
  </si>
  <si>
    <t>LAPORAN BULAN JANUARI 2025</t>
  </si>
  <si>
    <t>LAPORAN BULAN MEI 2025</t>
  </si>
  <si>
    <t>PENDAPATAN BERSIH JANUARI 2025</t>
  </si>
  <si>
    <t>PENDAPATAN BERSIH MEI 2025</t>
  </si>
  <si>
    <t>LAPORAN BULAN JUNI 2025</t>
  </si>
  <si>
    <t>PENDAPATAN BERSIH JUNI 2025</t>
  </si>
  <si>
    <t>LAPORAN BULAN JULI 2025</t>
  </si>
  <si>
    <t>PENDAPATAN BERSIH JULI 2025</t>
  </si>
  <si>
    <t>PENDAPATAN BERSIH AGUSTUS 2025</t>
  </si>
  <si>
    <t>LAPORAN BULAN AGUSTUS 2025</t>
  </si>
  <si>
    <t>LAPORAN BULAN SEPTEMBER 2025</t>
  </si>
  <si>
    <t>PENDAPATAN BERSIH SEPTEMBER 2025</t>
  </si>
  <si>
    <t>PENDAPATAN BERSIH OKTOBER 2025</t>
  </si>
  <si>
    <t>LAPORAN BULAN OKTOBER 2025</t>
  </si>
  <si>
    <t>LAPORAN BULAN NOVEMBER 2025</t>
  </si>
  <si>
    <t>PENDAPATAN BERSIH NOVEMBER 2025</t>
  </si>
  <si>
    <t>LAPORAN BULAN DESEMBER 2025</t>
  </si>
  <si>
    <t>PENDAPATAN BERSIH DESEMBER 2025</t>
  </si>
  <si>
    <t>BROBAT BG YAN</t>
  </si>
  <si>
    <t>TF KE DADONE/MAGDALENA</t>
  </si>
  <si>
    <t>BG YAN</t>
  </si>
  <si>
    <t>ICHA</t>
  </si>
  <si>
    <t>TF KE YUSUF</t>
  </si>
  <si>
    <t>TF KE NURMALINDA</t>
  </si>
  <si>
    <t>ETEK</t>
  </si>
  <si>
    <t>ASURANSI BG YAN + INARA</t>
  </si>
  <si>
    <t>TF KE HENDRIK ZANK</t>
  </si>
  <si>
    <t>FEE SONI</t>
  </si>
  <si>
    <t>FEE RYAN IRVAN</t>
  </si>
  <si>
    <t>TOKEN TOKO</t>
  </si>
  <si>
    <t>BYR MOTOR VARIO</t>
  </si>
  <si>
    <t>TF KE OTOPROJEC</t>
  </si>
  <si>
    <t>TF KE MAGDALENA/DADONE</t>
  </si>
  <si>
    <t>TF KE OVI DIANA</t>
  </si>
  <si>
    <t>BYR BANK NAGARI</t>
  </si>
  <si>
    <t>TF KE JAYA KREASI INDONESIA/JKI</t>
  </si>
  <si>
    <t>TF KE MANDIRI/SUSANDRA</t>
  </si>
  <si>
    <t>TF KE BNI YAN FARIZON</t>
  </si>
  <si>
    <t>TF KE EVRIZON FARIZ</t>
  </si>
  <si>
    <t>TF KE ENDRAWATI</t>
  </si>
  <si>
    <t>TF  KE MAGDALENA/DADONE</t>
  </si>
  <si>
    <t>TF KE EMYATI/TJM</t>
  </si>
  <si>
    <t>TF KE MINANG JAYA</t>
  </si>
  <si>
    <t>TF KE ERIK/KACA FILM CRYSTALLINE</t>
  </si>
  <si>
    <t>TF KE SUKSES PERKASA SEJAHTERA/VG</t>
  </si>
  <si>
    <t>KASIH MIRA/ADIK BG YAN</t>
  </si>
  <si>
    <t>TF KE NICO MARDIN/MR BOSS</t>
  </si>
  <si>
    <t>TK KE MAGDALENA/DADONE</t>
  </si>
  <si>
    <t>TF KE MARIA/MR BOSS</t>
  </si>
  <si>
    <t>BYR ASURANSI BG YAN</t>
  </si>
  <si>
    <t>FEE  M ABDIEL ALFANDI/HILUX</t>
  </si>
  <si>
    <t>FEENAUFAL FAJRIA/TERIOS</t>
  </si>
  <si>
    <t xml:space="preserve">BROBAT BG YAN </t>
  </si>
  <si>
    <t>TF KE MARWAN</t>
  </si>
  <si>
    <t>BYR PELUNASAN MOTOR VARIO</t>
  </si>
  <si>
    <t>TF KE JAYA KREASI INDONESIA</t>
  </si>
  <si>
    <t>TF KE GREAT OTOMOTIF INDONESIA/KO AKHON</t>
  </si>
  <si>
    <t>TF KE YAN FARIZON</t>
  </si>
  <si>
    <t>TF KE SUSANDRA</t>
  </si>
  <si>
    <t xml:space="preserve">TF KE HENDRIK </t>
  </si>
  <si>
    <t>BERAS</t>
  </si>
  <si>
    <t>`</t>
  </si>
  <si>
    <t>1-MARET</t>
  </si>
  <si>
    <t>2-MARET</t>
  </si>
  <si>
    <t>3-MARET</t>
  </si>
  <si>
    <t>4-MARET</t>
  </si>
  <si>
    <t>5-MARET</t>
  </si>
  <si>
    <t>6-MARET</t>
  </si>
  <si>
    <t>7-MARET</t>
  </si>
  <si>
    <t>8-MARET</t>
  </si>
  <si>
    <t>9-MARET</t>
  </si>
  <si>
    <t>11-MARET</t>
  </si>
  <si>
    <t>BELI OBAT BG YAN</t>
  </si>
  <si>
    <t>UANG SEKOLAH INARA</t>
  </si>
  <si>
    <t>UANG BAJU INARA</t>
  </si>
  <si>
    <t>BPJS</t>
  </si>
  <si>
    <t>12-MARET</t>
  </si>
  <si>
    <t>10-MARET</t>
  </si>
  <si>
    <t>13-MARET</t>
  </si>
  <si>
    <t>TF KE ANDRY RAHARJA/AIR MINUM</t>
  </si>
  <si>
    <t>14-MARET</t>
  </si>
  <si>
    <t>15-MARET</t>
  </si>
  <si>
    <t>TF KE IRWAN</t>
  </si>
  <si>
    <t>16-MARET</t>
  </si>
  <si>
    <t>TF KE WINCOS</t>
  </si>
  <si>
    <t>UANG SEKOLAH KIRANA</t>
  </si>
  <si>
    <t>TOKEN RUMAH</t>
  </si>
  <si>
    <t>GAJI ETEK</t>
  </si>
  <si>
    <t>17-MARET</t>
  </si>
  <si>
    <t>THR</t>
  </si>
  <si>
    <t>18-MARET</t>
  </si>
  <si>
    <t>19-MARET</t>
  </si>
  <si>
    <t>20-MARET</t>
  </si>
  <si>
    <t>21-MARET</t>
  </si>
  <si>
    <t>ASURANSI INARA</t>
  </si>
  <si>
    <t>22-MARET</t>
  </si>
  <si>
    <t>THR/MINUMAN</t>
  </si>
  <si>
    <t>23-MARET</t>
  </si>
  <si>
    <t>24-MARET</t>
  </si>
  <si>
    <t>25-MARET</t>
  </si>
  <si>
    <t>26-MARER</t>
  </si>
  <si>
    <t>BYR KARTU KREDIT</t>
  </si>
  <si>
    <t>26-MARET</t>
  </si>
  <si>
    <t>27-MARET</t>
  </si>
  <si>
    <t>PARSEL</t>
  </si>
  <si>
    <t>BYR BANK</t>
  </si>
  <si>
    <t>28-MARET</t>
  </si>
  <si>
    <t>TF KE BNI YAN FARIZIN</t>
  </si>
  <si>
    <t>29-MARET</t>
  </si>
  <si>
    <t>TF KE SISKA AWANI</t>
  </si>
  <si>
    <t>FEE NORIS</t>
  </si>
  <si>
    <t>30-MARET</t>
  </si>
  <si>
    <t>FEE GUSTIAN</t>
  </si>
  <si>
    <t>TF KE ERMAN</t>
  </si>
  <si>
    <t>TF KE RAHMA YULIANTI/PAJAK BG YAN</t>
  </si>
  <si>
    <t>TF KE DHARMESTA SWASTI MANDIRI</t>
  </si>
  <si>
    <t>BG JEK</t>
  </si>
  <si>
    <t>BYR ACESSORIES MOBIL</t>
  </si>
  <si>
    <t>TF KE GREAT OTOMOTIF INDONESIA</t>
  </si>
  <si>
    <t>TF KE LILIAN/NI RAM</t>
  </si>
  <si>
    <t>TF KE ADAM</t>
  </si>
  <si>
    <t>TF KE HERY CAHYADI/RAFELLO</t>
  </si>
  <si>
    <t>TF KE YAN FARIZON/BYR ASESORIS MOBIL</t>
  </si>
  <si>
    <t>FEE ILHAM HAMDANI</t>
  </si>
  <si>
    <t>BYR UTANG BANK</t>
  </si>
  <si>
    <t>BYR UTANG ELOK</t>
  </si>
  <si>
    <t>TF KE MR BOS</t>
  </si>
  <si>
    <t>TF KE WETRI YENI</t>
  </si>
  <si>
    <t>1-MEI</t>
  </si>
  <si>
    <t>TF KE YUSUF SIMANJUNTAK</t>
  </si>
  <si>
    <t>2-MEI</t>
  </si>
  <si>
    <t>3-MEI</t>
  </si>
  <si>
    <t>4-MEI</t>
  </si>
  <si>
    <t>5-MEI</t>
  </si>
  <si>
    <t>7-MEI</t>
  </si>
  <si>
    <t>8-MEI</t>
  </si>
  <si>
    <t>6-MEI</t>
  </si>
  <si>
    <t>9-MEI</t>
  </si>
  <si>
    <t>10-MEI</t>
  </si>
  <si>
    <t>11-MEI</t>
  </si>
  <si>
    <t>12-MEI</t>
  </si>
  <si>
    <t>13-MEI</t>
  </si>
  <si>
    <t xml:space="preserve">BG YAN </t>
  </si>
  <si>
    <t>14-MEI</t>
  </si>
  <si>
    <t>UANG LES INARA</t>
  </si>
  <si>
    <t>TF KE KRISANT PUNDIMAS S</t>
  </si>
  <si>
    <t>15-MEI</t>
  </si>
  <si>
    <t>16-MEI</t>
  </si>
  <si>
    <t>17-MEI</t>
  </si>
  <si>
    <t>18-MEI</t>
  </si>
  <si>
    <t>19-MEI</t>
  </si>
  <si>
    <t>20-MEI</t>
  </si>
  <si>
    <t>21-MEI</t>
  </si>
  <si>
    <t>22-MEI</t>
  </si>
  <si>
    <t>TF KE HERY CAHYADI</t>
  </si>
  <si>
    <t>23-MEI</t>
  </si>
  <si>
    <t>24-MEI</t>
  </si>
  <si>
    <t>25-MEI</t>
  </si>
  <si>
    <t>26-MEI</t>
  </si>
  <si>
    <t>27-MEI</t>
  </si>
  <si>
    <t>KIRANA</t>
  </si>
  <si>
    <t>BYR UTANG BANK NAGARI</t>
  </si>
  <si>
    <t>TF KE 3M/DHARMESTA SWASTI M</t>
  </si>
  <si>
    <t>28-MEI</t>
  </si>
  <si>
    <t xml:space="preserve">28-MEI </t>
  </si>
  <si>
    <t>TF KE BNI YAN FARIZON/GIRO</t>
  </si>
  <si>
    <t>29-MEI</t>
  </si>
  <si>
    <t>30-MEI</t>
  </si>
  <si>
    <t>31-MEI</t>
  </si>
  <si>
    <t>1-JUNI</t>
  </si>
  <si>
    <t>2-JUNI</t>
  </si>
  <si>
    <t>3-JUNI</t>
  </si>
  <si>
    <t>BELI VINYL,LEM</t>
  </si>
  <si>
    <t>4-JUNI</t>
  </si>
  <si>
    <t>5-JUNI</t>
  </si>
  <si>
    <t>6-JUNI</t>
  </si>
  <si>
    <t>7-JUNI</t>
  </si>
  <si>
    <t>8-JUNI</t>
  </si>
  <si>
    <t>9-JUNI</t>
  </si>
  <si>
    <t>BYR SARUNG JOK/ADAM</t>
  </si>
  <si>
    <t>BYR BANK MEGA</t>
  </si>
  <si>
    <t>10-JUNI</t>
  </si>
  <si>
    <t>11-JUNI</t>
  </si>
  <si>
    <t>12-JUNI</t>
  </si>
  <si>
    <t>TF KE ERIK/KF CRISTALLINE</t>
  </si>
  <si>
    <t>13-JUNI</t>
  </si>
  <si>
    <t>14-JUNI</t>
  </si>
  <si>
    <t>BYR NI RAM</t>
  </si>
  <si>
    <t>15-JUNI</t>
  </si>
  <si>
    <t>16-JUNI</t>
  </si>
  <si>
    <t>TF KE MIRAN</t>
  </si>
  <si>
    <t>17-JULI</t>
  </si>
  <si>
    <t>18-JUNI</t>
  </si>
  <si>
    <t>19-JUNI</t>
  </si>
  <si>
    <t>GANTI BAN MOTOR N MAX</t>
  </si>
  <si>
    <t>19-juni</t>
  </si>
  <si>
    <t>20-JUNI</t>
  </si>
  <si>
    <t>21-JUNI</t>
  </si>
  <si>
    <t>23-JUNI</t>
  </si>
  <si>
    <t>BYR KUR</t>
  </si>
  <si>
    <t>22-JUNI</t>
  </si>
  <si>
    <t>26-JUNI</t>
  </si>
  <si>
    <t>25-juni</t>
  </si>
  <si>
    <t>27-JUNI</t>
  </si>
  <si>
    <t>TF KE YAN FARIZIN</t>
  </si>
  <si>
    <t>28-juni</t>
  </si>
  <si>
    <t>TF KE RIZALDI</t>
  </si>
  <si>
    <t>28-JUNI</t>
  </si>
  <si>
    <t>29-JUNI</t>
  </si>
  <si>
    <t>TF KE M ILHAM WIDARSA</t>
  </si>
  <si>
    <t>30-JUNI</t>
  </si>
  <si>
    <t>TF KE MAN/BERAS</t>
  </si>
  <si>
    <t>UANG LES KIRANA</t>
  </si>
  <si>
    <t>BYR PAK ERIK</t>
  </si>
  <si>
    <t>2-JULI</t>
  </si>
  <si>
    <t>1-JULI</t>
  </si>
  <si>
    <t>3-JULI</t>
  </si>
  <si>
    <t>TF KE WENDA OKTARI UTAMI</t>
  </si>
  <si>
    <t>4-JULI</t>
  </si>
  <si>
    <t>TF KE KRISANT PUNDI MAS/WINCOS</t>
  </si>
  <si>
    <t>5-JULI</t>
  </si>
  <si>
    <t>6-JULI</t>
  </si>
  <si>
    <t>7-JULI</t>
  </si>
  <si>
    <t>TF KE GEVIN TIMOTIUS/ORCA</t>
  </si>
  <si>
    <t>BELI  KABEL WIFI</t>
  </si>
  <si>
    <t>8-JULI</t>
  </si>
  <si>
    <t>9-JULI</t>
  </si>
  <si>
    <t>10-JULI</t>
  </si>
  <si>
    <t>11-JULI</t>
  </si>
  <si>
    <t>12-JULI</t>
  </si>
  <si>
    <t>13-JULI</t>
  </si>
  <si>
    <t>14-JULI</t>
  </si>
  <si>
    <t>15-JULI</t>
  </si>
  <si>
    <t>KARTU KREDIT BANK MEGA</t>
  </si>
  <si>
    <t>16-JULI</t>
  </si>
  <si>
    <t>.</t>
  </si>
  <si>
    <t>18-JULI</t>
  </si>
  <si>
    <t>19-JULI</t>
  </si>
  <si>
    <t>20-JULI</t>
  </si>
  <si>
    <t>TF KE RIKA AFRIYANTI</t>
  </si>
  <si>
    <t>21-JULI</t>
  </si>
  <si>
    <t>22-JULI</t>
  </si>
  <si>
    <t>23-JULI</t>
  </si>
  <si>
    <t>24-JULI</t>
  </si>
  <si>
    <t>25-JULI</t>
  </si>
  <si>
    <t>26-JULI</t>
  </si>
  <si>
    <t>27-JULI</t>
  </si>
  <si>
    <t>28-JULI</t>
  </si>
  <si>
    <t>BAYAR CCTV</t>
  </si>
  <si>
    <t>29-JULI</t>
  </si>
  <si>
    <t>ULTAH INARA</t>
  </si>
  <si>
    <t>30-JULI</t>
  </si>
  <si>
    <t>30-JILI</t>
  </si>
  <si>
    <t>31-JULI</t>
  </si>
  <si>
    <t>BELI KACA FILM VKOOL</t>
  </si>
  <si>
    <t>TF KE ALDRIN ABDI</t>
  </si>
  <si>
    <t>BG YAN BROBAT</t>
  </si>
  <si>
    <t>TF KE YUSUF/ORCA</t>
  </si>
  <si>
    <t>1-AGUSTUS</t>
  </si>
  <si>
    <t>2-AGUSTUS</t>
  </si>
  <si>
    <t>3-AGUSTUS</t>
  </si>
  <si>
    <t>BYR UTANG PAK ERIK</t>
  </si>
  <si>
    <t>4-AGUSTUS</t>
  </si>
  <si>
    <t>TF KE RIKO PUTRA/FEE</t>
  </si>
  <si>
    <t>5-AGUSTUS</t>
  </si>
  <si>
    <t>TF KE ADAM ACC/OVER FENDER</t>
  </si>
  <si>
    <t>6-AGUSTUS</t>
  </si>
  <si>
    <t>7-AGUSTUS</t>
  </si>
  <si>
    <t>8-AGUSTUS</t>
  </si>
  <si>
    <t>TF KE AGUNG AULIA/FEE SLS</t>
  </si>
  <si>
    <t>9-AGUSTUS</t>
  </si>
  <si>
    <t>10-AGUSTUS</t>
  </si>
  <si>
    <t>11-AGUSTUS</t>
  </si>
  <si>
    <t>UKS FARIZ</t>
  </si>
  <si>
    <t>NIRAM</t>
  </si>
  <si>
    <t>BANK MEGA</t>
  </si>
  <si>
    <t>ANDI</t>
  </si>
  <si>
    <t>INDO DANA</t>
  </si>
  <si>
    <t>SEKOLAH INARA</t>
  </si>
  <si>
    <t>12-AGUSTUS</t>
  </si>
  <si>
    <t>13-AGUSTUS</t>
  </si>
  <si>
    <t>15-AGUSTUS</t>
  </si>
  <si>
    <t>14-AGUSTUS</t>
  </si>
  <si>
    <t>16-AGUSTUS</t>
  </si>
  <si>
    <t>17-AGUSTUS</t>
  </si>
  <si>
    <t>18-AGUSTUS</t>
  </si>
  <si>
    <t>19-AGUSTUS</t>
  </si>
  <si>
    <t>BYR KUR MANDIRI</t>
  </si>
  <si>
    <t>20-AGUSTUS</t>
  </si>
  <si>
    <t>21-AGUSTUS</t>
  </si>
  <si>
    <t>FEE SLS DEDI</t>
  </si>
  <si>
    <t>22-AGUSTUS</t>
  </si>
  <si>
    <t>23-AGUSTUS</t>
  </si>
  <si>
    <t>24-AGUSTUS</t>
  </si>
  <si>
    <t>25-AGUSTUS</t>
  </si>
  <si>
    <t>26-AGUSTUS</t>
  </si>
  <si>
    <t>27-AGUSTUS</t>
  </si>
  <si>
    <t>28-AGUSTUS</t>
  </si>
  <si>
    <t>BAYAR GIRO</t>
  </si>
  <si>
    <t>29-AGUSTUS</t>
  </si>
  <si>
    <t>30-AGUSTUS</t>
  </si>
  <si>
    <t>31-AGUSTUS</t>
  </si>
  <si>
    <t>FEE SURYA</t>
  </si>
  <si>
    <t>BELI STICKER</t>
  </si>
  <si>
    <t>TF KE YAN FARIZON/GIRO</t>
  </si>
  <si>
    <t>FEE SALES FAULY BUDIMAN</t>
  </si>
  <si>
    <t>TRANSFER KE FIRMAN</t>
  </si>
  <si>
    <t>TF KE INDODANA</t>
  </si>
  <si>
    <t>TF KE SUSANDRA/MANDIRI</t>
  </si>
  <si>
    <t>4-SEO</t>
  </si>
  <si>
    <t>KACAMATA</t>
  </si>
  <si>
    <t>TF KE DIMAS/FEE</t>
  </si>
  <si>
    <t>TF KE AYDA/BELI KARPET 7D</t>
  </si>
  <si>
    <t>TRF KE RIKA AFRIYANTI</t>
  </si>
  <si>
    <t>TF KE DONI S</t>
  </si>
  <si>
    <t>SASA</t>
  </si>
  <si>
    <t>TAMBAHAN BIAYA BYG YAN</t>
  </si>
  <si>
    <t xml:space="preserve">ASURANSI INARA </t>
  </si>
  <si>
    <t>BANK M,EGA</t>
  </si>
  <si>
    <t>TF KE ANDI KUNCORO</t>
  </si>
  <si>
    <t>TF KE GREAT OTOMOTIF</t>
  </si>
  <si>
    <t>BAYAR NI RAM</t>
  </si>
  <si>
    <t>BYR BUNGA BANK</t>
  </si>
  <si>
    <t>1-OKT</t>
  </si>
  <si>
    <t>2-OKT</t>
  </si>
  <si>
    <t>3-OKT</t>
  </si>
  <si>
    <t>TF KE FIRMAN/BERAS</t>
  </si>
  <si>
    <t>4-OKT</t>
  </si>
  <si>
    <t>5-OKT</t>
  </si>
  <si>
    <t>6-OKT</t>
  </si>
  <si>
    <t>7-okt</t>
  </si>
  <si>
    <t>8-OKT</t>
  </si>
  <si>
    <t>BELI HAIR DRIYER</t>
  </si>
  <si>
    <t>9-OKT</t>
  </si>
  <si>
    <t>10-OKT</t>
  </si>
  <si>
    <t>11-OKT</t>
  </si>
  <si>
    <t>12-OKT</t>
  </si>
  <si>
    <t>13-OKT</t>
  </si>
  <si>
    <t>14-OKT</t>
  </si>
  <si>
    <t>15-OKT</t>
  </si>
  <si>
    <t>16-OKT</t>
  </si>
  <si>
    <t>UAMG LES INARA</t>
  </si>
  <si>
    <t>17-OKT</t>
  </si>
  <si>
    <t>18-OKT</t>
  </si>
  <si>
    <t>19-OKT</t>
  </si>
  <si>
    <t>20-OKT</t>
  </si>
  <si>
    <t>FEE RIDHO</t>
  </si>
  <si>
    <t>21-OKT</t>
  </si>
  <si>
    <t>22-OKT</t>
  </si>
  <si>
    <t>23-OKT</t>
  </si>
  <si>
    <t>TF KE JKI</t>
  </si>
  <si>
    <t>BUNGA BANK</t>
  </si>
  <si>
    <t>GIRO</t>
  </si>
  <si>
    <t>25-OKT</t>
  </si>
  <si>
    <t>TF MADICO</t>
  </si>
  <si>
    <t>24-OKT</t>
  </si>
  <si>
    <t>26-OKT</t>
  </si>
  <si>
    <t>27-OKT</t>
  </si>
  <si>
    <t>28-OKT</t>
  </si>
  <si>
    <t>FEE RANDI</t>
  </si>
  <si>
    <t>29-OKT</t>
  </si>
  <si>
    <t>TF KE NURMAI</t>
  </si>
  <si>
    <t>30-OKT</t>
  </si>
  <si>
    <t>31-OKT</t>
  </si>
  <si>
    <t>TF KE FIRMAN</t>
  </si>
  <si>
    <t>SERVICE AC</t>
  </si>
  <si>
    <t>FEE TARI</t>
  </si>
  <si>
    <t>FEE YOCEF</t>
  </si>
  <si>
    <t>LAPORAN BULAN JANUARI 2026</t>
  </si>
  <si>
    <t>METEK</t>
  </si>
  <si>
    <t>TF KE VENTE</t>
  </si>
  <si>
    <t>TF KE AKHON</t>
  </si>
  <si>
    <t>TF KE LEO/JSL</t>
  </si>
  <si>
    <t>BANK NAGARI</t>
  </si>
  <si>
    <t>TF KE ANDI/MINANG</t>
  </si>
  <si>
    <t>BYR GIRO IRWAN</t>
  </si>
  <si>
    <t>BELI ROOLBAR/ADAM</t>
  </si>
  <si>
    <t>FEE PUTRI</t>
  </si>
  <si>
    <t>ALBANI</t>
  </si>
  <si>
    <t>1-DES</t>
  </si>
  <si>
    <t>ILHAM</t>
  </si>
  <si>
    <t>3-DES</t>
  </si>
  <si>
    <t>2-DES</t>
  </si>
  <si>
    <t>4-DES</t>
  </si>
  <si>
    <t>5-DES</t>
  </si>
  <si>
    <t>6-DES</t>
  </si>
  <si>
    <t>7-DES</t>
  </si>
  <si>
    <t>BELI MINYAK 3M</t>
  </si>
  <si>
    <t>KEMBALIKAN UANG ROHAM</t>
  </si>
  <si>
    <t>8-DES</t>
  </si>
  <si>
    <t>9-DES</t>
  </si>
  <si>
    <t>10-DES</t>
  </si>
  <si>
    <t>11-DES</t>
  </si>
  <si>
    <t>12-DES</t>
  </si>
  <si>
    <t>13-DES</t>
  </si>
  <si>
    <t>14-DES</t>
  </si>
  <si>
    <t>15-DES</t>
  </si>
  <si>
    <t>16-DES</t>
  </si>
  <si>
    <t>17-DES</t>
  </si>
  <si>
    <t>18-DES</t>
  </si>
  <si>
    <t>19-DES</t>
  </si>
  <si>
    <t>19--DES</t>
  </si>
  <si>
    <t>20-DES</t>
  </si>
  <si>
    <t>TF KE VICTORY GOLD</t>
  </si>
  <si>
    <t>TF KE ERIK</t>
  </si>
  <si>
    <t>21-DES</t>
  </si>
  <si>
    <t>22-DES</t>
  </si>
  <si>
    <t>23-DES</t>
  </si>
  <si>
    <t>EPI PINJAM</t>
  </si>
  <si>
    <t>24-DES</t>
  </si>
  <si>
    <t>PEGASUS</t>
  </si>
  <si>
    <t>BUNGA BANK/NAGARI</t>
  </si>
  <si>
    <t>25-DES</t>
  </si>
  <si>
    <t>26-DES</t>
  </si>
  <si>
    <t>27-DES</t>
  </si>
  <si>
    <t>28-DES</t>
  </si>
  <si>
    <t>29-DES</t>
  </si>
  <si>
    <t>30-DES</t>
  </si>
  <si>
    <t>31-DES</t>
  </si>
  <si>
    <t>25-des</t>
  </si>
  <si>
    <t>FEE ZUGENG</t>
  </si>
  <si>
    <t>BELI PLANG PAJERO/TRUNKLIC BLKG</t>
  </si>
  <si>
    <t>TF KE AKRI/ADAM</t>
  </si>
  <si>
    <t>FEE ADE CANDRA</t>
  </si>
</sst>
</file>

<file path=xl/styles.xml><?xml version="1.0" encoding="utf-8"?>
<styleSheet xmlns="http://schemas.openxmlformats.org/spreadsheetml/2006/main">
  <numFmts count="4">
    <numFmt numFmtId="164" formatCode="_-&quot;£&quot;* #,##0_-;\-&quot;£&quot;* #,##0_-;_-&quot;£&quot;* &quot;-&quot;_-;_-@_-"/>
    <numFmt numFmtId="165" formatCode="_-* #,##0.00_-;\-* #,##0.00_-;_-* &quot;-&quot;??_-;_-@_-"/>
    <numFmt numFmtId="166" formatCode="_(&quot;Rp&quot;* #,##0_);_(&quot;Rp&quot;* \(#,##0\);_(&quot;Rp&quot;* &quot;-&quot;_);_(@_)"/>
    <numFmt numFmtId="167" formatCode="dd/mm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charset val="1"/>
      <scheme val="minor"/>
    </font>
    <font>
      <b/>
      <u/>
      <sz val="1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charset val="1"/>
      <scheme val="minor"/>
    </font>
    <font>
      <b/>
      <sz val="12"/>
      <color rgb="FFC00000"/>
      <name val="Calibri"/>
      <family val="2"/>
      <scheme val="minor"/>
    </font>
    <font>
      <u/>
      <sz val="11"/>
      <name val="Calibri"/>
      <family val="2"/>
      <charset val="1"/>
      <scheme val="minor"/>
    </font>
    <font>
      <b/>
      <u val="singleAccounting"/>
      <sz val="12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/>
    <xf numFmtId="0" fontId="1" fillId="0" borderId="0" xfId="21"/>
    <xf numFmtId="166" fontId="6" fillId="0" borderId="0" xfId="22" applyNumberFormat="1" applyFont="1" applyFill="1" applyBorder="1" applyAlignment="1">
      <alignment horizontal="center" vertical="center" wrapText="1"/>
    </xf>
    <xf numFmtId="166" fontId="7" fillId="0" borderId="0" xfId="22" applyNumberFormat="1" applyFont="1" applyFill="1" applyAlignment="1">
      <alignment horizontal="center" vertical="center"/>
    </xf>
    <xf numFmtId="0" fontId="8" fillId="0" borderId="0" xfId="21" applyFont="1" applyFill="1" applyAlignment="1"/>
    <xf numFmtId="166" fontId="7" fillId="0" borderId="0" xfId="21" applyNumberFormat="1" applyFont="1" applyFill="1"/>
    <xf numFmtId="166" fontId="7" fillId="0" borderId="0" xfId="22" applyNumberFormat="1" applyFont="1" applyFill="1"/>
    <xf numFmtId="166" fontId="6" fillId="2" borderId="6" xfId="22" applyNumberFormat="1" applyFont="1" applyFill="1" applyBorder="1" applyAlignment="1">
      <alignment horizontal="center" vertical="center"/>
    </xf>
    <xf numFmtId="167" fontId="7" fillId="0" borderId="6" xfId="21" applyNumberFormat="1" applyFont="1" applyFill="1" applyBorder="1" applyAlignment="1">
      <alignment horizontal="center"/>
    </xf>
    <xf numFmtId="166" fontId="7" fillId="0" borderId="6" xfId="21" applyNumberFormat="1" applyFont="1" applyFill="1" applyBorder="1" applyAlignment="1">
      <alignment horizontal="center"/>
    </xf>
    <xf numFmtId="166" fontId="7" fillId="0" borderId="6" xfId="22" applyNumberFormat="1" applyFont="1" applyFill="1" applyBorder="1" applyAlignment="1">
      <alignment horizontal="center"/>
    </xf>
    <xf numFmtId="16" fontId="7" fillId="0" borderId="6" xfId="21" applyNumberFormat="1" applyFont="1" applyFill="1" applyBorder="1" applyAlignment="1">
      <alignment horizontal="center" vertical="center"/>
    </xf>
    <xf numFmtId="166" fontId="7" fillId="0" borderId="6" xfId="22" applyNumberFormat="1" applyFont="1" applyFill="1" applyBorder="1" applyAlignment="1">
      <alignment horizontal="center" vertical="center"/>
    </xf>
    <xf numFmtId="166" fontId="7" fillId="0" borderId="0" xfId="22" applyNumberFormat="1" applyFont="1" applyFill="1" applyBorder="1" applyAlignment="1">
      <alignment horizontal="center" vertical="center"/>
    </xf>
    <xf numFmtId="0" fontId="7" fillId="0" borderId="6" xfId="21" applyFont="1" applyFill="1" applyBorder="1" applyAlignment="1">
      <alignment horizontal="left" vertical="center" wrapText="1"/>
    </xf>
    <xf numFmtId="166" fontId="4" fillId="0" borderId="6" xfId="22" applyNumberFormat="1" applyFont="1" applyFill="1" applyBorder="1" applyAlignment="1">
      <alignment wrapText="1"/>
    </xf>
    <xf numFmtId="166" fontId="7" fillId="0" borderId="0" xfId="22" applyNumberFormat="1" applyFont="1" applyFill="1" applyAlignment="1">
      <alignment horizontal="right" vertical="center" wrapText="1"/>
    </xf>
    <xf numFmtId="16" fontId="7" fillId="0" borderId="6" xfId="21" applyNumberFormat="1" applyFont="1" applyFill="1" applyBorder="1" applyAlignment="1">
      <alignment horizontal="center" vertical="center" wrapText="1"/>
    </xf>
    <xf numFmtId="0" fontId="7" fillId="0" borderId="6" xfId="21" applyFont="1" applyFill="1" applyBorder="1" applyAlignment="1">
      <alignment horizontal="left" vertical="center"/>
    </xf>
    <xf numFmtId="166" fontId="7" fillId="0" borderId="0" xfId="22" applyNumberFormat="1" applyFont="1" applyFill="1" applyAlignment="1">
      <alignment vertical="center"/>
    </xf>
    <xf numFmtId="0" fontId="7" fillId="0" borderId="6" xfId="21" applyFont="1" applyFill="1" applyBorder="1" applyAlignment="1">
      <alignment vertical="center" wrapText="1"/>
    </xf>
    <xf numFmtId="166" fontId="7" fillId="0" borderId="0" xfId="22" applyNumberFormat="1" applyFont="1" applyFill="1" applyBorder="1" applyAlignment="1">
      <alignment horizontal="left" vertical="center"/>
    </xf>
    <xf numFmtId="0" fontId="7" fillId="0" borderId="6" xfId="21" applyFont="1" applyFill="1" applyBorder="1" applyAlignment="1">
      <alignment wrapText="1"/>
    </xf>
    <xf numFmtId="0" fontId="1" fillId="0" borderId="0" xfId="21" applyFill="1" applyAlignment="1"/>
    <xf numFmtId="16" fontId="7" fillId="0" borderId="6" xfId="21" applyNumberFormat="1" applyFont="1" applyFill="1" applyBorder="1" applyAlignment="1">
      <alignment horizontal="center"/>
    </xf>
    <xf numFmtId="0" fontId="1" fillId="0" borderId="0" xfId="21" applyAlignment="1"/>
    <xf numFmtId="0" fontId="1" fillId="0" borderId="0" xfId="21" applyFill="1"/>
    <xf numFmtId="0" fontId="7" fillId="0" borderId="6" xfId="21" applyFont="1" applyFill="1" applyBorder="1"/>
    <xf numFmtId="0" fontId="1" fillId="0" borderId="0" xfId="21" applyFill="1" applyAlignment="1">
      <alignment wrapText="1"/>
    </xf>
    <xf numFmtId="16" fontId="7" fillId="0" borderId="6" xfId="21" applyNumberFormat="1" applyFont="1" applyFill="1" applyBorder="1" applyAlignment="1">
      <alignment horizontal="center" wrapText="1"/>
    </xf>
    <xf numFmtId="166" fontId="4" fillId="0" borderId="0" xfId="22" applyNumberFormat="1" applyFont="1" applyFill="1" applyBorder="1" applyAlignment="1">
      <alignment horizontal="center" vertical="center"/>
    </xf>
    <xf numFmtId="16" fontId="7" fillId="0" borderId="6" xfId="21" applyNumberFormat="1" applyFont="1" applyFill="1" applyBorder="1" applyAlignment="1">
      <alignment vertical="center"/>
    </xf>
    <xf numFmtId="167" fontId="7" fillId="0" borderId="0" xfId="21" applyNumberFormat="1" applyFont="1" applyFill="1" applyAlignment="1"/>
    <xf numFmtId="14" fontId="7" fillId="0" borderId="0" xfId="21" applyNumberFormat="1" applyFont="1" applyFill="1"/>
    <xf numFmtId="166" fontId="6" fillId="0" borderId="0" xfId="22" applyNumberFormat="1" applyFont="1" applyFill="1"/>
    <xf numFmtId="0" fontId="2" fillId="0" borderId="0" xfId="21" applyFont="1" applyFill="1"/>
    <xf numFmtId="0" fontId="7" fillId="0" borderId="0" xfId="21" applyFont="1" applyFill="1" applyAlignment="1"/>
    <xf numFmtId="0" fontId="10" fillId="0" borderId="0" xfId="21" applyFont="1" applyFill="1"/>
    <xf numFmtId="166" fontId="11" fillId="0" borderId="0" xfId="22" applyNumberFormat="1" applyFont="1" applyFill="1"/>
    <xf numFmtId="0" fontId="7" fillId="0" borderId="0" xfId="21" applyFont="1" applyFill="1"/>
    <xf numFmtId="166" fontId="13" fillId="0" borderId="0" xfId="22" applyNumberFormat="1" applyFont="1" applyFill="1"/>
    <xf numFmtId="166" fontId="2" fillId="0" borderId="6" xfId="22" applyNumberFormat="1" applyFont="1" applyBorder="1" applyAlignment="1">
      <alignment horizontal="center" vertical="center"/>
    </xf>
    <xf numFmtId="0" fontId="7" fillId="0" borderId="6" xfId="21" applyFont="1" applyFill="1" applyBorder="1" applyAlignment="1">
      <alignment vertical="center"/>
    </xf>
    <xf numFmtId="0" fontId="7" fillId="0" borderId="6" xfId="21" applyFont="1" applyFill="1" applyBorder="1" applyAlignment="1">
      <alignment horizontal="left" wrapText="1"/>
    </xf>
    <xf numFmtId="166" fontId="4" fillId="0" borderId="6" xfId="22" applyNumberFormat="1" applyFont="1" applyFill="1" applyBorder="1" applyAlignment="1">
      <alignment vertical="center" wrapText="1"/>
    </xf>
    <xf numFmtId="16" fontId="7" fillId="3" borderId="6" xfId="21" applyNumberFormat="1" applyFont="1" applyFill="1" applyBorder="1" applyAlignment="1">
      <alignment horizontal="center" vertical="center"/>
    </xf>
    <xf numFmtId="166" fontId="7" fillId="3" borderId="6" xfId="22" applyNumberFormat="1" applyFont="1" applyFill="1" applyBorder="1" applyAlignment="1">
      <alignment horizontal="center" vertical="center"/>
    </xf>
    <xf numFmtId="166" fontId="7" fillId="3" borderId="0" xfId="22" applyNumberFormat="1" applyFont="1" applyFill="1" applyBorder="1" applyAlignment="1">
      <alignment horizontal="center" vertical="center"/>
    </xf>
    <xf numFmtId="166" fontId="7" fillId="3" borderId="0" xfId="22" applyNumberFormat="1" applyFont="1" applyFill="1" applyBorder="1" applyAlignment="1">
      <alignment horizontal="left" vertical="center"/>
    </xf>
    <xf numFmtId="166" fontId="14" fillId="3" borderId="6" xfId="22" applyNumberFormat="1" applyFont="1" applyFill="1" applyBorder="1" applyAlignment="1">
      <alignment horizontal="center" vertical="center"/>
    </xf>
    <xf numFmtId="166" fontId="7" fillId="6" borderId="6" xfId="22" applyNumberFormat="1" applyFont="1" applyFill="1" applyBorder="1" applyAlignment="1">
      <alignment horizontal="center" vertical="center"/>
    </xf>
    <xf numFmtId="166" fontId="14" fillId="6" borderId="6" xfId="22" applyNumberFormat="1" applyFont="1" applyFill="1" applyBorder="1" applyAlignment="1">
      <alignment horizontal="center" vertical="center"/>
    </xf>
    <xf numFmtId="166" fontId="7" fillId="5" borderId="6" xfId="22" applyNumberFormat="1" applyFont="1" applyFill="1" applyBorder="1" applyAlignment="1">
      <alignment horizontal="center" vertical="center"/>
    </xf>
    <xf numFmtId="166" fontId="14" fillId="5" borderId="6" xfId="22" applyNumberFormat="1" applyFont="1" applyFill="1" applyBorder="1" applyAlignment="1">
      <alignment horizontal="center" vertical="center"/>
    </xf>
    <xf numFmtId="166" fontId="7" fillId="4" borderId="6" xfId="22" applyNumberFormat="1" applyFont="1" applyFill="1" applyBorder="1" applyAlignment="1">
      <alignment horizontal="center" vertical="center"/>
    </xf>
    <xf numFmtId="166" fontId="14" fillId="4" borderId="6" xfId="22" applyNumberFormat="1" applyFont="1" applyFill="1" applyBorder="1" applyAlignment="1">
      <alignment horizontal="center" vertical="center"/>
    </xf>
    <xf numFmtId="166" fontId="6" fillId="6" borderId="0" xfId="22" applyNumberFormat="1" applyFont="1" applyFill="1"/>
    <xf numFmtId="166" fontId="11" fillId="5" borderId="0" xfId="22" applyNumberFormat="1" applyFont="1" applyFill="1"/>
    <xf numFmtId="166" fontId="9" fillId="5" borderId="6" xfId="22" applyNumberFormat="1" applyFont="1" applyFill="1" applyBorder="1" applyAlignment="1">
      <alignment vertical="center"/>
    </xf>
    <xf numFmtId="0" fontId="0" fillId="0" borderId="6" xfId="21" applyFont="1" applyBorder="1"/>
    <xf numFmtId="16" fontId="0" fillId="0" borderId="6" xfId="21" applyNumberFormat="1" applyFont="1" applyBorder="1" applyAlignment="1">
      <alignment horizontal="center"/>
    </xf>
    <xf numFmtId="166" fontId="6" fillId="2" borderId="4" xfId="22" applyNumberFormat="1" applyFont="1" applyFill="1" applyBorder="1" applyAlignment="1">
      <alignment horizontal="center" vertical="center"/>
    </xf>
    <xf numFmtId="166" fontId="1" fillId="0" borderId="0" xfId="21" applyNumberFormat="1"/>
    <xf numFmtId="16" fontId="14" fillId="3" borderId="6" xfId="21" applyNumberFormat="1" applyFont="1" applyFill="1" applyBorder="1" applyAlignment="1">
      <alignment vertical="center"/>
    </xf>
    <xf numFmtId="166" fontId="14" fillId="3" borderId="6" xfId="22" applyNumberFormat="1" applyFont="1" applyFill="1" applyBorder="1" applyAlignment="1">
      <alignment vertical="center"/>
    </xf>
    <xf numFmtId="16" fontId="7" fillId="7" borderId="6" xfId="21" applyNumberFormat="1" applyFont="1" applyFill="1" applyBorder="1" applyAlignment="1">
      <alignment horizontal="center" vertical="center"/>
    </xf>
    <xf numFmtId="166" fontId="7" fillId="7" borderId="6" xfId="22" applyNumberFormat="1" applyFont="1" applyFill="1" applyBorder="1" applyAlignment="1">
      <alignment horizontal="center" vertical="center"/>
    </xf>
    <xf numFmtId="16" fontId="7" fillId="7" borderId="6" xfId="21" applyNumberFormat="1" applyFont="1" applyFill="1" applyBorder="1" applyAlignment="1">
      <alignment horizontal="center"/>
    </xf>
    <xf numFmtId="0" fontId="7" fillId="7" borderId="6" xfId="21" applyFont="1" applyFill="1" applyBorder="1"/>
    <xf numFmtId="166" fontId="4" fillId="7" borderId="6" xfId="22" applyNumberFormat="1" applyFont="1" applyFill="1" applyBorder="1" applyAlignment="1">
      <alignment wrapText="1"/>
    </xf>
    <xf numFmtId="0" fontId="7" fillId="7" borderId="6" xfId="21" applyFont="1" applyFill="1" applyBorder="1" applyAlignment="1">
      <alignment horizontal="left" vertical="center"/>
    </xf>
    <xf numFmtId="16" fontId="0" fillId="7" borderId="6" xfId="21" applyNumberFormat="1" applyFont="1" applyFill="1" applyBorder="1" applyAlignment="1">
      <alignment horizontal="center"/>
    </xf>
    <xf numFmtId="0" fontId="0" fillId="7" borderId="6" xfId="21" applyFont="1" applyFill="1" applyBorder="1"/>
    <xf numFmtId="0" fontId="7" fillId="7" borderId="6" xfId="21" applyFont="1" applyFill="1" applyBorder="1" applyAlignment="1">
      <alignment wrapText="1"/>
    </xf>
    <xf numFmtId="166" fontId="6" fillId="2" borderId="4" xfId="22" applyNumberFormat="1" applyFont="1" applyFill="1" applyBorder="1" applyAlignment="1">
      <alignment horizontal="center" vertical="center"/>
    </xf>
    <xf numFmtId="16" fontId="7" fillId="8" borderId="6" xfId="21" applyNumberFormat="1" applyFont="1" applyFill="1" applyBorder="1" applyAlignment="1">
      <alignment horizontal="center" vertical="center"/>
    </xf>
    <xf numFmtId="166" fontId="7" fillId="8" borderId="6" xfId="22" applyNumberFormat="1" applyFont="1" applyFill="1" applyBorder="1" applyAlignment="1">
      <alignment horizontal="center" vertical="center"/>
    </xf>
    <xf numFmtId="166" fontId="6" fillId="2" borderId="2" xfId="22" applyNumberFormat="1" applyFont="1" applyFill="1" applyBorder="1" applyAlignment="1">
      <alignment horizontal="center" vertical="center" wrapText="1"/>
    </xf>
    <xf numFmtId="166" fontId="6" fillId="2" borderId="5" xfId="22" applyNumberFormat="1" applyFont="1" applyFill="1" applyBorder="1" applyAlignment="1">
      <alignment horizontal="center" vertical="center" wrapText="1"/>
    </xf>
    <xf numFmtId="0" fontId="12" fillId="0" borderId="0" xfId="21" applyFont="1" applyFill="1" applyAlignment="1">
      <alignment horizontal="center"/>
    </xf>
    <xf numFmtId="0" fontId="5" fillId="0" borderId="0" xfId="21" applyFont="1" applyAlignment="1">
      <alignment horizontal="left" vertical="center"/>
    </xf>
    <xf numFmtId="0" fontId="1" fillId="0" borderId="0" xfId="21" applyAlignment="1">
      <alignment horizontal="left" vertical="center"/>
    </xf>
    <xf numFmtId="0" fontId="1" fillId="0" borderId="1" xfId="21" applyBorder="1" applyAlignment="1">
      <alignment horizontal="left" vertical="center"/>
    </xf>
    <xf numFmtId="0" fontId="6" fillId="2" borderId="2" xfId="21" applyFont="1" applyFill="1" applyBorder="1" applyAlignment="1">
      <alignment horizontal="center" vertical="center"/>
    </xf>
    <xf numFmtId="0" fontId="6" fillId="2" borderId="5" xfId="21" applyFont="1" applyFill="1" applyBorder="1" applyAlignment="1">
      <alignment horizontal="center" vertical="center"/>
    </xf>
    <xf numFmtId="166" fontId="6" fillId="2" borderId="3" xfId="22" applyNumberFormat="1" applyFont="1" applyFill="1" applyBorder="1" applyAlignment="1">
      <alignment horizontal="center" vertical="center"/>
    </xf>
    <xf numFmtId="166" fontId="6" fillId="2" borderId="4" xfId="22" applyNumberFormat="1" applyFont="1" applyFill="1" applyBorder="1" applyAlignment="1">
      <alignment horizontal="center" vertical="center"/>
    </xf>
    <xf numFmtId="166" fontId="6" fillId="2" borderId="2" xfId="22" applyNumberFormat="1" applyFont="1" applyFill="1" applyBorder="1" applyAlignment="1">
      <alignment horizontal="center" vertical="center"/>
    </xf>
    <xf numFmtId="166" fontId="6" fillId="2" borderId="5" xfId="22" applyNumberFormat="1" applyFont="1" applyFill="1" applyBorder="1" applyAlignment="1">
      <alignment horizontal="center" vertical="center"/>
    </xf>
  </cellXfs>
  <cellStyles count="23">
    <cellStyle name="Comma 10" xfId="18"/>
    <cellStyle name="Currency [0] 10" xfId="17"/>
    <cellStyle name="Currency [0] 11" xfId="20"/>
    <cellStyle name="Currency [0] 12" xfId="22"/>
    <cellStyle name="Currency [0] 2" xfId="3"/>
    <cellStyle name="Currency [0] 3" xfId="5"/>
    <cellStyle name="Currency [0] 4" xfId="7"/>
    <cellStyle name="Currency [0] 5" xfId="9"/>
    <cellStyle name="Currency [0] 8" xfId="13"/>
    <cellStyle name="Currency [0] 9" xfId="15"/>
    <cellStyle name="Normal" xfId="0" builtinId="0"/>
    <cellStyle name="Normal 10" xfId="16"/>
    <cellStyle name="Normal 11" xfId="19"/>
    <cellStyle name="Normal 12" xfId="21"/>
    <cellStyle name="Normal 13" xfId="1"/>
    <cellStyle name="Normal 2" xfId="2"/>
    <cellStyle name="Normal 3" xfId="4"/>
    <cellStyle name="Normal 4" xfId="6"/>
    <cellStyle name="Normal 5" xfId="8"/>
    <cellStyle name="Normal 6" xfId="10"/>
    <cellStyle name="Normal 7" xfId="11"/>
    <cellStyle name="Normal 8" xfId="12"/>
    <cellStyle name="Normal 9" xfId="1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53"/>
  <sheetViews>
    <sheetView topLeftCell="C28" workbookViewId="0">
      <selection activeCell="G54" sqref="G54"/>
    </sheetView>
  </sheetViews>
  <sheetFormatPr defaultRowHeight="15"/>
  <cols>
    <col min="1" max="1" width="8.42578125" customWidth="1"/>
    <col min="2" max="2" width="21" customWidth="1"/>
    <col min="3" max="3" width="20" customWidth="1"/>
    <col min="4" max="4" width="19.85546875" customWidth="1"/>
    <col min="5" max="5" width="19.140625" customWidth="1"/>
    <col min="6" max="6" width="19.85546875" customWidth="1"/>
    <col min="7" max="7" width="18.5703125" customWidth="1"/>
    <col min="11" max="11" width="30.42578125" customWidth="1"/>
    <col min="12" max="12" width="18.42578125" customWidth="1"/>
  </cols>
  <sheetData>
    <row r="2" spans="1:13">
      <c r="A2" s="81" t="s">
        <v>22</v>
      </c>
      <c r="B2" s="82"/>
      <c r="C2" s="82"/>
      <c r="D2" s="82"/>
      <c r="E2" s="82"/>
      <c r="F2" s="2"/>
      <c r="G2" s="2"/>
      <c r="H2" s="2"/>
      <c r="I2" s="2"/>
      <c r="J2" s="2"/>
      <c r="K2" s="2"/>
      <c r="L2" s="2"/>
      <c r="M2" s="1"/>
    </row>
    <row r="3" spans="1:13" ht="15" customHeight="1">
      <c r="A3" s="83"/>
      <c r="B3" s="83"/>
      <c r="C3" s="83"/>
      <c r="D3" s="83"/>
      <c r="E3" s="83"/>
      <c r="F3" s="2"/>
      <c r="G3" s="2"/>
      <c r="H3" s="2"/>
      <c r="I3" s="2"/>
      <c r="J3" s="2"/>
      <c r="K3" s="2"/>
      <c r="L3" s="2"/>
      <c r="M3" s="1"/>
    </row>
    <row r="4" spans="1:13" ht="15.75">
      <c r="A4" s="84" t="s">
        <v>0</v>
      </c>
      <c r="B4" s="86" t="s">
        <v>1</v>
      </c>
      <c r="C4" s="87"/>
      <c r="D4" s="88" t="s">
        <v>2</v>
      </c>
      <c r="E4" s="78" t="s">
        <v>3</v>
      </c>
      <c r="F4" s="88" t="s">
        <v>4</v>
      </c>
      <c r="G4" s="78" t="s">
        <v>5</v>
      </c>
      <c r="H4" s="3"/>
      <c r="I4" s="4"/>
      <c r="J4" s="5" t="s">
        <v>6</v>
      </c>
      <c r="K4" s="6"/>
      <c r="L4" s="7"/>
      <c r="M4" s="1"/>
    </row>
    <row r="5" spans="1:13" ht="15.75" customHeight="1">
      <c r="A5" s="85"/>
      <c r="B5" s="8" t="s">
        <v>7</v>
      </c>
      <c r="C5" s="62" t="s">
        <v>8</v>
      </c>
      <c r="D5" s="89"/>
      <c r="E5" s="79"/>
      <c r="F5" s="89"/>
      <c r="G5" s="79"/>
      <c r="H5" s="3"/>
      <c r="I5" s="4"/>
      <c r="J5" s="9" t="s">
        <v>0</v>
      </c>
      <c r="K5" s="10" t="s">
        <v>9</v>
      </c>
      <c r="L5" s="11" t="s">
        <v>10</v>
      </c>
      <c r="M5" s="1"/>
    </row>
    <row r="6" spans="1:13">
      <c r="A6" s="46"/>
      <c r="B6" s="47"/>
      <c r="C6" s="47"/>
      <c r="D6" s="51"/>
      <c r="E6" s="53"/>
      <c r="F6" s="47"/>
      <c r="G6" s="55">
        <f t="shared" ref="G6:G37" si="0">C6-E6</f>
        <v>0</v>
      </c>
      <c r="H6" s="48"/>
      <c r="I6" s="7"/>
      <c r="J6" s="61">
        <v>45660</v>
      </c>
      <c r="K6" s="60" t="s">
        <v>40</v>
      </c>
      <c r="L6" s="16">
        <v>850000</v>
      </c>
      <c r="M6" s="1"/>
    </row>
    <row r="7" spans="1:13">
      <c r="A7" s="12">
        <v>45659</v>
      </c>
      <c r="B7" s="13">
        <v>1350000</v>
      </c>
      <c r="C7" s="13">
        <v>7650000</v>
      </c>
      <c r="D7" s="51">
        <f>B7+C7</f>
        <v>9000000</v>
      </c>
      <c r="E7" s="53">
        <v>3085000</v>
      </c>
      <c r="F7" s="13">
        <f t="shared" ref="F7:F37" si="1">D7-E7</f>
        <v>5915000</v>
      </c>
      <c r="G7" s="55">
        <f t="shared" si="0"/>
        <v>4565000</v>
      </c>
      <c r="H7" s="14"/>
      <c r="I7" s="17"/>
      <c r="J7" s="61">
        <v>45660</v>
      </c>
      <c r="K7" s="60" t="s">
        <v>41</v>
      </c>
      <c r="L7" s="16">
        <v>130000</v>
      </c>
      <c r="M7" s="1"/>
    </row>
    <row r="8" spans="1:13">
      <c r="A8" s="46">
        <v>45660</v>
      </c>
      <c r="B8" s="47">
        <v>7400000</v>
      </c>
      <c r="C8" s="47">
        <v>600000</v>
      </c>
      <c r="D8" s="51">
        <f>B8+C8</f>
        <v>8000000</v>
      </c>
      <c r="E8" s="53">
        <v>1700000</v>
      </c>
      <c r="F8" s="47">
        <f t="shared" si="1"/>
        <v>6300000</v>
      </c>
      <c r="G8" s="55">
        <f t="shared" si="0"/>
        <v>-1100000</v>
      </c>
      <c r="H8" s="14"/>
      <c r="I8" s="7"/>
      <c r="J8" s="18">
        <v>45661</v>
      </c>
      <c r="K8" s="19" t="s">
        <v>42</v>
      </c>
      <c r="L8" s="16">
        <v>1000000</v>
      </c>
      <c r="M8" s="1"/>
    </row>
    <row r="9" spans="1:13">
      <c r="A9" s="12">
        <v>45661</v>
      </c>
      <c r="B9" s="13">
        <v>1750000</v>
      </c>
      <c r="C9" s="13"/>
      <c r="D9" s="51">
        <f>B9+C9</f>
        <v>1750000</v>
      </c>
      <c r="E9" s="53">
        <v>1158000</v>
      </c>
      <c r="F9" s="47">
        <f t="shared" si="1"/>
        <v>592000</v>
      </c>
      <c r="G9" s="55">
        <f t="shared" si="0"/>
        <v>-1158000</v>
      </c>
      <c r="H9" s="14"/>
      <c r="I9" s="20"/>
      <c r="J9" s="18">
        <v>45663</v>
      </c>
      <c r="K9" s="43" t="s">
        <v>40</v>
      </c>
      <c r="L9" s="16">
        <v>600000</v>
      </c>
      <c r="M9" s="1"/>
    </row>
    <row r="10" spans="1:13">
      <c r="A10" s="12">
        <v>45662</v>
      </c>
      <c r="B10" s="13">
        <v>2700000</v>
      </c>
      <c r="C10" s="13">
        <v>1200000</v>
      </c>
      <c r="D10" s="51">
        <f>B10+C10</f>
        <v>3900000</v>
      </c>
      <c r="E10" s="53">
        <v>854000</v>
      </c>
      <c r="F10" s="47">
        <f t="shared" si="1"/>
        <v>3046000</v>
      </c>
      <c r="G10" s="55">
        <f t="shared" si="0"/>
        <v>346000</v>
      </c>
      <c r="H10" s="14"/>
      <c r="I10" s="20"/>
      <c r="J10" s="12">
        <v>45664</v>
      </c>
      <c r="K10" s="19" t="s">
        <v>42</v>
      </c>
      <c r="L10" s="16">
        <v>1500000</v>
      </c>
      <c r="M10" s="1"/>
    </row>
    <row r="11" spans="1:13">
      <c r="A11" s="12">
        <v>45663</v>
      </c>
      <c r="B11" s="13"/>
      <c r="C11" s="47">
        <v>300000</v>
      </c>
      <c r="D11" s="51">
        <f>B11+C11</f>
        <v>300000</v>
      </c>
      <c r="E11" s="53">
        <v>964000</v>
      </c>
      <c r="F11" s="13">
        <f t="shared" si="1"/>
        <v>-664000</v>
      </c>
      <c r="G11" s="55">
        <f t="shared" si="0"/>
        <v>-664000</v>
      </c>
      <c r="H11" s="14"/>
      <c r="I11" s="7"/>
      <c r="J11" s="12">
        <v>45670</v>
      </c>
      <c r="K11" s="15" t="s">
        <v>43</v>
      </c>
      <c r="L11" s="16">
        <v>1000000</v>
      </c>
      <c r="M11" s="1"/>
    </row>
    <row r="12" spans="1:13">
      <c r="A12" s="12">
        <v>45664</v>
      </c>
      <c r="B12" s="13">
        <v>2800000</v>
      </c>
      <c r="C12" s="13">
        <v>1140000</v>
      </c>
      <c r="D12" s="51">
        <f t="shared" ref="D12:D18" si="2">B12+C12</f>
        <v>3940000</v>
      </c>
      <c r="E12" s="53">
        <v>2647000</v>
      </c>
      <c r="F12" s="13">
        <f t="shared" si="1"/>
        <v>1293000</v>
      </c>
      <c r="G12" s="55">
        <f t="shared" si="0"/>
        <v>-1507000</v>
      </c>
      <c r="H12" s="14"/>
      <c r="I12" s="7"/>
      <c r="J12" s="12">
        <v>45672</v>
      </c>
      <c r="K12" s="23" t="s">
        <v>44</v>
      </c>
      <c r="L12" s="16">
        <v>1350000</v>
      </c>
      <c r="M12" s="1"/>
    </row>
    <row r="13" spans="1:13">
      <c r="A13" s="46">
        <v>45665</v>
      </c>
      <c r="B13" s="47">
        <v>250000</v>
      </c>
      <c r="C13" s="47">
        <v>1750000</v>
      </c>
      <c r="D13" s="51">
        <f t="shared" si="2"/>
        <v>2000000</v>
      </c>
      <c r="E13" s="53">
        <v>1710000</v>
      </c>
      <c r="F13" s="47">
        <f t="shared" si="1"/>
        <v>290000</v>
      </c>
      <c r="G13" s="55">
        <f t="shared" si="0"/>
        <v>40000</v>
      </c>
      <c r="H13" s="49"/>
      <c r="I13" s="7"/>
      <c r="J13" s="12">
        <v>45674</v>
      </c>
      <c r="K13" s="23" t="s">
        <v>45</v>
      </c>
      <c r="L13" s="16">
        <v>3500000</v>
      </c>
      <c r="M13" s="1"/>
    </row>
    <row r="14" spans="1:13">
      <c r="A14" s="12">
        <v>45666</v>
      </c>
      <c r="B14" s="13"/>
      <c r="C14" s="13">
        <v>1000000</v>
      </c>
      <c r="D14" s="51">
        <f t="shared" si="2"/>
        <v>1000000</v>
      </c>
      <c r="E14" s="53">
        <v>735000</v>
      </c>
      <c r="F14" s="13">
        <f t="shared" si="1"/>
        <v>265000</v>
      </c>
      <c r="G14" s="55">
        <f t="shared" si="0"/>
        <v>265000</v>
      </c>
      <c r="H14" s="22"/>
      <c r="I14" s="20"/>
      <c r="J14" s="25">
        <v>45675</v>
      </c>
      <c r="K14" s="44" t="s">
        <v>46</v>
      </c>
      <c r="L14" s="45">
        <v>2000000</v>
      </c>
      <c r="M14" s="1"/>
    </row>
    <row r="15" spans="1:13">
      <c r="A15" s="12">
        <v>45667</v>
      </c>
      <c r="B15" s="13"/>
      <c r="C15" s="13">
        <v>2600000</v>
      </c>
      <c r="D15" s="51">
        <f t="shared" si="2"/>
        <v>2600000</v>
      </c>
      <c r="E15" s="53">
        <v>1615000</v>
      </c>
      <c r="F15" s="13">
        <f t="shared" si="1"/>
        <v>985000</v>
      </c>
      <c r="G15" s="55">
        <f t="shared" si="0"/>
        <v>985000</v>
      </c>
      <c r="H15" s="22"/>
      <c r="I15" s="24"/>
      <c r="J15" s="12">
        <v>45675</v>
      </c>
      <c r="K15" s="23" t="s">
        <v>40</v>
      </c>
      <c r="L15" s="16">
        <v>4000000</v>
      </c>
      <c r="M15" s="1"/>
    </row>
    <row r="16" spans="1:13">
      <c r="A16" s="12">
        <v>45668</v>
      </c>
      <c r="B16" s="13">
        <v>4650000</v>
      </c>
      <c r="C16" s="13">
        <v>1000000</v>
      </c>
      <c r="D16" s="51">
        <f t="shared" si="2"/>
        <v>5650000</v>
      </c>
      <c r="E16" s="53">
        <v>1039000</v>
      </c>
      <c r="F16" s="13">
        <f t="shared" si="1"/>
        <v>4611000</v>
      </c>
      <c r="G16" s="55">
        <f t="shared" si="0"/>
        <v>-39000</v>
      </c>
      <c r="H16" s="22"/>
      <c r="I16" s="24"/>
      <c r="J16" s="12">
        <v>45675</v>
      </c>
      <c r="K16" s="21" t="s">
        <v>40</v>
      </c>
      <c r="L16" s="16">
        <v>2500000</v>
      </c>
      <c r="M16" s="1"/>
    </row>
    <row r="17" spans="1:13">
      <c r="A17" s="66">
        <v>45669</v>
      </c>
      <c r="B17" s="67"/>
      <c r="C17" s="67"/>
      <c r="D17" s="67">
        <f t="shared" si="2"/>
        <v>0</v>
      </c>
      <c r="E17" s="67"/>
      <c r="F17" s="67">
        <f t="shared" si="1"/>
        <v>0</v>
      </c>
      <c r="G17" s="67">
        <f t="shared" si="0"/>
        <v>0</v>
      </c>
      <c r="H17" s="22"/>
      <c r="I17" s="27"/>
      <c r="J17" s="25">
        <v>45675</v>
      </c>
      <c r="K17" s="28" t="s">
        <v>40</v>
      </c>
      <c r="L17" s="16">
        <v>1000000</v>
      </c>
      <c r="M17" s="1"/>
    </row>
    <row r="18" spans="1:13">
      <c r="A18" s="12">
        <v>45670</v>
      </c>
      <c r="B18" s="13">
        <v>2500000</v>
      </c>
      <c r="C18" s="13">
        <v>400000</v>
      </c>
      <c r="D18" s="51">
        <f t="shared" si="2"/>
        <v>2900000</v>
      </c>
      <c r="E18" s="53">
        <v>1230000</v>
      </c>
      <c r="F18" s="13">
        <f t="shared" si="1"/>
        <v>1670000</v>
      </c>
      <c r="G18" s="55">
        <f t="shared" si="0"/>
        <v>-830000</v>
      </c>
      <c r="H18" s="22"/>
      <c r="I18" s="27"/>
      <c r="J18" s="30">
        <v>45675</v>
      </c>
      <c r="K18" s="21" t="s">
        <v>47</v>
      </c>
      <c r="L18" s="16">
        <v>3000000</v>
      </c>
      <c r="M18" s="1"/>
    </row>
    <row r="19" spans="1:13">
      <c r="A19" s="12">
        <v>45671</v>
      </c>
      <c r="B19" s="13">
        <v>1800000</v>
      </c>
      <c r="C19" s="13">
        <v>225000</v>
      </c>
      <c r="D19" s="51">
        <f>B19+C19</f>
        <v>2025000</v>
      </c>
      <c r="E19" s="53">
        <v>1312000</v>
      </c>
      <c r="F19" s="13">
        <f t="shared" si="1"/>
        <v>713000</v>
      </c>
      <c r="G19" s="55">
        <f t="shared" si="0"/>
        <v>-1087000</v>
      </c>
      <c r="H19" s="22"/>
      <c r="I19" s="29"/>
      <c r="J19" s="25">
        <v>45677</v>
      </c>
      <c r="K19" s="28" t="s">
        <v>40</v>
      </c>
      <c r="L19" s="16">
        <v>2000000</v>
      </c>
      <c r="M19" s="1"/>
    </row>
    <row r="20" spans="1:13">
      <c r="A20" s="46">
        <v>45672</v>
      </c>
      <c r="B20" s="47">
        <v>2100000</v>
      </c>
      <c r="C20" s="47">
        <v>715000</v>
      </c>
      <c r="D20" s="51">
        <f>B20+C20</f>
        <v>2815000</v>
      </c>
      <c r="E20" s="53">
        <v>1691000</v>
      </c>
      <c r="F20" s="47">
        <f t="shared" si="1"/>
        <v>1124000</v>
      </c>
      <c r="G20" s="55">
        <f t="shared" si="0"/>
        <v>-976000</v>
      </c>
      <c r="H20" s="48"/>
      <c r="I20" s="27"/>
      <c r="J20" s="25">
        <v>45677</v>
      </c>
      <c r="K20" s="28" t="s">
        <v>48</v>
      </c>
      <c r="L20" s="16">
        <v>2750000</v>
      </c>
      <c r="M20" s="1"/>
    </row>
    <row r="21" spans="1:13">
      <c r="A21" s="64">
        <v>45673</v>
      </c>
      <c r="B21" s="65">
        <v>2000000</v>
      </c>
      <c r="C21" s="65">
        <v>3630000</v>
      </c>
      <c r="D21" s="51">
        <f t="shared" ref="D21:D35" si="3">B21+C21</f>
        <v>5630000</v>
      </c>
      <c r="E21" s="53">
        <v>1488000</v>
      </c>
      <c r="F21" s="47">
        <f t="shared" si="1"/>
        <v>4142000</v>
      </c>
      <c r="G21" s="55">
        <f t="shared" si="0"/>
        <v>2142000</v>
      </c>
      <c r="H21" s="48"/>
      <c r="I21" s="27"/>
      <c r="J21" s="25">
        <v>45678</v>
      </c>
      <c r="K21" s="28" t="s">
        <v>49</v>
      </c>
      <c r="L21" s="16">
        <v>120000</v>
      </c>
      <c r="M21" s="1"/>
    </row>
    <row r="22" spans="1:13">
      <c r="A22" s="46">
        <v>45674</v>
      </c>
      <c r="B22" s="47">
        <v>1500000</v>
      </c>
      <c r="C22" s="47"/>
      <c r="D22" s="51">
        <f t="shared" si="3"/>
        <v>1500000</v>
      </c>
      <c r="E22" s="53">
        <v>1710000</v>
      </c>
      <c r="F22" s="47">
        <f t="shared" si="1"/>
        <v>-210000</v>
      </c>
      <c r="G22" s="55">
        <f t="shared" si="0"/>
        <v>-1710000</v>
      </c>
      <c r="H22" s="48"/>
      <c r="I22" s="27"/>
      <c r="J22" s="25">
        <v>45678</v>
      </c>
      <c r="K22" s="28" t="s">
        <v>50</v>
      </c>
      <c r="L22" s="16">
        <v>385000</v>
      </c>
      <c r="M22" s="1"/>
    </row>
    <row r="23" spans="1:13">
      <c r="A23" s="46">
        <v>45675</v>
      </c>
      <c r="B23" s="47">
        <v>5050000</v>
      </c>
      <c r="C23" s="47"/>
      <c r="D23" s="51">
        <f t="shared" si="3"/>
        <v>5050000</v>
      </c>
      <c r="E23" s="53">
        <v>979000</v>
      </c>
      <c r="F23" s="47">
        <f t="shared" si="1"/>
        <v>4071000</v>
      </c>
      <c r="G23" s="55">
        <f t="shared" si="0"/>
        <v>-979000</v>
      </c>
      <c r="H23" s="48"/>
      <c r="I23" s="27"/>
      <c r="J23" s="25">
        <v>45679</v>
      </c>
      <c r="K23" s="28" t="s">
        <v>51</v>
      </c>
      <c r="L23" s="16">
        <v>500000</v>
      </c>
      <c r="M23" s="1"/>
    </row>
    <row r="24" spans="1:13">
      <c r="A24" s="46">
        <v>45676</v>
      </c>
      <c r="B24" s="47">
        <v>1600000</v>
      </c>
      <c r="C24" s="47"/>
      <c r="D24" s="51">
        <f t="shared" si="3"/>
        <v>1600000</v>
      </c>
      <c r="E24" s="53">
        <v>815000</v>
      </c>
      <c r="F24" s="47">
        <f t="shared" si="1"/>
        <v>785000</v>
      </c>
      <c r="G24" s="55">
        <f t="shared" si="0"/>
        <v>-815000</v>
      </c>
      <c r="H24" s="48"/>
      <c r="I24" s="27"/>
      <c r="J24" s="25">
        <v>45681</v>
      </c>
      <c r="K24" s="28" t="s">
        <v>52</v>
      </c>
      <c r="L24" s="16">
        <v>1250000</v>
      </c>
      <c r="M24" s="1"/>
    </row>
    <row r="25" spans="1:13">
      <c r="A25" s="46">
        <v>45677</v>
      </c>
      <c r="B25" s="47">
        <v>4755000</v>
      </c>
      <c r="C25" s="47">
        <v>3800000</v>
      </c>
      <c r="D25" s="51">
        <f t="shared" si="3"/>
        <v>8555000</v>
      </c>
      <c r="E25" s="53">
        <v>2777000</v>
      </c>
      <c r="F25" s="47">
        <f t="shared" si="1"/>
        <v>5778000</v>
      </c>
      <c r="G25" s="55">
        <f t="shared" si="0"/>
        <v>1023000</v>
      </c>
      <c r="H25" s="48"/>
      <c r="I25" s="27"/>
      <c r="J25" s="25">
        <v>45682</v>
      </c>
      <c r="K25" s="28" t="s">
        <v>53</v>
      </c>
      <c r="L25" s="16">
        <v>3656257</v>
      </c>
      <c r="M25" s="1"/>
    </row>
    <row r="26" spans="1:13">
      <c r="A26" s="12">
        <v>45678</v>
      </c>
      <c r="B26" s="13">
        <v>3400000</v>
      </c>
      <c r="C26" s="13">
        <v>4400000</v>
      </c>
      <c r="D26" s="51">
        <f t="shared" si="3"/>
        <v>7800000</v>
      </c>
      <c r="E26" s="53">
        <v>2219000</v>
      </c>
      <c r="F26" s="13">
        <f t="shared" si="1"/>
        <v>5581000</v>
      </c>
      <c r="G26" s="55">
        <f t="shared" si="0"/>
        <v>2181000</v>
      </c>
      <c r="H26" s="14"/>
      <c r="I26" s="27"/>
      <c r="J26" s="25">
        <v>45683</v>
      </c>
      <c r="K26" s="28" t="s">
        <v>54</v>
      </c>
      <c r="L26" s="16">
        <v>950000</v>
      </c>
      <c r="M26" s="1"/>
    </row>
    <row r="27" spans="1:13">
      <c r="A27" s="12">
        <v>45679</v>
      </c>
      <c r="B27" s="13"/>
      <c r="C27" s="13">
        <v>255500</v>
      </c>
      <c r="D27" s="51">
        <f t="shared" si="3"/>
        <v>255500</v>
      </c>
      <c r="E27" s="53">
        <v>917000</v>
      </c>
      <c r="F27" s="13">
        <f t="shared" si="1"/>
        <v>-661500</v>
      </c>
      <c r="G27" s="55">
        <f t="shared" si="0"/>
        <v>-661500</v>
      </c>
      <c r="H27" s="14"/>
      <c r="I27" s="29"/>
      <c r="J27" s="25">
        <v>45684</v>
      </c>
      <c r="K27" s="28" t="s">
        <v>55</v>
      </c>
      <c r="L27" s="16">
        <v>25000000</v>
      </c>
      <c r="M27" s="1"/>
    </row>
    <row r="28" spans="1:13">
      <c r="A28" s="12">
        <v>45680</v>
      </c>
      <c r="B28" s="13">
        <v>2500000</v>
      </c>
      <c r="C28" s="13">
        <v>1100000</v>
      </c>
      <c r="D28" s="51">
        <f t="shared" si="3"/>
        <v>3600000</v>
      </c>
      <c r="E28" s="53">
        <v>1147000</v>
      </c>
      <c r="F28" s="13">
        <f t="shared" si="1"/>
        <v>2453000</v>
      </c>
      <c r="G28" s="55">
        <f t="shared" si="0"/>
        <v>-47000</v>
      </c>
      <c r="H28" s="14"/>
      <c r="I28" s="27"/>
      <c r="J28" s="25">
        <v>45684</v>
      </c>
      <c r="K28" s="28" t="s">
        <v>56</v>
      </c>
      <c r="L28" s="16">
        <v>10000000</v>
      </c>
      <c r="M28" s="1"/>
    </row>
    <row r="29" spans="1:13">
      <c r="A29" s="12">
        <v>45681</v>
      </c>
      <c r="B29" s="13"/>
      <c r="C29" s="13"/>
      <c r="D29" s="51"/>
      <c r="E29" s="53">
        <v>1215000</v>
      </c>
      <c r="F29" s="13"/>
      <c r="G29" s="55">
        <f t="shared" si="0"/>
        <v>-1215000</v>
      </c>
      <c r="H29" s="31"/>
      <c r="I29" s="27"/>
      <c r="J29" s="25">
        <v>45684</v>
      </c>
      <c r="K29" s="28" t="s">
        <v>57</v>
      </c>
      <c r="L29" s="16">
        <v>9990000</v>
      </c>
      <c r="M29" s="1"/>
    </row>
    <row r="30" spans="1:13">
      <c r="A30" s="12">
        <v>45682</v>
      </c>
      <c r="B30" s="13">
        <v>7300000</v>
      </c>
      <c r="C30" s="13">
        <v>2500000</v>
      </c>
      <c r="D30" s="51">
        <f t="shared" si="3"/>
        <v>9800000</v>
      </c>
      <c r="E30" s="53">
        <v>1505000</v>
      </c>
      <c r="F30" s="13">
        <f t="shared" si="1"/>
        <v>8295000</v>
      </c>
      <c r="G30" s="55">
        <f t="shared" si="0"/>
        <v>995000</v>
      </c>
      <c r="H30" s="14"/>
      <c r="I30" s="27"/>
      <c r="J30" s="25">
        <v>45684</v>
      </c>
      <c r="K30" s="28" t="s">
        <v>58</v>
      </c>
      <c r="L30" s="16">
        <v>1550000</v>
      </c>
      <c r="M30" s="1"/>
    </row>
    <row r="31" spans="1:13">
      <c r="A31" s="12">
        <v>45683</v>
      </c>
      <c r="B31" s="13">
        <v>4550000</v>
      </c>
      <c r="C31" s="13"/>
      <c r="D31" s="51">
        <f t="shared" si="3"/>
        <v>4550000</v>
      </c>
      <c r="E31" s="53">
        <v>872000</v>
      </c>
      <c r="F31" s="13">
        <f t="shared" si="1"/>
        <v>3678000</v>
      </c>
      <c r="G31" s="55">
        <f t="shared" si="0"/>
        <v>-872000</v>
      </c>
      <c r="H31" s="14"/>
      <c r="I31" s="27"/>
      <c r="J31" s="25">
        <v>45686</v>
      </c>
      <c r="K31" s="28" t="s">
        <v>59</v>
      </c>
      <c r="L31" s="16">
        <v>14900000</v>
      </c>
      <c r="M31" s="1"/>
    </row>
    <row r="32" spans="1:13">
      <c r="A32" s="12">
        <v>45684</v>
      </c>
      <c r="B32" s="13">
        <v>4825000</v>
      </c>
      <c r="C32" s="13"/>
      <c r="D32" s="51">
        <f t="shared" si="3"/>
        <v>4825000</v>
      </c>
      <c r="E32" s="53">
        <v>1270000</v>
      </c>
      <c r="F32" s="13">
        <f t="shared" si="1"/>
        <v>3555000</v>
      </c>
      <c r="G32" s="55">
        <f t="shared" si="0"/>
        <v>-1270000</v>
      </c>
      <c r="H32" s="14"/>
      <c r="I32" s="27"/>
      <c r="J32" s="25">
        <v>45686</v>
      </c>
      <c r="K32" s="28" t="s">
        <v>42</v>
      </c>
      <c r="L32" s="16">
        <v>5500000</v>
      </c>
      <c r="M32" s="1"/>
    </row>
    <row r="33" spans="1:13">
      <c r="A33" s="12">
        <v>45685</v>
      </c>
      <c r="B33" s="13">
        <v>8000000</v>
      </c>
      <c r="C33" s="13">
        <v>4400000</v>
      </c>
      <c r="D33" s="51">
        <f t="shared" si="3"/>
        <v>12400000</v>
      </c>
      <c r="E33" s="53">
        <v>1593000</v>
      </c>
      <c r="F33" s="13">
        <f t="shared" si="1"/>
        <v>10807000</v>
      </c>
      <c r="G33" s="55">
        <f t="shared" si="0"/>
        <v>2807000</v>
      </c>
      <c r="H33" s="14"/>
      <c r="I33" s="27"/>
      <c r="J33" s="25">
        <v>45687</v>
      </c>
      <c r="K33" s="28" t="s">
        <v>45</v>
      </c>
      <c r="L33" s="16">
        <v>3600000</v>
      </c>
      <c r="M33" s="1"/>
    </row>
    <row r="34" spans="1:13">
      <c r="A34" s="12">
        <v>45686</v>
      </c>
      <c r="B34" s="13">
        <v>1950000</v>
      </c>
      <c r="C34" s="13">
        <v>2200000</v>
      </c>
      <c r="D34" s="51">
        <f t="shared" si="3"/>
        <v>4150000</v>
      </c>
      <c r="E34" s="53">
        <v>1162000</v>
      </c>
      <c r="F34" s="13">
        <f t="shared" si="1"/>
        <v>2988000</v>
      </c>
      <c r="G34" s="55">
        <f t="shared" si="0"/>
        <v>1038000</v>
      </c>
      <c r="H34" s="14"/>
      <c r="I34" s="27"/>
      <c r="J34" s="25">
        <v>45688</v>
      </c>
      <c r="K34" s="28" t="s">
        <v>60</v>
      </c>
      <c r="L34" s="16">
        <v>7300000</v>
      </c>
      <c r="M34" s="1"/>
    </row>
    <row r="35" spans="1:13">
      <c r="A35" s="12">
        <v>45687</v>
      </c>
      <c r="B35" s="13">
        <v>4300000</v>
      </c>
      <c r="C35" s="13">
        <v>100000</v>
      </c>
      <c r="D35" s="51">
        <f t="shared" si="3"/>
        <v>4400000</v>
      </c>
      <c r="E35" s="53">
        <v>1102000</v>
      </c>
      <c r="F35" s="13">
        <f t="shared" si="1"/>
        <v>3298000</v>
      </c>
      <c r="G35" s="55">
        <f t="shared" si="0"/>
        <v>-1002000</v>
      </c>
      <c r="H35" s="14"/>
      <c r="I35" s="27"/>
      <c r="J35" s="25">
        <v>45688</v>
      </c>
      <c r="K35" s="28" t="s">
        <v>61</v>
      </c>
      <c r="L35" s="16">
        <v>1319000</v>
      </c>
      <c r="M35" s="1"/>
    </row>
    <row r="36" spans="1:13">
      <c r="A36" s="12">
        <v>45688</v>
      </c>
      <c r="B36" s="13">
        <v>5825000</v>
      </c>
      <c r="C36" s="13">
        <v>3250000</v>
      </c>
      <c r="D36" s="51">
        <f>B36+C36</f>
        <v>9075000</v>
      </c>
      <c r="E36" s="53">
        <v>1239000</v>
      </c>
      <c r="F36" s="13">
        <f t="shared" si="1"/>
        <v>7836000</v>
      </c>
      <c r="G36" s="55">
        <f t="shared" si="0"/>
        <v>2011000</v>
      </c>
      <c r="H36" s="14"/>
      <c r="I36" s="27"/>
      <c r="J36" s="25">
        <v>45688</v>
      </c>
      <c r="K36" s="28" t="s">
        <v>55</v>
      </c>
      <c r="L36" s="16">
        <v>12675000</v>
      </c>
      <c r="M36" s="1"/>
    </row>
    <row r="37" spans="1:13">
      <c r="A37" s="12"/>
      <c r="B37" s="13"/>
      <c r="C37" s="13"/>
      <c r="D37" s="51">
        <f t="shared" ref="D37" si="4"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  <c r="M37" s="1"/>
    </row>
    <row r="38" spans="1:13">
      <c r="A38" s="12"/>
      <c r="B38" s="13"/>
      <c r="C38" s="13"/>
      <c r="D38" s="51"/>
      <c r="E38" s="53"/>
      <c r="F38" s="13"/>
      <c r="G38" s="55"/>
      <c r="H38" s="14"/>
      <c r="I38" s="27"/>
      <c r="J38" s="25"/>
      <c r="K38" s="28"/>
      <c r="L38" s="16"/>
      <c r="M38" s="1"/>
    </row>
    <row r="39" spans="1:13">
      <c r="A39" s="46"/>
      <c r="B39" s="47"/>
      <c r="C39" s="47"/>
      <c r="D39" s="51"/>
      <c r="E39" s="53"/>
      <c r="F39" s="47"/>
      <c r="G39" s="55"/>
      <c r="H39" s="48"/>
      <c r="I39" s="27"/>
      <c r="J39" s="25"/>
      <c r="K39" s="28"/>
      <c r="L39" s="16"/>
      <c r="M39" s="1"/>
    </row>
    <row r="40" spans="1:13">
      <c r="A40" s="12"/>
      <c r="B40" s="13"/>
      <c r="C40" s="13"/>
      <c r="D40" s="51"/>
      <c r="E40" s="53"/>
      <c r="F40" s="13"/>
      <c r="G40" s="55"/>
      <c r="H40" s="14"/>
      <c r="I40" s="27"/>
      <c r="J40" s="32"/>
      <c r="K40" s="21"/>
      <c r="L40" s="59">
        <f>SUM(L6:L39)</f>
        <v>125875257</v>
      </c>
      <c r="M40" s="1"/>
    </row>
    <row r="41" spans="1:13">
      <c r="A41" s="12"/>
      <c r="B41" s="13"/>
      <c r="C41" s="13"/>
      <c r="D41" s="51"/>
      <c r="E41" s="53"/>
      <c r="F41" s="13"/>
      <c r="G41" s="55"/>
      <c r="H41" s="14"/>
      <c r="I41" s="27"/>
      <c r="J41" s="26"/>
      <c r="K41" s="2"/>
      <c r="L41" s="2"/>
      <c r="M41" s="1"/>
    </row>
    <row r="42" spans="1:13" ht="15.75">
      <c r="A42" s="12"/>
      <c r="B42" s="13"/>
      <c r="C42" s="13"/>
      <c r="D42" s="51"/>
      <c r="E42" s="53"/>
      <c r="F42" s="13"/>
      <c r="G42" s="55"/>
      <c r="H42" s="14"/>
      <c r="I42" s="27"/>
      <c r="J42" s="33" t="s">
        <v>11</v>
      </c>
      <c r="K42" s="34" t="s">
        <v>12</v>
      </c>
      <c r="L42" s="57">
        <f>B50+C50</f>
        <v>129070500</v>
      </c>
      <c r="M42" s="1"/>
    </row>
    <row r="43" spans="1:13" ht="15.75">
      <c r="A43" s="12"/>
      <c r="B43" s="13"/>
      <c r="C43" s="13"/>
      <c r="D43" s="51"/>
      <c r="E43" s="53"/>
      <c r="F43" s="13"/>
      <c r="G43" s="55"/>
      <c r="H43" s="14"/>
      <c r="I43" s="27"/>
      <c r="J43" s="37"/>
      <c r="K43" s="38" t="s">
        <v>13</v>
      </c>
      <c r="L43" s="58">
        <v>41750000</v>
      </c>
      <c r="M43" s="1"/>
    </row>
    <row r="44" spans="1:13" ht="15.75">
      <c r="A44" s="12"/>
      <c r="B44" s="13"/>
      <c r="C44" s="13"/>
      <c r="D44" s="51"/>
      <c r="E44" s="53"/>
      <c r="F44" s="13"/>
      <c r="G44" s="55"/>
      <c r="H44" s="14"/>
      <c r="I44" s="36"/>
      <c r="J44" s="37"/>
      <c r="K44" s="38" t="s">
        <v>14</v>
      </c>
      <c r="L44" s="58">
        <v>125875257</v>
      </c>
      <c r="M44" s="1"/>
    </row>
    <row r="45" spans="1:13" ht="15.75">
      <c r="A45" s="12"/>
      <c r="B45" s="13"/>
      <c r="C45" s="13"/>
      <c r="D45" s="51"/>
      <c r="E45" s="53"/>
      <c r="F45" s="13"/>
      <c r="G45" s="55"/>
      <c r="H45" s="14"/>
      <c r="I45" s="27"/>
      <c r="J45" s="37"/>
      <c r="K45" s="38" t="s">
        <v>15</v>
      </c>
      <c r="L45" s="39">
        <v>167625257</v>
      </c>
      <c r="M45" s="1"/>
    </row>
    <row r="46" spans="1:13" ht="15.75">
      <c r="A46" s="46"/>
      <c r="B46" s="47"/>
      <c r="C46" s="47"/>
      <c r="D46" s="51"/>
      <c r="E46" s="53"/>
      <c r="F46" s="47"/>
      <c r="G46" s="55"/>
      <c r="H46" s="48"/>
      <c r="I46" s="27"/>
      <c r="J46" s="37"/>
      <c r="K46" s="40"/>
      <c r="L46" s="35"/>
      <c r="M46" s="1"/>
    </row>
    <row r="47" spans="1:13" ht="18">
      <c r="A47" s="12"/>
      <c r="B47" s="13"/>
      <c r="C47" s="13"/>
      <c r="D47" s="51"/>
      <c r="E47" s="53"/>
      <c r="F47" s="13"/>
      <c r="G47" s="55"/>
      <c r="H47" s="14"/>
      <c r="I47" s="27"/>
      <c r="J47" s="80" t="s">
        <v>24</v>
      </c>
      <c r="K47" s="80"/>
      <c r="L47" s="41">
        <f>L42-L45</f>
        <v>-38554757</v>
      </c>
      <c r="M47" s="1"/>
    </row>
    <row r="48" spans="1:13">
      <c r="A48" s="12"/>
      <c r="B48" s="13"/>
      <c r="C48" s="13"/>
      <c r="D48" s="51"/>
      <c r="E48" s="53"/>
      <c r="F48" s="13"/>
      <c r="G48" s="55"/>
      <c r="H48" s="14"/>
      <c r="I48" s="27"/>
      <c r="J48" s="27"/>
      <c r="K48" s="27"/>
      <c r="L48" s="2"/>
      <c r="M48" s="1"/>
    </row>
    <row r="49" spans="1:13">
      <c r="A49" s="12"/>
      <c r="B49" s="13"/>
      <c r="C49" s="13"/>
      <c r="D49" s="51"/>
      <c r="E49" s="53"/>
      <c r="F49" s="13"/>
      <c r="G49" s="55"/>
      <c r="H49" s="14"/>
      <c r="I49" s="2"/>
      <c r="J49" s="2"/>
      <c r="K49" s="2"/>
      <c r="L49" s="2"/>
      <c r="M49" s="1"/>
    </row>
    <row r="50" spans="1:13">
      <c r="A50" s="12"/>
      <c r="B50" s="42">
        <f t="shared" ref="B50:G50" si="5">SUM(B6:B49)</f>
        <v>84855000</v>
      </c>
      <c r="C50" s="42">
        <f t="shared" si="5"/>
        <v>44215500</v>
      </c>
      <c r="D50" s="52">
        <f t="shared" si="5"/>
        <v>129070500</v>
      </c>
      <c r="E50" s="54">
        <f t="shared" si="5"/>
        <v>41750000</v>
      </c>
      <c r="F50" s="50">
        <f t="shared" si="5"/>
        <v>88535500</v>
      </c>
      <c r="G50" s="56">
        <f t="shared" si="5"/>
        <v>2465500</v>
      </c>
      <c r="H50" s="27"/>
      <c r="I50" s="2"/>
      <c r="J50" s="2"/>
      <c r="K50" s="2"/>
      <c r="L50" s="2"/>
      <c r="M50" s="1"/>
    </row>
    <row r="51" spans="1:13">
      <c r="A51" s="2"/>
      <c r="B51" s="2"/>
      <c r="C51" s="2"/>
      <c r="D51" s="63"/>
      <c r="E51" s="2"/>
      <c r="F51" s="2"/>
      <c r="G51" s="2"/>
      <c r="H51" s="27"/>
      <c r="I51" s="2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</sheetData>
  <mergeCells count="8">
    <mergeCell ref="G4:G5"/>
    <mergeCell ref="J47:K47"/>
    <mergeCell ref="A2:E3"/>
    <mergeCell ref="A4:A5"/>
    <mergeCell ref="B4:C4"/>
    <mergeCell ref="D4:D5"/>
    <mergeCell ref="E4:E5"/>
    <mergeCell ref="F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N53"/>
  <sheetViews>
    <sheetView topLeftCell="D28" workbookViewId="0">
      <selection activeCell="K37" sqref="K37"/>
    </sheetView>
  </sheetViews>
  <sheetFormatPr defaultRowHeight="15"/>
  <cols>
    <col min="2" max="2" width="19.28515625" customWidth="1"/>
    <col min="3" max="3" width="18.140625" customWidth="1"/>
    <col min="4" max="4" width="16.7109375" customWidth="1"/>
    <col min="5" max="5" width="19.85546875" customWidth="1"/>
    <col min="6" max="6" width="16.28515625" customWidth="1"/>
    <col min="7" max="7" width="15.42578125" customWidth="1"/>
    <col min="10" max="10" width="13.7109375" customWidth="1"/>
    <col min="11" max="11" width="44.28515625" customWidth="1"/>
    <col min="12" max="12" width="17.5703125" customWidth="1"/>
  </cols>
  <sheetData>
    <row r="2" spans="1:14">
      <c r="A2" s="81" t="s">
        <v>17</v>
      </c>
      <c r="B2" s="82"/>
      <c r="C2" s="82"/>
      <c r="D2" s="82"/>
      <c r="E2" s="82"/>
      <c r="F2" s="2"/>
      <c r="G2" s="2"/>
      <c r="H2" s="2"/>
      <c r="I2" s="2"/>
      <c r="J2" s="2"/>
      <c r="K2" s="2"/>
      <c r="L2" s="2"/>
      <c r="M2" s="1"/>
      <c r="N2" s="1"/>
    </row>
    <row r="3" spans="1:14" ht="15" customHeight="1">
      <c r="A3" s="83"/>
      <c r="B3" s="83"/>
      <c r="C3" s="83"/>
      <c r="D3" s="83"/>
      <c r="E3" s="83"/>
      <c r="F3" s="2"/>
      <c r="G3" s="2"/>
      <c r="H3" s="2"/>
      <c r="I3" s="2"/>
      <c r="J3" s="2"/>
      <c r="K3" s="2"/>
      <c r="L3" s="2"/>
      <c r="M3" s="1"/>
      <c r="N3" s="1"/>
    </row>
    <row r="4" spans="1:14" ht="15.75">
      <c r="A4" s="84" t="s">
        <v>0</v>
      </c>
      <c r="B4" s="86" t="s">
        <v>1</v>
      </c>
      <c r="C4" s="87"/>
      <c r="D4" s="88" t="s">
        <v>2</v>
      </c>
      <c r="E4" s="78" t="s">
        <v>3</v>
      </c>
      <c r="F4" s="88" t="s">
        <v>4</v>
      </c>
      <c r="G4" s="78" t="s">
        <v>5</v>
      </c>
      <c r="H4" s="3"/>
      <c r="I4" s="4"/>
      <c r="J4" s="5" t="s">
        <v>6</v>
      </c>
      <c r="K4" s="6"/>
      <c r="L4" s="7"/>
      <c r="M4" s="1"/>
      <c r="N4" s="1"/>
    </row>
    <row r="5" spans="1:14" ht="15.75" customHeight="1">
      <c r="A5" s="85"/>
      <c r="B5" s="8" t="s">
        <v>7</v>
      </c>
      <c r="C5" s="62" t="s">
        <v>8</v>
      </c>
      <c r="D5" s="89"/>
      <c r="E5" s="79"/>
      <c r="F5" s="89"/>
      <c r="G5" s="79"/>
      <c r="H5" s="3"/>
      <c r="I5" s="4"/>
      <c r="J5" s="9" t="s">
        <v>0</v>
      </c>
      <c r="K5" s="10" t="s">
        <v>9</v>
      </c>
      <c r="L5" s="11" t="s">
        <v>10</v>
      </c>
      <c r="M5" s="1"/>
      <c r="N5" s="1"/>
    </row>
    <row r="6" spans="1:14">
      <c r="A6" s="46"/>
      <c r="B6" s="47"/>
      <c r="C6" s="47"/>
      <c r="D6" s="51"/>
      <c r="E6" s="53"/>
      <c r="F6" s="47"/>
      <c r="G6" s="55">
        <f t="shared" ref="G6:G37" si="0">C6-E6</f>
        <v>0</v>
      </c>
      <c r="H6" s="48"/>
      <c r="I6" s="7"/>
      <c r="J6" s="61">
        <v>45693</v>
      </c>
      <c r="K6" s="60" t="s">
        <v>45</v>
      </c>
      <c r="L6" s="16">
        <v>250000</v>
      </c>
      <c r="M6" s="1"/>
      <c r="N6" s="1"/>
    </row>
    <row r="7" spans="1:14">
      <c r="A7" s="12">
        <v>45689</v>
      </c>
      <c r="B7" s="13">
        <v>5800000</v>
      </c>
      <c r="C7" s="13"/>
      <c r="D7" s="51">
        <f>B7+C7</f>
        <v>5800000</v>
      </c>
      <c r="E7" s="53">
        <v>1293000</v>
      </c>
      <c r="F7" s="13">
        <f t="shared" ref="F7:F37" si="1">D7-E7</f>
        <v>4507000</v>
      </c>
      <c r="G7" s="55">
        <f t="shared" si="0"/>
        <v>-1293000</v>
      </c>
      <c r="H7" s="14"/>
      <c r="I7" s="17"/>
      <c r="J7" s="61">
        <v>45693</v>
      </c>
      <c r="K7" s="60" t="s">
        <v>62</v>
      </c>
      <c r="L7" s="16">
        <v>115000</v>
      </c>
      <c r="M7" s="1"/>
      <c r="N7" s="1"/>
    </row>
    <row r="8" spans="1:14">
      <c r="A8" s="66">
        <v>45690</v>
      </c>
      <c r="B8" s="67"/>
      <c r="C8" s="67"/>
      <c r="D8" s="67">
        <f>B8+C8</f>
        <v>0</v>
      </c>
      <c r="E8" s="67"/>
      <c r="F8" s="67">
        <f t="shared" si="1"/>
        <v>0</v>
      </c>
      <c r="G8" s="67">
        <f t="shared" si="0"/>
        <v>0</v>
      </c>
      <c r="H8" s="14"/>
      <c r="I8" s="7"/>
      <c r="J8" s="18">
        <v>45695</v>
      </c>
      <c r="K8" s="19" t="s">
        <v>63</v>
      </c>
      <c r="L8" s="16">
        <v>7300000</v>
      </c>
      <c r="M8" s="1"/>
      <c r="N8" s="1"/>
    </row>
    <row r="9" spans="1:14">
      <c r="A9" s="12">
        <v>45691</v>
      </c>
      <c r="B9" s="13">
        <v>4900000</v>
      </c>
      <c r="C9" s="13">
        <v>250000</v>
      </c>
      <c r="D9" s="51">
        <f>B9+C9</f>
        <v>5150000</v>
      </c>
      <c r="E9" s="53">
        <v>1581000</v>
      </c>
      <c r="F9" s="47">
        <f t="shared" si="1"/>
        <v>3569000</v>
      </c>
      <c r="G9" s="55">
        <f t="shared" si="0"/>
        <v>-1331000</v>
      </c>
      <c r="H9" s="14"/>
      <c r="I9" s="20"/>
      <c r="J9" s="18">
        <v>45696</v>
      </c>
      <c r="K9" s="43" t="s">
        <v>64</v>
      </c>
      <c r="L9" s="16">
        <v>775000</v>
      </c>
      <c r="M9" s="1"/>
      <c r="N9" s="1"/>
    </row>
    <row r="10" spans="1:14">
      <c r="A10" s="12">
        <v>45692</v>
      </c>
      <c r="B10" s="13">
        <v>4025000</v>
      </c>
      <c r="C10" s="13">
        <v>2800000</v>
      </c>
      <c r="D10" s="51">
        <f>B10+C10</f>
        <v>6825000</v>
      </c>
      <c r="E10" s="53">
        <v>1056000</v>
      </c>
      <c r="F10" s="47">
        <f t="shared" si="1"/>
        <v>5769000</v>
      </c>
      <c r="G10" s="55">
        <f t="shared" si="0"/>
        <v>1744000</v>
      </c>
      <c r="H10" s="14"/>
      <c r="I10" s="20"/>
      <c r="J10" s="12">
        <v>45696</v>
      </c>
      <c r="K10" s="19" t="s">
        <v>65</v>
      </c>
      <c r="L10" s="16">
        <v>1500000</v>
      </c>
      <c r="M10" s="1"/>
      <c r="N10" s="1"/>
    </row>
    <row r="11" spans="1:14">
      <c r="A11" s="12">
        <v>45693</v>
      </c>
      <c r="B11" s="13">
        <v>1200000</v>
      </c>
      <c r="C11" s="47"/>
      <c r="D11" s="51">
        <f>B11+C11</f>
        <v>1200000</v>
      </c>
      <c r="E11" s="53">
        <v>1033000</v>
      </c>
      <c r="F11" s="13">
        <f t="shared" si="1"/>
        <v>167000</v>
      </c>
      <c r="G11" s="55">
        <f t="shared" si="0"/>
        <v>-1033000</v>
      </c>
      <c r="H11" s="14"/>
      <c r="I11" s="7"/>
      <c r="J11" s="12">
        <v>45696</v>
      </c>
      <c r="K11" s="15" t="s">
        <v>54</v>
      </c>
      <c r="L11" s="16">
        <v>850000</v>
      </c>
      <c r="M11" s="1"/>
      <c r="N11" s="1"/>
    </row>
    <row r="12" spans="1:14">
      <c r="A12" s="12">
        <v>45694</v>
      </c>
      <c r="B12" s="13">
        <v>1200000</v>
      </c>
      <c r="C12" s="13">
        <v>4000000</v>
      </c>
      <c r="D12" s="51">
        <f t="shared" ref="D12:D18" si="2">B12+C12</f>
        <v>5200000</v>
      </c>
      <c r="E12" s="53">
        <v>2119000</v>
      </c>
      <c r="F12" s="13">
        <f t="shared" si="1"/>
        <v>3081000</v>
      </c>
      <c r="G12" s="55">
        <f t="shared" si="0"/>
        <v>1881000</v>
      </c>
      <c r="H12" s="14"/>
      <c r="I12" s="7"/>
      <c r="J12" s="12">
        <v>45699</v>
      </c>
      <c r="K12" s="23" t="s">
        <v>66</v>
      </c>
      <c r="L12" s="16">
        <v>6890000</v>
      </c>
      <c r="M12" s="1"/>
      <c r="N12" s="1"/>
    </row>
    <row r="13" spans="1:14">
      <c r="A13" s="46">
        <v>45695</v>
      </c>
      <c r="B13" s="47"/>
      <c r="C13" s="47">
        <v>1650000</v>
      </c>
      <c r="D13" s="51">
        <f t="shared" si="2"/>
        <v>1650000</v>
      </c>
      <c r="E13" s="53">
        <v>1596000</v>
      </c>
      <c r="F13" s="47">
        <f t="shared" si="1"/>
        <v>54000</v>
      </c>
      <c r="G13" s="55">
        <f t="shared" si="0"/>
        <v>54000</v>
      </c>
      <c r="H13" s="49"/>
      <c r="I13" s="7"/>
      <c r="J13" s="12">
        <v>45700</v>
      </c>
      <c r="K13" s="23" t="s">
        <v>51</v>
      </c>
      <c r="L13" s="16">
        <v>500000</v>
      </c>
      <c r="M13" s="1"/>
      <c r="N13" s="1"/>
    </row>
    <row r="14" spans="1:14">
      <c r="A14" s="12">
        <v>45696</v>
      </c>
      <c r="B14" s="13">
        <v>4670000</v>
      </c>
      <c r="C14" s="13">
        <v>3650000</v>
      </c>
      <c r="D14" s="51">
        <f t="shared" si="2"/>
        <v>8320000</v>
      </c>
      <c r="E14" s="53">
        <v>1176000</v>
      </c>
      <c r="F14" s="13">
        <f t="shared" si="1"/>
        <v>7144000</v>
      </c>
      <c r="G14" s="55">
        <f t="shared" si="0"/>
        <v>2474000</v>
      </c>
      <c r="H14" s="22"/>
      <c r="I14" s="20"/>
      <c r="J14" s="25">
        <v>45700</v>
      </c>
      <c r="K14" s="44" t="s">
        <v>67</v>
      </c>
      <c r="L14" s="45">
        <v>500000</v>
      </c>
      <c r="M14" s="1"/>
      <c r="N14" s="1"/>
    </row>
    <row r="15" spans="1:14">
      <c r="A15" s="12">
        <v>45697</v>
      </c>
      <c r="B15" s="13">
        <v>1100000</v>
      </c>
      <c r="C15" s="13">
        <v>1800000</v>
      </c>
      <c r="D15" s="51">
        <f t="shared" si="2"/>
        <v>2900000</v>
      </c>
      <c r="E15" s="53">
        <v>1029000</v>
      </c>
      <c r="F15" s="13">
        <f t="shared" si="1"/>
        <v>1871000</v>
      </c>
      <c r="G15" s="55">
        <f t="shared" si="0"/>
        <v>771000</v>
      </c>
      <c r="H15" s="22"/>
      <c r="I15" s="24"/>
      <c r="J15" s="12">
        <v>45702</v>
      </c>
      <c r="K15" s="23" t="s">
        <v>70</v>
      </c>
      <c r="L15" s="16">
        <v>10090000</v>
      </c>
      <c r="M15" s="1"/>
      <c r="N15" s="1"/>
    </row>
    <row r="16" spans="1:14">
      <c r="A16" s="12">
        <v>45698</v>
      </c>
      <c r="B16" s="13"/>
      <c r="C16" s="13">
        <v>10000000</v>
      </c>
      <c r="D16" s="51">
        <f t="shared" si="2"/>
        <v>10000000</v>
      </c>
      <c r="E16" s="53">
        <v>1398000</v>
      </c>
      <c r="F16" s="13">
        <f t="shared" si="1"/>
        <v>8602000</v>
      </c>
      <c r="G16" s="55">
        <f t="shared" si="0"/>
        <v>8602000</v>
      </c>
      <c r="H16" s="22"/>
      <c r="I16" s="24"/>
      <c r="J16" s="12">
        <v>45702</v>
      </c>
      <c r="K16" s="21" t="s">
        <v>68</v>
      </c>
      <c r="L16" s="16">
        <v>400000</v>
      </c>
      <c r="M16" s="1"/>
      <c r="N16" s="1"/>
    </row>
    <row r="17" spans="1:14">
      <c r="A17" s="12">
        <v>45699</v>
      </c>
      <c r="B17" s="13">
        <v>7625000</v>
      </c>
      <c r="C17" s="13">
        <v>1000000</v>
      </c>
      <c r="D17" s="51">
        <f t="shared" si="2"/>
        <v>8625000</v>
      </c>
      <c r="E17" s="53">
        <v>855000</v>
      </c>
      <c r="F17" s="13">
        <f t="shared" si="1"/>
        <v>7770000</v>
      </c>
      <c r="G17" s="55">
        <f t="shared" si="0"/>
        <v>145000</v>
      </c>
      <c r="H17" s="22"/>
      <c r="I17" s="27"/>
      <c r="J17" s="25">
        <v>45702</v>
      </c>
      <c r="K17" s="28" t="s">
        <v>69</v>
      </c>
      <c r="L17" s="16">
        <v>75000</v>
      </c>
      <c r="M17" s="1"/>
      <c r="N17" s="1"/>
    </row>
    <row r="18" spans="1:14">
      <c r="A18" s="12">
        <v>45700</v>
      </c>
      <c r="B18" s="13">
        <v>900000</v>
      </c>
      <c r="C18" s="13">
        <v>1735000</v>
      </c>
      <c r="D18" s="51">
        <f t="shared" si="2"/>
        <v>2635000</v>
      </c>
      <c r="E18" s="53">
        <v>1425000</v>
      </c>
      <c r="F18" s="13">
        <f t="shared" si="1"/>
        <v>1210000</v>
      </c>
      <c r="G18" s="55">
        <f t="shared" si="0"/>
        <v>310000</v>
      </c>
      <c r="H18" s="22"/>
      <c r="I18" s="27"/>
      <c r="J18" s="30">
        <v>45705</v>
      </c>
      <c r="K18" s="21" t="s">
        <v>71</v>
      </c>
      <c r="L18" s="16">
        <v>3000000</v>
      </c>
      <c r="M18" s="1"/>
      <c r="N18" s="1"/>
    </row>
    <row r="19" spans="1:14">
      <c r="A19" s="12">
        <v>45701</v>
      </c>
      <c r="B19" s="13">
        <v>2850000</v>
      </c>
      <c r="C19" s="13">
        <v>250000</v>
      </c>
      <c r="D19" s="51">
        <f>B19+C19</f>
        <v>3100000</v>
      </c>
      <c r="E19" s="53">
        <v>1851000</v>
      </c>
      <c r="F19" s="13">
        <f t="shared" si="1"/>
        <v>1249000</v>
      </c>
      <c r="G19" s="55">
        <f t="shared" si="0"/>
        <v>-1601000</v>
      </c>
      <c r="H19" s="22"/>
      <c r="I19" s="29"/>
      <c r="J19" s="25">
        <v>45708</v>
      </c>
      <c r="K19" s="28" t="s">
        <v>72</v>
      </c>
      <c r="L19" s="16">
        <v>1800000</v>
      </c>
      <c r="M19" s="1"/>
      <c r="N19" s="1"/>
    </row>
    <row r="20" spans="1:14">
      <c r="A20" s="46">
        <v>45702</v>
      </c>
      <c r="B20" s="47">
        <v>2000000</v>
      </c>
      <c r="C20" s="47">
        <v>1125000</v>
      </c>
      <c r="D20" s="51">
        <f>B20+C20</f>
        <v>3125000</v>
      </c>
      <c r="E20" s="53">
        <v>1263000</v>
      </c>
      <c r="F20" s="47">
        <f t="shared" si="1"/>
        <v>1862000</v>
      </c>
      <c r="G20" s="55">
        <f t="shared" si="0"/>
        <v>-138000</v>
      </c>
      <c r="H20" s="48"/>
      <c r="I20" s="27"/>
      <c r="J20" s="25">
        <v>45708</v>
      </c>
      <c r="K20" s="28" t="s">
        <v>73</v>
      </c>
      <c r="L20" s="16">
        <v>150000</v>
      </c>
      <c r="M20" s="1"/>
      <c r="N20" s="1"/>
    </row>
    <row r="21" spans="1:14">
      <c r="A21" s="46">
        <v>45703</v>
      </c>
      <c r="B21" s="47">
        <v>2100000</v>
      </c>
      <c r="C21" s="47">
        <v>2000000</v>
      </c>
      <c r="D21" s="51">
        <f t="shared" ref="D21:D35" si="3">B21+C21</f>
        <v>4100000</v>
      </c>
      <c r="E21" s="53">
        <v>1131000</v>
      </c>
      <c r="F21" s="47">
        <f t="shared" si="1"/>
        <v>2969000</v>
      </c>
      <c r="G21" s="55">
        <f t="shared" si="0"/>
        <v>869000</v>
      </c>
      <c r="H21" s="48"/>
      <c r="I21" s="27"/>
      <c r="J21" s="25">
        <v>45708</v>
      </c>
      <c r="K21" s="28" t="s">
        <v>54</v>
      </c>
      <c r="L21" s="16">
        <v>75000</v>
      </c>
      <c r="M21" s="1"/>
      <c r="N21" s="1"/>
    </row>
    <row r="22" spans="1:14">
      <c r="A22" s="46">
        <v>45704</v>
      </c>
      <c r="B22" s="47">
        <v>2850000</v>
      </c>
      <c r="C22" s="47"/>
      <c r="D22" s="51">
        <f t="shared" si="3"/>
        <v>2850000</v>
      </c>
      <c r="E22" s="53">
        <v>872000</v>
      </c>
      <c r="F22" s="47">
        <f t="shared" si="1"/>
        <v>1978000</v>
      </c>
      <c r="G22" s="55">
        <f t="shared" si="0"/>
        <v>-872000</v>
      </c>
      <c r="H22" s="48"/>
      <c r="I22" s="27"/>
      <c r="J22" s="25">
        <v>45709</v>
      </c>
      <c r="K22" s="28" t="s">
        <v>74</v>
      </c>
      <c r="L22" s="16">
        <v>2000000</v>
      </c>
      <c r="M22" s="1"/>
      <c r="N22" s="1"/>
    </row>
    <row r="23" spans="1:14">
      <c r="A23" s="46">
        <v>45705</v>
      </c>
      <c r="B23" s="47">
        <v>5000000</v>
      </c>
      <c r="C23" s="47">
        <v>275000</v>
      </c>
      <c r="D23" s="51">
        <f t="shared" si="3"/>
        <v>5275000</v>
      </c>
      <c r="E23" s="53">
        <v>995000</v>
      </c>
      <c r="F23" s="47">
        <f t="shared" si="1"/>
        <v>4280000</v>
      </c>
      <c r="G23" s="55">
        <f t="shared" si="0"/>
        <v>-720000</v>
      </c>
      <c r="H23" s="48"/>
      <c r="I23" s="27"/>
      <c r="J23" s="25">
        <v>45710</v>
      </c>
      <c r="K23" s="28" t="s">
        <v>75</v>
      </c>
      <c r="L23" s="16">
        <v>350000</v>
      </c>
      <c r="M23" s="1"/>
      <c r="N23" s="1"/>
    </row>
    <row r="24" spans="1:14">
      <c r="A24" s="46">
        <v>45706</v>
      </c>
      <c r="B24" s="47">
        <v>350000</v>
      </c>
      <c r="C24" s="47"/>
      <c r="D24" s="51">
        <f t="shared" si="3"/>
        <v>350000</v>
      </c>
      <c r="E24" s="53">
        <v>1101000</v>
      </c>
      <c r="F24" s="47">
        <f t="shared" si="1"/>
        <v>-751000</v>
      </c>
      <c r="G24" s="55">
        <f t="shared" si="0"/>
        <v>-1101000</v>
      </c>
      <c r="H24" s="48"/>
      <c r="I24" s="27"/>
      <c r="J24" s="25">
        <v>45712</v>
      </c>
      <c r="K24" s="28" t="s">
        <v>76</v>
      </c>
      <c r="L24" s="16">
        <v>9700000</v>
      </c>
      <c r="M24" s="1"/>
      <c r="N24" s="1"/>
    </row>
    <row r="25" spans="1:14">
      <c r="A25" s="46">
        <v>45707</v>
      </c>
      <c r="B25" s="47">
        <v>2200000</v>
      </c>
      <c r="C25" s="47">
        <v>3550000</v>
      </c>
      <c r="D25" s="51">
        <f t="shared" si="3"/>
        <v>5750000</v>
      </c>
      <c r="E25" s="53">
        <v>1611000</v>
      </c>
      <c r="F25" s="47">
        <f t="shared" si="1"/>
        <v>4139000</v>
      </c>
      <c r="G25" s="55">
        <f t="shared" si="0"/>
        <v>1939000</v>
      </c>
      <c r="H25" s="48"/>
      <c r="I25" s="27"/>
      <c r="J25" s="25">
        <v>45713</v>
      </c>
      <c r="K25" s="28" t="s">
        <v>53</v>
      </c>
      <c r="L25" s="16">
        <v>3448500</v>
      </c>
      <c r="M25" s="1"/>
      <c r="N25" s="1"/>
    </row>
    <row r="26" spans="1:14">
      <c r="A26" s="12">
        <v>45708</v>
      </c>
      <c r="B26" s="13">
        <v>2600000</v>
      </c>
      <c r="C26" s="13">
        <v>3780000</v>
      </c>
      <c r="D26" s="51">
        <f t="shared" si="3"/>
        <v>6380000</v>
      </c>
      <c r="E26" s="53">
        <v>1702000</v>
      </c>
      <c r="F26" s="13">
        <f t="shared" si="1"/>
        <v>4678000</v>
      </c>
      <c r="G26" s="55">
        <f t="shared" si="0"/>
        <v>2078000</v>
      </c>
      <c r="H26" s="14"/>
      <c r="I26" s="27"/>
      <c r="J26" s="25">
        <v>45713</v>
      </c>
      <c r="K26" s="28" t="s">
        <v>77</v>
      </c>
      <c r="L26" s="16">
        <v>9990000</v>
      </c>
      <c r="M26" s="1"/>
      <c r="N26" s="1"/>
    </row>
    <row r="27" spans="1:14">
      <c r="A27" s="12">
        <v>45709</v>
      </c>
      <c r="B27" s="13">
        <v>820000</v>
      </c>
      <c r="C27" s="13">
        <v>1860000</v>
      </c>
      <c r="D27" s="51">
        <f t="shared" si="3"/>
        <v>2680000</v>
      </c>
      <c r="E27" s="53">
        <v>1644000</v>
      </c>
      <c r="F27" s="13">
        <f t="shared" si="1"/>
        <v>1036000</v>
      </c>
      <c r="G27" s="55">
        <f t="shared" si="0"/>
        <v>216000</v>
      </c>
      <c r="H27" s="14"/>
      <c r="I27" s="29"/>
      <c r="J27" s="25">
        <v>45713</v>
      </c>
      <c r="K27" s="28" t="s">
        <v>78</v>
      </c>
      <c r="L27" s="16">
        <v>2475000</v>
      </c>
      <c r="M27" s="1"/>
      <c r="N27" s="1"/>
    </row>
    <row r="28" spans="1:14">
      <c r="A28" s="12">
        <v>45710</v>
      </c>
      <c r="B28" s="13">
        <v>4950000</v>
      </c>
      <c r="C28" s="13">
        <v>4400000</v>
      </c>
      <c r="D28" s="51">
        <f t="shared" si="3"/>
        <v>9350000</v>
      </c>
      <c r="E28" s="53">
        <v>1966000</v>
      </c>
      <c r="F28" s="13">
        <f t="shared" si="1"/>
        <v>7384000</v>
      </c>
      <c r="G28" s="55">
        <f t="shared" si="0"/>
        <v>2434000</v>
      </c>
      <c r="H28" s="14"/>
      <c r="I28" s="27"/>
      <c r="J28" s="25">
        <v>45714</v>
      </c>
      <c r="K28" s="28" t="s">
        <v>79</v>
      </c>
      <c r="L28" s="16">
        <v>27000000</v>
      </c>
      <c r="M28" s="1"/>
      <c r="N28" s="1"/>
    </row>
    <row r="29" spans="1:14">
      <c r="A29" s="66">
        <v>45711</v>
      </c>
      <c r="B29" s="67"/>
      <c r="C29" s="67"/>
      <c r="D29" s="67">
        <f t="shared" si="3"/>
        <v>0</v>
      </c>
      <c r="E29" s="67"/>
      <c r="F29" s="67">
        <f t="shared" si="1"/>
        <v>0</v>
      </c>
      <c r="G29" s="67">
        <f t="shared" si="0"/>
        <v>0</v>
      </c>
      <c r="H29" s="31"/>
      <c r="I29" s="27"/>
      <c r="J29" s="25">
        <v>45714</v>
      </c>
      <c r="K29" s="28" t="s">
        <v>80</v>
      </c>
      <c r="L29" s="16">
        <v>1550000</v>
      </c>
      <c r="M29" s="1"/>
      <c r="N29" s="1"/>
    </row>
    <row r="30" spans="1:14">
      <c r="A30" s="12">
        <v>45712</v>
      </c>
      <c r="B30" s="13">
        <v>600000</v>
      </c>
      <c r="C30" s="13">
        <v>5600000</v>
      </c>
      <c r="D30" s="51">
        <f t="shared" si="3"/>
        <v>6200000</v>
      </c>
      <c r="E30" s="53">
        <v>2542000</v>
      </c>
      <c r="F30" s="13">
        <f t="shared" si="1"/>
        <v>3658000</v>
      </c>
      <c r="G30" s="55">
        <f t="shared" si="0"/>
        <v>3058000</v>
      </c>
      <c r="H30" s="14"/>
      <c r="I30" s="27"/>
      <c r="J30" s="25">
        <v>45715</v>
      </c>
      <c r="K30" s="28" t="s">
        <v>51</v>
      </c>
      <c r="L30" s="16">
        <v>500000</v>
      </c>
      <c r="M30" s="1"/>
      <c r="N30" s="1"/>
    </row>
    <row r="31" spans="1:14">
      <c r="A31" s="12">
        <v>45713</v>
      </c>
      <c r="B31" s="13">
        <v>400000</v>
      </c>
      <c r="C31" s="13">
        <v>4100000</v>
      </c>
      <c r="D31" s="51">
        <f t="shared" si="3"/>
        <v>4500000</v>
      </c>
      <c r="E31" s="53">
        <v>1247000</v>
      </c>
      <c r="F31" s="13">
        <f t="shared" si="1"/>
        <v>3253000</v>
      </c>
      <c r="G31" s="55">
        <f t="shared" si="0"/>
        <v>2853000</v>
      </c>
      <c r="H31" s="14"/>
      <c r="I31" s="27"/>
      <c r="J31" s="25">
        <v>45716</v>
      </c>
      <c r="K31" s="28" t="s">
        <v>81</v>
      </c>
      <c r="L31" s="16">
        <v>5215000</v>
      </c>
      <c r="M31" s="1"/>
      <c r="N31" s="1"/>
    </row>
    <row r="32" spans="1:14">
      <c r="A32" s="12">
        <v>45714</v>
      </c>
      <c r="B32" s="13"/>
      <c r="C32" s="13">
        <v>1750000</v>
      </c>
      <c r="D32" s="51">
        <f t="shared" si="3"/>
        <v>1750000</v>
      </c>
      <c r="E32" s="53">
        <v>1698000</v>
      </c>
      <c r="F32" s="13">
        <f t="shared" si="1"/>
        <v>52000</v>
      </c>
      <c r="G32" s="55">
        <f t="shared" si="0"/>
        <v>52000</v>
      </c>
      <c r="H32" s="14"/>
      <c r="I32" s="27"/>
      <c r="J32" s="25">
        <v>45716</v>
      </c>
      <c r="K32" s="28" t="s">
        <v>79</v>
      </c>
      <c r="L32" s="16">
        <v>22000000</v>
      </c>
      <c r="M32" s="1"/>
      <c r="N32" s="1"/>
    </row>
    <row r="33" spans="1:14">
      <c r="A33" s="12">
        <v>45715</v>
      </c>
      <c r="B33" s="13">
        <v>6150000</v>
      </c>
      <c r="C33" s="13">
        <v>900000</v>
      </c>
      <c r="D33" s="51">
        <f t="shared" si="3"/>
        <v>7050000</v>
      </c>
      <c r="E33" s="53">
        <v>1059000</v>
      </c>
      <c r="F33" s="13">
        <f t="shared" si="1"/>
        <v>5991000</v>
      </c>
      <c r="G33" s="55">
        <f t="shared" si="0"/>
        <v>-159000</v>
      </c>
      <c r="H33" s="14"/>
      <c r="I33" s="27"/>
      <c r="J33" s="25">
        <v>45716</v>
      </c>
      <c r="K33" s="28" t="s">
        <v>79</v>
      </c>
      <c r="L33" s="16">
        <v>500000</v>
      </c>
      <c r="M33" s="1"/>
      <c r="N33" s="1"/>
    </row>
    <row r="34" spans="1:14">
      <c r="A34" s="12">
        <v>45716</v>
      </c>
      <c r="B34" s="13">
        <v>1700000</v>
      </c>
      <c r="C34" s="13">
        <v>2050000</v>
      </c>
      <c r="D34" s="51">
        <f t="shared" si="3"/>
        <v>3750000</v>
      </c>
      <c r="E34" s="53">
        <v>1623000</v>
      </c>
      <c r="F34" s="13">
        <f t="shared" si="1"/>
        <v>2127000</v>
      </c>
      <c r="G34" s="55">
        <f t="shared" si="0"/>
        <v>427000</v>
      </c>
      <c r="H34" s="14"/>
      <c r="I34" s="27"/>
      <c r="J34" s="25">
        <v>45716</v>
      </c>
      <c r="K34" s="28" t="s">
        <v>53</v>
      </c>
      <c r="L34" s="16">
        <v>7572000</v>
      </c>
      <c r="M34" s="1"/>
      <c r="N34" s="1"/>
    </row>
    <row r="35" spans="1:14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>
        <v>45716</v>
      </c>
      <c r="K35" s="28" t="s">
        <v>82</v>
      </c>
      <c r="L35" s="16">
        <v>1750000</v>
      </c>
      <c r="M35" s="1"/>
      <c r="N35" s="1"/>
    </row>
    <row r="36" spans="1:14">
      <c r="A36" s="12"/>
      <c r="B36" s="13"/>
      <c r="C36" s="13"/>
      <c r="D36" s="51">
        <f>B36+C36</f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  <c r="M36" s="1"/>
      <c r="N36" s="1"/>
    </row>
    <row r="37" spans="1:14">
      <c r="A37" s="12"/>
      <c r="B37" s="13"/>
      <c r="C37" s="13"/>
      <c r="D37" s="51">
        <f t="shared" ref="D37" si="4"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  <c r="M37" s="1"/>
      <c r="N37" s="1"/>
    </row>
    <row r="38" spans="1:14">
      <c r="A38" s="12"/>
      <c r="B38" s="13"/>
      <c r="C38" s="13"/>
      <c r="D38" s="51"/>
      <c r="E38" s="53"/>
      <c r="F38" s="13"/>
      <c r="G38" s="55"/>
      <c r="H38" s="14"/>
      <c r="I38" s="27"/>
      <c r="J38" s="25"/>
      <c r="K38" s="28"/>
      <c r="L38" s="16"/>
      <c r="M38" s="1"/>
      <c r="N38" s="1"/>
    </row>
    <row r="39" spans="1:14">
      <c r="A39" s="46"/>
      <c r="B39" s="47"/>
      <c r="C39" s="47"/>
      <c r="D39" s="51"/>
      <c r="E39" s="53"/>
      <c r="F39" s="47"/>
      <c r="G39" s="55"/>
      <c r="H39" s="48"/>
      <c r="I39" s="27"/>
      <c r="J39" s="25"/>
      <c r="K39" s="28"/>
      <c r="L39" s="16"/>
      <c r="M39" s="1"/>
      <c r="N39" s="1"/>
    </row>
    <row r="40" spans="1:14">
      <c r="A40" s="12"/>
      <c r="B40" s="13"/>
      <c r="C40" s="13"/>
      <c r="D40" s="51"/>
      <c r="E40" s="53"/>
      <c r="F40" s="13"/>
      <c r="G40" s="55"/>
      <c r="H40" s="14"/>
      <c r="I40" s="27"/>
      <c r="J40" s="32"/>
      <c r="K40" s="21"/>
      <c r="L40" s="59">
        <f>SUM(L6:L39)</f>
        <v>128320500</v>
      </c>
      <c r="M40" s="1"/>
      <c r="N40" s="1"/>
    </row>
    <row r="41" spans="1:14">
      <c r="A41" s="12"/>
      <c r="B41" s="13"/>
      <c r="C41" s="13"/>
      <c r="D41" s="51"/>
      <c r="E41" s="53"/>
      <c r="F41" s="13"/>
      <c r="G41" s="55"/>
      <c r="H41" s="14"/>
      <c r="I41" s="27"/>
      <c r="J41" s="26"/>
      <c r="K41" s="2"/>
      <c r="L41" s="2"/>
      <c r="M41" s="1"/>
      <c r="N41" s="1"/>
    </row>
    <row r="42" spans="1:14" ht="15.75">
      <c r="A42" s="12"/>
      <c r="B42" s="13"/>
      <c r="C42" s="13"/>
      <c r="D42" s="51"/>
      <c r="E42" s="53"/>
      <c r="F42" s="13"/>
      <c r="G42" s="55"/>
      <c r="H42" s="14"/>
      <c r="I42" s="27"/>
      <c r="J42" s="33" t="s">
        <v>11</v>
      </c>
      <c r="K42" s="34" t="s">
        <v>12</v>
      </c>
      <c r="L42" s="57">
        <f>B50+C50</f>
        <v>124515000</v>
      </c>
      <c r="M42" s="1"/>
      <c r="N42" s="1"/>
    </row>
    <row r="43" spans="1:14" ht="15.75">
      <c r="A43" s="12"/>
      <c r="B43" s="13"/>
      <c r="C43" s="13"/>
      <c r="D43" s="51"/>
      <c r="E43" s="53"/>
      <c r="F43" s="13"/>
      <c r="G43" s="55"/>
      <c r="H43" s="14"/>
      <c r="I43" s="27"/>
      <c r="J43" s="37"/>
      <c r="K43" s="38" t="s">
        <v>13</v>
      </c>
      <c r="L43" s="58">
        <v>36866000</v>
      </c>
      <c r="M43" s="1"/>
      <c r="N43" s="1"/>
    </row>
    <row r="44" spans="1:14" ht="15.75">
      <c r="A44" s="12"/>
      <c r="B44" s="13"/>
      <c r="C44" s="13"/>
      <c r="D44" s="51"/>
      <c r="E44" s="53"/>
      <c r="F44" s="13"/>
      <c r="G44" s="55"/>
      <c r="H44" s="14"/>
      <c r="I44" s="36"/>
      <c r="K44" s="38" t="s">
        <v>14</v>
      </c>
      <c r="L44" s="58">
        <v>128320500</v>
      </c>
      <c r="M44" s="1"/>
      <c r="N44" s="1"/>
    </row>
    <row r="45" spans="1:14" ht="15.75">
      <c r="A45" s="12"/>
      <c r="B45" s="13"/>
      <c r="C45" s="13"/>
      <c r="D45" s="51"/>
      <c r="E45" s="53"/>
      <c r="F45" s="13"/>
      <c r="G45" s="55"/>
      <c r="H45" s="14"/>
      <c r="I45" s="27"/>
      <c r="K45" s="38" t="s">
        <v>15</v>
      </c>
      <c r="L45" s="39">
        <v>165186500</v>
      </c>
      <c r="M45" s="1"/>
      <c r="N45" s="1"/>
    </row>
    <row r="46" spans="1:14" ht="15.75">
      <c r="A46" s="46"/>
      <c r="B46" s="47"/>
      <c r="C46" s="47"/>
      <c r="D46" s="51"/>
      <c r="E46" s="53"/>
      <c r="F46" s="47"/>
      <c r="G46" s="55"/>
      <c r="H46" s="48"/>
      <c r="I46" s="27"/>
      <c r="L46" s="35"/>
      <c r="M46" s="1"/>
      <c r="N46" s="1"/>
    </row>
    <row r="47" spans="1:14" ht="18">
      <c r="A47" s="12"/>
      <c r="B47" s="13"/>
      <c r="C47" s="13"/>
      <c r="D47" s="51"/>
      <c r="E47" s="53"/>
      <c r="F47" s="13"/>
      <c r="G47" s="55"/>
      <c r="H47" s="14"/>
      <c r="I47" s="27"/>
      <c r="K47" s="40" t="s">
        <v>16</v>
      </c>
      <c r="L47" s="41">
        <f>L42-L45</f>
        <v>-40671500</v>
      </c>
      <c r="M47" s="1"/>
      <c r="N47" s="1"/>
    </row>
    <row r="48" spans="1:14">
      <c r="A48" s="12"/>
      <c r="B48" s="13"/>
      <c r="C48" s="13"/>
      <c r="D48" s="51"/>
      <c r="E48" s="53"/>
      <c r="F48" s="13"/>
      <c r="G48" s="55"/>
      <c r="H48" s="14"/>
      <c r="I48" s="27"/>
      <c r="J48" s="27"/>
      <c r="K48" s="27"/>
      <c r="L48" s="2"/>
      <c r="M48" s="1"/>
      <c r="N48" s="1"/>
    </row>
    <row r="49" spans="1:14">
      <c r="A49" s="12"/>
      <c r="B49" s="13"/>
      <c r="C49" s="13"/>
      <c r="D49" s="51"/>
      <c r="E49" s="53"/>
      <c r="F49" s="13"/>
      <c r="G49" s="55"/>
      <c r="H49" s="14"/>
      <c r="I49" s="2"/>
      <c r="J49" s="37"/>
      <c r="K49" s="38"/>
      <c r="L49" s="2"/>
      <c r="M49" s="1"/>
      <c r="N49" s="1"/>
    </row>
    <row r="50" spans="1:14">
      <c r="A50" s="12"/>
      <c r="B50" s="42">
        <f t="shared" ref="B50:G50" si="5">SUM(B6:B49)</f>
        <v>65990000</v>
      </c>
      <c r="C50" s="42">
        <f t="shared" si="5"/>
        <v>58525000</v>
      </c>
      <c r="D50" s="52">
        <f t="shared" si="5"/>
        <v>124515000</v>
      </c>
      <c r="E50" s="54">
        <f t="shared" si="5"/>
        <v>36866000</v>
      </c>
      <c r="F50" s="50">
        <f t="shared" si="5"/>
        <v>87649000</v>
      </c>
      <c r="G50" s="56">
        <f t="shared" si="5"/>
        <v>21659000</v>
      </c>
      <c r="H50" s="27"/>
      <c r="I50" s="2"/>
      <c r="J50" s="37"/>
      <c r="K50" s="38"/>
      <c r="L50" s="2"/>
      <c r="M50" s="1"/>
      <c r="N50" s="1"/>
    </row>
    <row r="51" spans="1:14">
      <c r="A51" s="2"/>
      <c r="B51" s="2"/>
      <c r="C51" s="2"/>
      <c r="D51" s="63"/>
      <c r="E51" s="2"/>
      <c r="F51" s="2"/>
      <c r="G51" s="2"/>
      <c r="H51" s="27"/>
      <c r="I51" s="2"/>
      <c r="J51" s="37"/>
      <c r="K51" s="40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80"/>
      <c r="K52" s="80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</sheetData>
  <mergeCells count="8">
    <mergeCell ref="F4:F5"/>
    <mergeCell ref="G4:G5"/>
    <mergeCell ref="J52:K52"/>
    <mergeCell ref="A2:E3"/>
    <mergeCell ref="A4:A5"/>
    <mergeCell ref="B4:C4"/>
    <mergeCell ref="D4:D5"/>
    <mergeCell ref="E4:E5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N58"/>
  <sheetViews>
    <sheetView topLeftCell="C25" workbookViewId="0">
      <selection activeCell="J47" sqref="J47"/>
    </sheetView>
  </sheetViews>
  <sheetFormatPr defaultRowHeight="15"/>
  <cols>
    <col min="2" max="2" width="16.42578125" customWidth="1"/>
    <col min="3" max="3" width="16.7109375" customWidth="1"/>
    <col min="4" max="4" width="16.5703125" customWidth="1"/>
    <col min="5" max="5" width="18.140625" customWidth="1"/>
    <col min="6" max="6" width="17" customWidth="1"/>
    <col min="7" max="7" width="17.42578125" customWidth="1"/>
    <col min="10" max="10" width="11.85546875" customWidth="1"/>
    <col min="11" max="11" width="36.28515625" customWidth="1"/>
    <col min="12" max="12" width="20.85546875" customWidth="1"/>
  </cols>
  <sheetData>
    <row r="3" spans="1:14" ht="15" customHeight="1">
      <c r="A3" s="81" t="s">
        <v>18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  <c r="M3" s="1"/>
      <c r="N3" s="1"/>
    </row>
    <row r="4" spans="1:14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  <c r="M4" s="1"/>
      <c r="N4" s="1"/>
    </row>
    <row r="5" spans="1:14" ht="15.75" customHeight="1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  <c r="M5" s="1"/>
      <c r="N5" s="1"/>
    </row>
    <row r="6" spans="1:14" ht="15.75">
      <c r="A6" s="85"/>
      <c r="B6" s="8" t="s">
        <v>7</v>
      </c>
      <c r="C6" s="62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  <c r="M6" s="1"/>
      <c r="N6" s="1"/>
    </row>
    <row r="7" spans="1:14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 t="s">
        <v>93</v>
      </c>
      <c r="K7" s="60" t="s">
        <v>94</v>
      </c>
      <c r="L7" s="16">
        <v>363000</v>
      </c>
      <c r="M7" s="1"/>
      <c r="N7" s="1"/>
    </row>
    <row r="8" spans="1:14">
      <c r="A8" s="66" t="s">
        <v>84</v>
      </c>
      <c r="B8" s="67"/>
      <c r="C8" s="67"/>
      <c r="D8" s="67">
        <f>B8+C8</f>
        <v>0</v>
      </c>
      <c r="E8" s="67"/>
      <c r="F8" s="67">
        <f t="shared" ref="F8:F38" si="1">D8-E8</f>
        <v>0</v>
      </c>
      <c r="G8" s="67">
        <f t="shared" si="0"/>
        <v>0</v>
      </c>
      <c r="H8" s="14"/>
      <c r="I8" s="17"/>
      <c r="J8" s="61" t="s">
        <v>93</v>
      </c>
      <c r="K8" s="60" t="s">
        <v>95</v>
      </c>
      <c r="L8" s="16">
        <v>1100000</v>
      </c>
      <c r="M8" s="1"/>
      <c r="N8" s="1"/>
    </row>
    <row r="9" spans="1:14">
      <c r="A9" s="66" t="s">
        <v>85</v>
      </c>
      <c r="B9" s="67"/>
      <c r="C9" s="67"/>
      <c r="D9" s="67">
        <f>B9+C9</f>
        <v>0</v>
      </c>
      <c r="E9" s="67"/>
      <c r="F9" s="67">
        <f t="shared" si="1"/>
        <v>0</v>
      </c>
      <c r="G9" s="67">
        <f t="shared" si="0"/>
        <v>0</v>
      </c>
      <c r="H9" s="14"/>
      <c r="I9" s="7"/>
      <c r="J9" s="18" t="s">
        <v>93</v>
      </c>
      <c r="K9" s="19" t="s">
        <v>96</v>
      </c>
      <c r="L9" s="16">
        <v>1500000</v>
      </c>
      <c r="M9" s="1"/>
      <c r="N9" s="1"/>
    </row>
    <row r="10" spans="1:14">
      <c r="A10" s="12" t="s">
        <v>86</v>
      </c>
      <c r="B10" s="13">
        <v>350000</v>
      </c>
      <c r="C10" s="13">
        <v>4405000</v>
      </c>
      <c r="D10" s="51">
        <f>B10+C10</f>
        <v>4755000</v>
      </c>
      <c r="E10" s="53">
        <v>1323000</v>
      </c>
      <c r="F10" s="47">
        <f t="shared" si="1"/>
        <v>3432000</v>
      </c>
      <c r="G10" s="55">
        <f t="shared" si="0"/>
        <v>3082000</v>
      </c>
      <c r="H10" s="14"/>
      <c r="I10" s="20"/>
      <c r="J10" s="18" t="s">
        <v>93</v>
      </c>
      <c r="K10" s="43" t="s">
        <v>97</v>
      </c>
      <c r="L10" s="16">
        <v>500000</v>
      </c>
      <c r="M10" s="1"/>
      <c r="N10" s="1"/>
    </row>
    <row r="11" spans="1:14">
      <c r="A11" s="12" t="s">
        <v>87</v>
      </c>
      <c r="B11" s="13">
        <v>2200000</v>
      </c>
      <c r="C11" s="13">
        <v>3125000</v>
      </c>
      <c r="D11" s="51">
        <f>B11+C11</f>
        <v>5325000</v>
      </c>
      <c r="E11" s="53">
        <v>1038000</v>
      </c>
      <c r="F11" s="47">
        <f t="shared" si="1"/>
        <v>4287000</v>
      </c>
      <c r="G11" s="55">
        <f t="shared" si="0"/>
        <v>2087000</v>
      </c>
      <c r="H11" s="14"/>
      <c r="I11" s="20"/>
      <c r="J11" s="12" t="s">
        <v>100</v>
      </c>
      <c r="K11" s="19" t="s">
        <v>101</v>
      </c>
      <c r="L11" s="16">
        <v>217500</v>
      </c>
      <c r="M11" s="1"/>
      <c r="N11" s="1"/>
    </row>
    <row r="12" spans="1:14">
      <c r="A12" s="12" t="s">
        <v>88</v>
      </c>
      <c r="B12" s="13">
        <v>8400000</v>
      </c>
      <c r="C12" s="47">
        <v>4000000</v>
      </c>
      <c r="D12" s="51">
        <f>B12+C12</f>
        <v>12400000</v>
      </c>
      <c r="E12" s="53">
        <v>2530000</v>
      </c>
      <c r="F12" s="13">
        <f t="shared" si="1"/>
        <v>9870000</v>
      </c>
      <c r="G12" s="55">
        <f t="shared" si="0"/>
        <v>1470000</v>
      </c>
      <c r="H12" s="14"/>
      <c r="I12" s="7"/>
      <c r="J12" s="12" t="s">
        <v>103</v>
      </c>
      <c r="K12" s="15" t="s">
        <v>104</v>
      </c>
      <c r="L12" s="16">
        <v>1625000</v>
      </c>
      <c r="M12" s="1"/>
      <c r="N12" s="1"/>
    </row>
    <row r="13" spans="1:14">
      <c r="A13" s="12" t="s">
        <v>89</v>
      </c>
      <c r="B13" s="13"/>
      <c r="C13" s="13"/>
      <c r="D13" s="51">
        <f t="shared" ref="D13:D19" si="2">B13+C13</f>
        <v>0</v>
      </c>
      <c r="E13" s="53">
        <v>911000</v>
      </c>
      <c r="F13" s="13">
        <f t="shared" si="1"/>
        <v>-911000</v>
      </c>
      <c r="G13" s="55">
        <f t="shared" si="0"/>
        <v>-911000</v>
      </c>
      <c r="H13" s="14"/>
      <c r="I13" s="7"/>
      <c r="J13" s="12" t="s">
        <v>105</v>
      </c>
      <c r="K13" s="23" t="s">
        <v>106</v>
      </c>
      <c r="L13" s="16">
        <v>9000000</v>
      </c>
      <c r="M13" s="1"/>
      <c r="N13" s="1"/>
    </row>
    <row r="14" spans="1:14">
      <c r="A14" s="46" t="s">
        <v>90</v>
      </c>
      <c r="B14" s="47">
        <v>2500000</v>
      </c>
      <c r="C14" s="47"/>
      <c r="D14" s="51">
        <f t="shared" si="2"/>
        <v>2500000</v>
      </c>
      <c r="E14" s="53">
        <v>1546000</v>
      </c>
      <c r="F14" s="47">
        <f t="shared" si="1"/>
        <v>954000</v>
      </c>
      <c r="G14" s="55">
        <f t="shared" si="0"/>
        <v>-1546000</v>
      </c>
      <c r="H14" s="49"/>
      <c r="I14" s="7"/>
      <c r="J14" s="12" t="s">
        <v>105</v>
      </c>
      <c r="K14" s="23" t="s">
        <v>107</v>
      </c>
      <c r="L14" s="16">
        <v>750000</v>
      </c>
      <c r="M14" s="1"/>
      <c r="N14" s="1"/>
    </row>
    <row r="15" spans="1:14">
      <c r="A15" s="12" t="s">
        <v>91</v>
      </c>
      <c r="B15" s="13">
        <v>9600000</v>
      </c>
      <c r="C15" s="13">
        <v>7600000</v>
      </c>
      <c r="D15" s="51">
        <f t="shared" si="2"/>
        <v>17200000</v>
      </c>
      <c r="E15" s="53">
        <v>2666000</v>
      </c>
      <c r="F15" s="13">
        <f t="shared" si="1"/>
        <v>14534000</v>
      </c>
      <c r="G15" s="55">
        <f t="shared" si="0"/>
        <v>4934000</v>
      </c>
      <c r="H15" s="22"/>
      <c r="I15" s="20"/>
      <c r="J15" s="25" t="s">
        <v>105</v>
      </c>
      <c r="K15" s="44" t="s">
        <v>108</v>
      </c>
      <c r="L15" s="45">
        <v>700000</v>
      </c>
      <c r="M15" s="1"/>
      <c r="N15" s="1"/>
    </row>
    <row r="16" spans="1:14">
      <c r="A16" s="12" t="s">
        <v>92</v>
      </c>
      <c r="B16" s="13">
        <v>2300000</v>
      </c>
      <c r="C16" s="13">
        <v>3200000</v>
      </c>
      <c r="D16" s="51">
        <f t="shared" si="2"/>
        <v>5500000</v>
      </c>
      <c r="E16" s="53">
        <v>2104000</v>
      </c>
      <c r="F16" s="13">
        <f t="shared" si="1"/>
        <v>3396000</v>
      </c>
      <c r="G16" s="55">
        <f t="shared" si="0"/>
        <v>1096000</v>
      </c>
      <c r="H16" s="22"/>
      <c r="I16" s="24"/>
      <c r="J16" s="12" t="s">
        <v>105</v>
      </c>
      <c r="K16" s="23" t="s">
        <v>109</v>
      </c>
      <c r="L16" s="16">
        <v>2250000</v>
      </c>
      <c r="M16" s="1"/>
      <c r="N16" s="1"/>
    </row>
    <row r="17" spans="1:14">
      <c r="A17" s="12" t="s">
        <v>99</v>
      </c>
      <c r="B17" s="13">
        <v>500000</v>
      </c>
      <c r="C17" s="13">
        <v>600000</v>
      </c>
      <c r="D17" s="51">
        <f t="shared" si="2"/>
        <v>1100000</v>
      </c>
      <c r="E17" s="53">
        <v>1484000</v>
      </c>
      <c r="F17" s="13">
        <f t="shared" si="1"/>
        <v>-384000</v>
      </c>
      <c r="G17" s="55">
        <f t="shared" si="0"/>
        <v>-884000</v>
      </c>
      <c r="H17" s="22"/>
      <c r="I17" s="24"/>
      <c r="J17" s="12" t="s">
        <v>105</v>
      </c>
      <c r="K17" s="21" t="s">
        <v>111</v>
      </c>
      <c r="L17" s="16">
        <v>8000000</v>
      </c>
      <c r="M17" s="1"/>
      <c r="N17" s="1"/>
    </row>
    <row r="18" spans="1:14">
      <c r="A18" s="12" t="s">
        <v>93</v>
      </c>
      <c r="B18" s="13">
        <v>8125000</v>
      </c>
      <c r="C18" s="13">
        <v>2750000</v>
      </c>
      <c r="D18" s="51">
        <f t="shared" si="2"/>
        <v>10875000</v>
      </c>
      <c r="E18" s="53">
        <v>1706000</v>
      </c>
      <c r="F18" s="13">
        <f t="shared" si="1"/>
        <v>9169000</v>
      </c>
      <c r="G18" s="55">
        <f t="shared" si="0"/>
        <v>1044000</v>
      </c>
      <c r="H18" s="22"/>
      <c r="I18" s="27"/>
      <c r="J18" s="25" t="s">
        <v>115</v>
      </c>
      <c r="K18" s="28" t="s">
        <v>116</v>
      </c>
      <c r="L18" s="16">
        <v>1000000</v>
      </c>
      <c r="M18" s="1"/>
      <c r="N18" s="1"/>
    </row>
    <row r="19" spans="1:14">
      <c r="A19" s="12" t="s">
        <v>98</v>
      </c>
      <c r="B19" s="13"/>
      <c r="C19" s="13"/>
      <c r="D19" s="51">
        <f t="shared" si="2"/>
        <v>0</v>
      </c>
      <c r="E19" s="53">
        <v>855000</v>
      </c>
      <c r="F19" s="13">
        <f t="shared" si="1"/>
        <v>-855000</v>
      </c>
      <c r="G19" s="55">
        <f t="shared" si="0"/>
        <v>-855000</v>
      </c>
      <c r="H19" s="22"/>
      <c r="I19" s="27"/>
      <c r="J19" s="30" t="s">
        <v>115</v>
      </c>
      <c r="K19" s="21" t="s">
        <v>41</v>
      </c>
      <c r="L19" s="16">
        <v>860000</v>
      </c>
      <c r="M19" s="1"/>
      <c r="N19" s="1"/>
    </row>
    <row r="20" spans="1:14">
      <c r="A20" s="12" t="s">
        <v>100</v>
      </c>
      <c r="B20" s="13">
        <v>4850000</v>
      </c>
      <c r="C20" s="13">
        <v>8100000</v>
      </c>
      <c r="D20" s="51">
        <f>B20+C20</f>
        <v>12950000</v>
      </c>
      <c r="E20" s="53">
        <v>1755000</v>
      </c>
      <c r="F20" s="13">
        <f t="shared" si="1"/>
        <v>11195000</v>
      </c>
      <c r="G20" s="55">
        <f t="shared" si="0"/>
        <v>6345000</v>
      </c>
      <c r="H20" s="22"/>
      <c r="I20" s="29"/>
      <c r="J20" s="25" t="s">
        <v>117</v>
      </c>
      <c r="K20" s="28" t="s">
        <v>118</v>
      </c>
      <c r="L20" s="16">
        <v>7500000</v>
      </c>
      <c r="M20" s="1"/>
      <c r="N20" s="1"/>
    </row>
    <row r="21" spans="1:14">
      <c r="A21" s="46" t="s">
        <v>102</v>
      </c>
      <c r="B21" s="47">
        <v>19350000</v>
      </c>
      <c r="C21" s="47">
        <v>5370000</v>
      </c>
      <c r="D21" s="51">
        <f>B21+C21</f>
        <v>24720000</v>
      </c>
      <c r="E21" s="53">
        <v>4148000</v>
      </c>
      <c r="F21" s="47">
        <f t="shared" si="1"/>
        <v>20572000</v>
      </c>
      <c r="G21" s="55">
        <f t="shared" si="0"/>
        <v>1222000</v>
      </c>
      <c r="H21" s="48"/>
      <c r="I21" s="27"/>
      <c r="J21" s="25" t="s">
        <v>122</v>
      </c>
      <c r="K21" s="28" t="s">
        <v>123</v>
      </c>
      <c r="L21" s="16">
        <v>3000000</v>
      </c>
      <c r="M21" s="1"/>
      <c r="N21" s="1"/>
    </row>
    <row r="22" spans="1:14">
      <c r="A22" s="46" t="s">
        <v>103</v>
      </c>
      <c r="B22" s="47">
        <v>500000</v>
      </c>
      <c r="C22" s="47">
        <v>4500000</v>
      </c>
      <c r="D22" s="51">
        <f t="shared" ref="D22:D36" si="3">B22+C22</f>
        <v>5000000</v>
      </c>
      <c r="E22" s="53">
        <v>1123000</v>
      </c>
      <c r="F22" s="47">
        <f t="shared" si="1"/>
        <v>3877000</v>
      </c>
      <c r="G22" s="55">
        <f t="shared" si="0"/>
        <v>3377000</v>
      </c>
      <c r="H22" s="48"/>
      <c r="I22" s="27"/>
      <c r="J22" s="25" t="s">
        <v>124</v>
      </c>
      <c r="K22" s="28" t="s">
        <v>41</v>
      </c>
      <c r="L22" s="16">
        <v>840000</v>
      </c>
      <c r="M22" s="1"/>
      <c r="N22" s="1"/>
    </row>
    <row r="23" spans="1:14">
      <c r="A23" s="46" t="s">
        <v>105</v>
      </c>
      <c r="B23" s="47">
        <v>2200000</v>
      </c>
      <c r="C23" s="47"/>
      <c r="D23" s="51">
        <f t="shared" si="3"/>
        <v>2200000</v>
      </c>
      <c r="E23" s="53">
        <v>690000</v>
      </c>
      <c r="F23" s="47">
        <f t="shared" si="1"/>
        <v>1510000</v>
      </c>
      <c r="G23" s="55">
        <f t="shared" si="0"/>
        <v>-690000</v>
      </c>
      <c r="H23" s="48"/>
      <c r="I23" s="27"/>
      <c r="J23" s="25" t="s">
        <v>125</v>
      </c>
      <c r="K23" s="28" t="s">
        <v>41</v>
      </c>
      <c r="L23" s="16">
        <v>105000</v>
      </c>
      <c r="M23" s="1"/>
      <c r="N23" s="1"/>
    </row>
    <row r="24" spans="1:14">
      <c r="A24" s="46" t="s">
        <v>110</v>
      </c>
      <c r="B24" s="47">
        <v>1750000</v>
      </c>
      <c r="C24" s="47">
        <v>750000</v>
      </c>
      <c r="D24" s="51">
        <f t="shared" si="3"/>
        <v>2500000</v>
      </c>
      <c r="E24" s="53">
        <v>1091000</v>
      </c>
      <c r="F24" s="47">
        <f t="shared" si="1"/>
        <v>1409000</v>
      </c>
      <c r="G24" s="55">
        <f t="shared" si="0"/>
        <v>-341000</v>
      </c>
      <c r="H24" s="48"/>
      <c r="I24" s="27"/>
      <c r="J24" s="25" t="s">
        <v>125</v>
      </c>
      <c r="K24" s="28" t="s">
        <v>126</v>
      </c>
      <c r="L24" s="16">
        <v>1000000</v>
      </c>
      <c r="M24" s="1"/>
      <c r="N24" s="1"/>
    </row>
    <row r="25" spans="1:14">
      <c r="A25" s="46" t="s">
        <v>112</v>
      </c>
      <c r="B25" s="47">
        <v>900000</v>
      </c>
      <c r="C25" s="47"/>
      <c r="D25" s="51">
        <f t="shared" si="3"/>
        <v>900000</v>
      </c>
      <c r="E25" s="53">
        <v>926000</v>
      </c>
      <c r="F25" s="47">
        <f t="shared" si="1"/>
        <v>-26000</v>
      </c>
      <c r="G25" s="55">
        <f t="shared" si="0"/>
        <v>-926000</v>
      </c>
      <c r="H25" s="48"/>
      <c r="I25" s="27"/>
      <c r="J25" s="25" t="s">
        <v>125</v>
      </c>
      <c r="K25" s="28" t="s">
        <v>127</v>
      </c>
      <c r="L25" s="16">
        <v>10000000</v>
      </c>
      <c r="M25" s="1"/>
      <c r="N25" s="1"/>
    </row>
    <row r="26" spans="1:14">
      <c r="A26" s="46" t="s">
        <v>113</v>
      </c>
      <c r="B26" s="47">
        <v>2100000</v>
      </c>
      <c r="C26" s="47">
        <v>2925000</v>
      </c>
      <c r="D26" s="51">
        <f t="shared" si="3"/>
        <v>5025000</v>
      </c>
      <c r="E26" s="53">
        <v>862000</v>
      </c>
      <c r="F26" s="47">
        <f t="shared" si="1"/>
        <v>4163000</v>
      </c>
      <c r="G26" s="55">
        <f t="shared" si="0"/>
        <v>2063000</v>
      </c>
      <c r="H26" s="48"/>
      <c r="I26" s="27"/>
      <c r="J26" s="25" t="s">
        <v>128</v>
      </c>
      <c r="K26" s="28" t="s">
        <v>51</v>
      </c>
      <c r="L26" s="16">
        <v>500000</v>
      </c>
      <c r="M26" s="1"/>
      <c r="N26" s="1"/>
    </row>
    <row r="27" spans="1:14">
      <c r="A27" s="12" t="s">
        <v>114</v>
      </c>
      <c r="B27" s="13">
        <v>6150000</v>
      </c>
      <c r="C27" s="13">
        <v>13500000</v>
      </c>
      <c r="D27" s="51">
        <f t="shared" si="3"/>
        <v>19650000</v>
      </c>
      <c r="E27" s="53">
        <v>4659000</v>
      </c>
      <c r="F27" s="13">
        <f t="shared" si="1"/>
        <v>14991000</v>
      </c>
      <c r="G27" s="55">
        <f t="shared" si="0"/>
        <v>8841000</v>
      </c>
      <c r="H27" s="14"/>
      <c r="I27" s="27"/>
      <c r="J27" s="25" t="s">
        <v>128</v>
      </c>
      <c r="K27" s="28" t="s">
        <v>129</v>
      </c>
      <c r="L27" s="16">
        <v>50000000</v>
      </c>
      <c r="M27" s="1"/>
      <c r="N27" s="1"/>
    </row>
    <row r="28" spans="1:14">
      <c r="A28" s="12" t="s">
        <v>115</v>
      </c>
      <c r="B28" s="13">
        <v>15000000</v>
      </c>
      <c r="C28" s="13">
        <v>4850000</v>
      </c>
      <c r="D28" s="51">
        <f t="shared" si="3"/>
        <v>19850000</v>
      </c>
      <c r="E28" s="53">
        <v>3694000</v>
      </c>
      <c r="F28" s="13">
        <f t="shared" si="1"/>
        <v>16156000</v>
      </c>
      <c r="G28" s="55">
        <f t="shared" si="0"/>
        <v>1156000</v>
      </c>
      <c r="H28" s="14"/>
      <c r="I28" s="29"/>
      <c r="J28" s="25" t="s">
        <v>130</v>
      </c>
      <c r="K28" s="28" t="s">
        <v>61</v>
      </c>
      <c r="L28" s="16">
        <v>2010000</v>
      </c>
      <c r="M28" s="1"/>
      <c r="N28" s="1"/>
    </row>
    <row r="29" spans="1:14">
      <c r="A29" s="12" t="s">
        <v>117</v>
      </c>
      <c r="B29" s="13">
        <v>5650000</v>
      </c>
      <c r="C29" s="13">
        <v>150000</v>
      </c>
      <c r="D29" s="51">
        <f t="shared" si="3"/>
        <v>5800000</v>
      </c>
      <c r="E29" s="53">
        <v>2692000</v>
      </c>
      <c r="F29" s="13">
        <f t="shared" si="1"/>
        <v>3108000</v>
      </c>
      <c r="G29" s="55">
        <f t="shared" si="0"/>
        <v>-2542000</v>
      </c>
      <c r="H29" s="14"/>
      <c r="I29" s="27"/>
      <c r="J29" s="25" t="s">
        <v>130</v>
      </c>
      <c r="K29" s="28" t="s">
        <v>131</v>
      </c>
      <c r="L29" s="16">
        <v>1500000</v>
      </c>
      <c r="M29" s="1"/>
      <c r="N29" s="1"/>
    </row>
    <row r="30" spans="1:14">
      <c r="A30" s="66" t="s">
        <v>119</v>
      </c>
      <c r="B30" s="67"/>
      <c r="C30" s="67"/>
      <c r="D30" s="67">
        <f t="shared" si="3"/>
        <v>0</v>
      </c>
      <c r="E30" s="67"/>
      <c r="F30" s="67">
        <f t="shared" si="1"/>
        <v>0</v>
      </c>
      <c r="G30" s="67">
        <f t="shared" si="0"/>
        <v>0</v>
      </c>
      <c r="H30" s="31"/>
      <c r="I30" s="27"/>
      <c r="J30" s="25" t="s">
        <v>130</v>
      </c>
      <c r="K30" s="28" t="s">
        <v>132</v>
      </c>
      <c r="L30" s="16">
        <v>250000</v>
      </c>
      <c r="M30" s="1"/>
      <c r="N30" s="1"/>
    </row>
    <row r="31" spans="1:14">
      <c r="A31" s="12" t="s">
        <v>120</v>
      </c>
      <c r="B31" s="13">
        <v>6800000</v>
      </c>
      <c r="C31" s="13">
        <v>5150000</v>
      </c>
      <c r="D31" s="51">
        <f t="shared" si="3"/>
        <v>11950000</v>
      </c>
      <c r="E31" s="53">
        <v>3557000</v>
      </c>
      <c r="F31" s="13">
        <f t="shared" si="1"/>
        <v>8393000</v>
      </c>
      <c r="G31" s="55">
        <f t="shared" si="0"/>
        <v>1593000</v>
      </c>
      <c r="H31" s="14"/>
      <c r="I31" s="27"/>
      <c r="J31" s="25" t="s">
        <v>130</v>
      </c>
      <c r="K31" s="28" t="s">
        <v>79</v>
      </c>
      <c r="L31" s="16">
        <v>7250000</v>
      </c>
      <c r="M31" s="1"/>
      <c r="N31" s="1"/>
    </row>
    <row r="32" spans="1:14">
      <c r="A32" s="12" t="s">
        <v>121</v>
      </c>
      <c r="B32" s="13">
        <v>9050000</v>
      </c>
      <c r="C32" s="13">
        <v>7050000</v>
      </c>
      <c r="D32" s="51">
        <f t="shared" si="3"/>
        <v>16100000</v>
      </c>
      <c r="E32" s="53">
        <v>2400000</v>
      </c>
      <c r="F32" s="13">
        <f t="shared" si="1"/>
        <v>13700000</v>
      </c>
      <c r="G32" s="55">
        <f t="shared" si="0"/>
        <v>4650000</v>
      </c>
      <c r="H32" s="14"/>
      <c r="I32" s="27"/>
      <c r="J32" s="25" t="s">
        <v>133</v>
      </c>
      <c r="K32" s="28" t="s">
        <v>42</v>
      </c>
      <c r="L32" s="16">
        <v>112500</v>
      </c>
      <c r="M32" s="1"/>
      <c r="N32" s="1"/>
    </row>
    <row r="33" spans="1:14">
      <c r="A33" s="12" t="s">
        <v>124</v>
      </c>
      <c r="B33" s="13">
        <v>5150000</v>
      </c>
      <c r="C33" s="13">
        <v>3925000</v>
      </c>
      <c r="D33" s="51">
        <f t="shared" si="3"/>
        <v>9075000</v>
      </c>
      <c r="E33" s="53">
        <v>1684000</v>
      </c>
      <c r="F33" s="13">
        <f t="shared" si="1"/>
        <v>7391000</v>
      </c>
      <c r="G33" s="55">
        <f t="shared" si="0"/>
        <v>2241000</v>
      </c>
      <c r="H33" s="14"/>
      <c r="I33" s="27"/>
      <c r="J33" s="25">
        <v>45749</v>
      </c>
      <c r="K33" s="28" t="s">
        <v>129</v>
      </c>
      <c r="L33" s="16">
        <v>1000000</v>
      </c>
      <c r="M33" s="1"/>
      <c r="N33" s="1"/>
    </row>
    <row r="34" spans="1:14">
      <c r="A34" s="12" t="s">
        <v>125</v>
      </c>
      <c r="B34" s="13">
        <v>6000000</v>
      </c>
      <c r="C34" s="13">
        <v>2750000</v>
      </c>
      <c r="D34" s="51">
        <f t="shared" si="3"/>
        <v>8750000</v>
      </c>
      <c r="E34" s="53">
        <v>1912000</v>
      </c>
      <c r="F34" s="13">
        <f t="shared" si="1"/>
        <v>6838000</v>
      </c>
      <c r="G34" s="55">
        <f t="shared" si="0"/>
        <v>838000</v>
      </c>
      <c r="H34" s="14"/>
      <c r="I34" s="27"/>
      <c r="J34" s="25"/>
      <c r="K34" s="28"/>
      <c r="L34" s="16"/>
      <c r="M34" s="1"/>
      <c r="N34" s="1"/>
    </row>
    <row r="35" spans="1:14">
      <c r="A35" s="12" t="s">
        <v>128</v>
      </c>
      <c r="B35" s="13">
        <v>3640000</v>
      </c>
      <c r="C35" s="13">
        <v>8700000</v>
      </c>
      <c r="D35" s="51">
        <f t="shared" si="3"/>
        <v>12340000</v>
      </c>
      <c r="E35" s="53">
        <v>1969000</v>
      </c>
      <c r="F35" s="13">
        <f t="shared" si="1"/>
        <v>10371000</v>
      </c>
      <c r="G35" s="55">
        <f t="shared" si="0"/>
        <v>6731000</v>
      </c>
      <c r="H35" s="14"/>
      <c r="I35" s="27"/>
      <c r="J35" s="25"/>
      <c r="K35" s="28"/>
      <c r="L35" s="16"/>
      <c r="M35" s="1"/>
      <c r="N35" s="1"/>
    </row>
    <row r="36" spans="1:14">
      <c r="A36" s="12" t="s">
        <v>130</v>
      </c>
      <c r="B36" s="13">
        <v>2100000</v>
      </c>
      <c r="C36" s="13">
        <v>500000</v>
      </c>
      <c r="D36" s="51">
        <f t="shared" si="3"/>
        <v>2600000</v>
      </c>
      <c r="E36" s="53">
        <v>2141000</v>
      </c>
      <c r="F36" s="13">
        <f t="shared" si="1"/>
        <v>459000</v>
      </c>
      <c r="G36" s="55">
        <f t="shared" si="0"/>
        <v>-1641000</v>
      </c>
      <c r="H36" s="14"/>
      <c r="I36" s="27"/>
      <c r="J36" s="25"/>
      <c r="K36" s="28"/>
      <c r="L36" s="16"/>
      <c r="M36" s="1"/>
      <c r="N36" s="1"/>
    </row>
    <row r="37" spans="1:14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  <c r="M37" s="1"/>
      <c r="N37" s="1"/>
    </row>
    <row r="38" spans="1:14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  <c r="M38" s="1"/>
      <c r="N38" s="1"/>
    </row>
    <row r="39" spans="1:14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/>
      <c r="N39" s="1"/>
    </row>
    <row r="40" spans="1:14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  <c r="N40" s="1"/>
    </row>
    <row r="41" spans="1:14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112933000</v>
      </c>
      <c r="M41" s="1"/>
      <c r="N41" s="1"/>
    </row>
    <row r="42" spans="1:14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  <c r="N42" s="1"/>
    </row>
    <row r="43" spans="1:14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11</v>
      </c>
      <c r="K43" s="34" t="s">
        <v>12</v>
      </c>
      <c r="L43" s="57">
        <f>B51+C51</f>
        <v>219065000</v>
      </c>
      <c r="M43" s="1"/>
      <c r="N43" s="1"/>
    </row>
    <row r="44" spans="1:14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13</v>
      </c>
      <c r="L44" s="58">
        <v>51466000</v>
      </c>
      <c r="M44" s="1"/>
      <c r="N44" s="1"/>
    </row>
    <row r="45" spans="1:14" ht="15.75">
      <c r="A45" s="12"/>
      <c r="B45" s="13"/>
      <c r="C45" s="13"/>
      <c r="D45" s="51"/>
      <c r="E45" s="53" t="s">
        <v>83</v>
      </c>
      <c r="F45" s="13"/>
      <c r="G45" s="55"/>
      <c r="H45" s="14"/>
      <c r="I45" s="36"/>
      <c r="J45" s="37"/>
      <c r="K45" s="38" t="s">
        <v>14</v>
      </c>
      <c r="L45" s="58">
        <v>112933000</v>
      </c>
      <c r="M45" s="1"/>
      <c r="N45" s="1"/>
    </row>
    <row r="46" spans="1:14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15</v>
      </c>
      <c r="L46" s="39">
        <v>164399000</v>
      </c>
      <c r="M46" s="1"/>
      <c r="N46" s="1"/>
    </row>
    <row r="47" spans="1:14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  <c r="N47" s="1"/>
    </row>
    <row r="48" spans="1:14" ht="18">
      <c r="A48" s="12"/>
      <c r="B48" s="13"/>
      <c r="C48" s="13"/>
      <c r="D48" s="51"/>
      <c r="E48" s="53"/>
      <c r="F48" s="13"/>
      <c r="G48" s="55"/>
      <c r="H48" s="14"/>
      <c r="I48" s="27"/>
      <c r="J48" s="80" t="s">
        <v>19</v>
      </c>
      <c r="K48" s="80"/>
      <c r="L48" s="41">
        <f>L43-L46</f>
        <v>54666000</v>
      </c>
      <c r="M48" s="1"/>
      <c r="N48" s="1"/>
    </row>
    <row r="49" spans="1:14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  <c r="N49" s="1"/>
    </row>
    <row r="50" spans="1:14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  <c r="N50" s="1"/>
    </row>
    <row r="51" spans="1:14">
      <c r="A51" s="12"/>
      <c r="B51" s="42">
        <f t="shared" ref="B51:G51" si="5">SUM(B7:B50)</f>
        <v>125165000</v>
      </c>
      <c r="C51" s="42">
        <f t="shared" si="5"/>
        <v>93900000</v>
      </c>
      <c r="D51" s="52">
        <f t="shared" si="5"/>
        <v>219065000</v>
      </c>
      <c r="E51" s="54">
        <f t="shared" si="5"/>
        <v>51466000</v>
      </c>
      <c r="F51" s="50">
        <f t="shared" si="5"/>
        <v>167599000</v>
      </c>
      <c r="G51" s="56">
        <f t="shared" si="5"/>
        <v>42434000</v>
      </c>
      <c r="H51" s="27"/>
      <c r="I51" s="2"/>
      <c r="J51" s="2"/>
      <c r="K51" s="2"/>
      <c r="L51" s="2"/>
      <c r="M51" s="1"/>
      <c r="N51" s="1"/>
    </row>
    <row r="52" spans="1:14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L58"/>
  <sheetViews>
    <sheetView topLeftCell="C27" workbookViewId="0">
      <selection activeCell="I24" sqref="I24"/>
    </sheetView>
  </sheetViews>
  <sheetFormatPr defaultRowHeight="15"/>
  <cols>
    <col min="1" max="1" width="11.140625" customWidth="1"/>
    <col min="2" max="2" width="19.28515625" customWidth="1"/>
    <col min="3" max="3" width="18.28515625" customWidth="1"/>
    <col min="4" max="4" width="16" customWidth="1"/>
    <col min="5" max="5" width="17.28515625" customWidth="1"/>
    <col min="6" max="6" width="16.7109375" customWidth="1"/>
    <col min="7" max="7" width="18.7109375" customWidth="1"/>
    <col min="11" max="11" width="40" customWidth="1"/>
    <col min="12" max="12" width="18" customWidth="1"/>
  </cols>
  <sheetData>
    <row r="3" spans="1:12" ht="15" customHeight="1">
      <c r="A3" s="81" t="s">
        <v>21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</row>
    <row r="4" spans="1:12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</row>
    <row r="5" spans="1:12" ht="15.75" customHeight="1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</row>
    <row r="6" spans="1:12" ht="15.75">
      <c r="A6" s="85"/>
      <c r="B6" s="8" t="s">
        <v>7</v>
      </c>
      <c r="C6" s="62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</row>
    <row r="7" spans="1:12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>
        <v>45752</v>
      </c>
      <c r="K7" s="60" t="s">
        <v>109</v>
      </c>
      <c r="L7" s="16">
        <v>1500000</v>
      </c>
    </row>
    <row r="8" spans="1:12">
      <c r="A8" s="12">
        <v>45750</v>
      </c>
      <c r="B8" s="13">
        <v>2200000</v>
      </c>
      <c r="C8" s="13">
        <v>600000</v>
      </c>
      <c r="D8" s="51">
        <f>B8+C8</f>
        <v>2800000</v>
      </c>
      <c r="E8" s="53">
        <v>626000</v>
      </c>
      <c r="F8" s="13">
        <f t="shared" ref="F8:F38" si="1">D8-E8</f>
        <v>2174000</v>
      </c>
      <c r="G8" s="55">
        <f t="shared" si="0"/>
        <v>-26000</v>
      </c>
      <c r="H8" s="14"/>
      <c r="I8" s="17"/>
      <c r="J8" s="61">
        <v>45752</v>
      </c>
      <c r="K8" s="60" t="s">
        <v>54</v>
      </c>
      <c r="L8" s="16">
        <v>550000</v>
      </c>
    </row>
    <row r="9" spans="1:12">
      <c r="A9" s="46">
        <v>45751</v>
      </c>
      <c r="B9" s="47">
        <v>3000000</v>
      </c>
      <c r="C9" s="47">
        <v>3700000</v>
      </c>
      <c r="D9" s="51">
        <f>B9+C9</f>
        <v>6700000</v>
      </c>
      <c r="E9" s="53">
        <v>964000</v>
      </c>
      <c r="F9" s="47">
        <f t="shared" si="1"/>
        <v>5736000</v>
      </c>
      <c r="G9" s="55">
        <f t="shared" si="0"/>
        <v>2736000</v>
      </c>
      <c r="H9" s="14"/>
      <c r="I9" s="7"/>
      <c r="J9" s="18">
        <v>45754</v>
      </c>
      <c r="K9" s="19" t="s">
        <v>134</v>
      </c>
      <c r="L9" s="16">
        <v>245000</v>
      </c>
    </row>
    <row r="10" spans="1:12">
      <c r="A10" s="12">
        <v>45752</v>
      </c>
      <c r="B10" s="13">
        <v>5100000</v>
      </c>
      <c r="C10" s="13">
        <v>2000000</v>
      </c>
      <c r="D10" s="51">
        <f>B10+C10</f>
        <v>7100000</v>
      </c>
      <c r="E10" s="53">
        <v>1863000</v>
      </c>
      <c r="F10" s="47">
        <f t="shared" si="1"/>
        <v>5237000</v>
      </c>
      <c r="G10" s="55">
        <f t="shared" si="0"/>
        <v>137000</v>
      </c>
      <c r="H10" s="14"/>
      <c r="I10" s="20"/>
      <c r="J10" s="18">
        <v>45755</v>
      </c>
      <c r="K10" s="43" t="s">
        <v>135</v>
      </c>
      <c r="L10" s="16">
        <v>4000000</v>
      </c>
    </row>
    <row r="11" spans="1:12">
      <c r="A11" s="66">
        <v>45753</v>
      </c>
      <c r="B11" s="67"/>
      <c r="C11" s="67"/>
      <c r="D11" s="67">
        <f>B11+C11</f>
        <v>0</v>
      </c>
      <c r="E11" s="67"/>
      <c r="F11" s="67">
        <f t="shared" si="1"/>
        <v>0</v>
      </c>
      <c r="G11" s="67">
        <f t="shared" si="0"/>
        <v>0</v>
      </c>
      <c r="H11" s="14"/>
      <c r="I11" s="20"/>
      <c r="J11" s="12">
        <v>45756</v>
      </c>
      <c r="K11" s="19" t="s">
        <v>136</v>
      </c>
      <c r="L11" s="16">
        <v>500000</v>
      </c>
    </row>
    <row r="12" spans="1:12">
      <c r="A12" s="12">
        <v>45754</v>
      </c>
      <c r="B12" s="13">
        <v>11100000</v>
      </c>
      <c r="C12" s="47">
        <v>250000</v>
      </c>
      <c r="D12" s="51">
        <f>B12+C12</f>
        <v>11350000</v>
      </c>
      <c r="E12" s="53">
        <v>1196000</v>
      </c>
      <c r="F12" s="13">
        <f t="shared" si="1"/>
        <v>10154000</v>
      </c>
      <c r="G12" s="55">
        <f t="shared" si="0"/>
        <v>-946000</v>
      </c>
      <c r="H12" s="14"/>
      <c r="I12" s="7"/>
      <c r="J12" s="12">
        <v>45756</v>
      </c>
      <c r="K12" s="15" t="s">
        <v>137</v>
      </c>
      <c r="L12" s="16">
        <v>5000000</v>
      </c>
    </row>
    <row r="13" spans="1:12">
      <c r="A13" s="12">
        <v>45755</v>
      </c>
      <c r="B13" s="13"/>
      <c r="C13" s="13">
        <v>1750000</v>
      </c>
      <c r="D13" s="51">
        <f t="shared" ref="D13:D19" si="2">B13+C13</f>
        <v>1750000</v>
      </c>
      <c r="E13" s="53">
        <v>1145000</v>
      </c>
      <c r="F13" s="13">
        <f t="shared" si="1"/>
        <v>605000</v>
      </c>
      <c r="G13" s="55">
        <f t="shared" si="0"/>
        <v>605000</v>
      </c>
      <c r="H13" s="14"/>
      <c r="I13" s="7"/>
      <c r="J13" s="12">
        <v>45761</v>
      </c>
      <c r="K13" s="23" t="s">
        <v>138</v>
      </c>
      <c r="L13" s="16">
        <v>1000000</v>
      </c>
    </row>
    <row r="14" spans="1:12">
      <c r="A14" s="46">
        <v>45756</v>
      </c>
      <c r="B14" s="47"/>
      <c r="C14" s="47">
        <v>1000000</v>
      </c>
      <c r="D14" s="51">
        <f t="shared" si="2"/>
        <v>1000000</v>
      </c>
      <c r="E14" s="53">
        <v>879000</v>
      </c>
      <c r="F14" s="47">
        <f t="shared" si="1"/>
        <v>121000</v>
      </c>
      <c r="G14" s="55">
        <f t="shared" si="0"/>
        <v>121000</v>
      </c>
      <c r="H14" s="49"/>
      <c r="I14" s="7"/>
      <c r="J14" s="12">
        <v>45761</v>
      </c>
      <c r="K14" s="23" t="s">
        <v>139</v>
      </c>
      <c r="L14" s="16">
        <v>20000000</v>
      </c>
    </row>
    <row r="15" spans="1:12">
      <c r="A15" s="12">
        <v>45757</v>
      </c>
      <c r="B15" s="13">
        <v>300000</v>
      </c>
      <c r="C15" s="13">
        <v>3550000</v>
      </c>
      <c r="D15" s="51">
        <f t="shared" si="2"/>
        <v>3850000</v>
      </c>
      <c r="E15" s="53">
        <v>757000</v>
      </c>
      <c r="F15" s="13">
        <f t="shared" si="1"/>
        <v>3093000</v>
      </c>
      <c r="G15" s="55">
        <f t="shared" si="0"/>
        <v>2793000</v>
      </c>
      <c r="H15" s="22"/>
      <c r="I15" s="20"/>
      <c r="J15" s="25">
        <v>45761</v>
      </c>
      <c r="K15" s="44" t="s">
        <v>140</v>
      </c>
      <c r="L15" s="45">
        <v>2900000</v>
      </c>
    </row>
    <row r="16" spans="1:12">
      <c r="A16" s="12">
        <v>45758</v>
      </c>
      <c r="B16" s="13">
        <v>3140000</v>
      </c>
      <c r="C16" s="13">
        <v>1000000</v>
      </c>
      <c r="D16" s="51">
        <f t="shared" si="2"/>
        <v>4140000</v>
      </c>
      <c r="E16" s="53">
        <v>1181000</v>
      </c>
      <c r="F16" s="13">
        <f t="shared" si="1"/>
        <v>2959000</v>
      </c>
      <c r="G16" s="55">
        <f t="shared" si="0"/>
        <v>-181000</v>
      </c>
      <c r="H16" s="22"/>
      <c r="I16" s="24"/>
      <c r="J16" s="12">
        <v>45761</v>
      </c>
      <c r="K16" s="23" t="s">
        <v>141</v>
      </c>
      <c r="L16" s="16">
        <v>11000000</v>
      </c>
    </row>
    <row r="17" spans="1:12">
      <c r="A17" s="12">
        <v>45759</v>
      </c>
      <c r="B17" s="13">
        <v>5950000</v>
      </c>
      <c r="C17" s="13"/>
      <c r="D17" s="51">
        <f t="shared" si="2"/>
        <v>5950000</v>
      </c>
      <c r="E17" s="53">
        <v>953000</v>
      </c>
      <c r="F17" s="13">
        <f t="shared" si="1"/>
        <v>4997000</v>
      </c>
      <c r="G17" s="55">
        <f t="shared" si="0"/>
        <v>-953000</v>
      </c>
      <c r="H17" s="22"/>
      <c r="I17" s="24"/>
      <c r="J17" s="12">
        <v>45763</v>
      </c>
      <c r="K17" s="21" t="s">
        <v>51</v>
      </c>
      <c r="L17" s="16">
        <v>500000</v>
      </c>
    </row>
    <row r="18" spans="1:12">
      <c r="A18" s="66">
        <v>45760</v>
      </c>
      <c r="B18" s="67"/>
      <c r="C18" s="67"/>
      <c r="D18" s="67">
        <f t="shared" si="2"/>
        <v>0</v>
      </c>
      <c r="E18" s="67"/>
      <c r="F18" s="67">
        <f t="shared" si="1"/>
        <v>0</v>
      </c>
      <c r="G18" s="67">
        <f t="shared" si="0"/>
        <v>0</v>
      </c>
      <c r="H18" s="22"/>
      <c r="I18" s="27"/>
      <c r="J18" s="25">
        <v>45769</v>
      </c>
      <c r="K18" s="28" t="s">
        <v>142</v>
      </c>
      <c r="L18" s="16">
        <v>1500000</v>
      </c>
    </row>
    <row r="19" spans="1:12">
      <c r="A19" s="12">
        <v>45761</v>
      </c>
      <c r="B19" s="13">
        <v>900000</v>
      </c>
      <c r="C19" s="13">
        <v>100000</v>
      </c>
      <c r="D19" s="51">
        <f t="shared" si="2"/>
        <v>1000000</v>
      </c>
      <c r="E19" s="53">
        <v>1632000</v>
      </c>
      <c r="F19" s="13">
        <f t="shared" si="1"/>
        <v>-632000</v>
      </c>
      <c r="G19" s="55">
        <f t="shared" si="0"/>
        <v>-1532000</v>
      </c>
      <c r="H19" s="22"/>
      <c r="I19" s="27"/>
      <c r="J19" s="30">
        <v>45771</v>
      </c>
      <c r="K19" s="21" t="s">
        <v>116</v>
      </c>
      <c r="L19" s="16">
        <v>1000000</v>
      </c>
    </row>
    <row r="20" spans="1:12">
      <c r="A20" s="12">
        <v>45762</v>
      </c>
      <c r="B20" s="13"/>
      <c r="C20" s="13">
        <v>2650000</v>
      </c>
      <c r="D20" s="51">
        <f>B20+C20</f>
        <v>2650000</v>
      </c>
      <c r="E20" s="53">
        <v>2069000</v>
      </c>
      <c r="F20" s="13">
        <f t="shared" si="1"/>
        <v>581000</v>
      </c>
      <c r="G20" s="55">
        <f t="shared" si="0"/>
        <v>581000</v>
      </c>
      <c r="H20" s="22"/>
      <c r="I20" s="29"/>
      <c r="J20" s="25">
        <v>45771</v>
      </c>
      <c r="K20" s="28" t="s">
        <v>42</v>
      </c>
      <c r="L20" s="16">
        <v>2000000</v>
      </c>
    </row>
    <row r="21" spans="1:12">
      <c r="A21" s="46">
        <v>45763</v>
      </c>
      <c r="B21" s="47">
        <v>350000</v>
      </c>
      <c r="C21" s="47">
        <v>2430000</v>
      </c>
      <c r="D21" s="51">
        <v>2780000</v>
      </c>
      <c r="E21" s="53">
        <v>1013000</v>
      </c>
      <c r="F21" s="47">
        <f t="shared" si="1"/>
        <v>1767000</v>
      </c>
      <c r="G21" s="55">
        <f t="shared" si="0"/>
        <v>1417000</v>
      </c>
      <c r="H21" s="48"/>
      <c r="I21" s="27"/>
      <c r="J21" s="25">
        <v>45772</v>
      </c>
      <c r="K21" s="28" t="s">
        <v>143</v>
      </c>
      <c r="L21" s="16">
        <v>1300000</v>
      </c>
    </row>
    <row r="22" spans="1:12">
      <c r="A22" s="46">
        <v>45764</v>
      </c>
      <c r="B22" s="47">
        <v>10425000</v>
      </c>
      <c r="C22" s="47">
        <v>100000</v>
      </c>
      <c r="D22" s="51">
        <f t="shared" ref="D22:D36" si="3">B22+C22</f>
        <v>10525000</v>
      </c>
      <c r="E22" s="53">
        <v>1330000</v>
      </c>
      <c r="F22" s="47">
        <f t="shared" si="1"/>
        <v>9195000</v>
      </c>
      <c r="G22" s="55">
        <f t="shared" si="0"/>
        <v>-1230000</v>
      </c>
      <c r="H22" s="48"/>
      <c r="I22" s="27"/>
      <c r="J22" s="25">
        <v>45776</v>
      </c>
      <c r="K22" s="28" t="s">
        <v>144</v>
      </c>
      <c r="L22" s="16">
        <v>23000000</v>
      </c>
    </row>
    <row r="23" spans="1:12">
      <c r="A23" s="46">
        <v>45765</v>
      </c>
      <c r="B23" s="47">
        <v>4200000</v>
      </c>
      <c r="C23" s="47">
        <v>3100000</v>
      </c>
      <c r="D23" s="51">
        <f t="shared" si="3"/>
        <v>7300000</v>
      </c>
      <c r="E23" s="53">
        <v>1676000</v>
      </c>
      <c r="F23" s="47">
        <f t="shared" si="1"/>
        <v>5624000</v>
      </c>
      <c r="G23" s="55">
        <f t="shared" si="0"/>
        <v>1424000</v>
      </c>
      <c r="H23" s="48"/>
      <c r="I23" s="27"/>
      <c r="J23" s="25">
        <v>45776</v>
      </c>
      <c r="K23" s="28" t="s">
        <v>79</v>
      </c>
      <c r="L23" s="16">
        <v>500000</v>
      </c>
    </row>
    <row r="24" spans="1:12">
      <c r="A24" s="46">
        <v>45766</v>
      </c>
      <c r="B24" s="47">
        <v>3375000</v>
      </c>
      <c r="C24" s="47">
        <v>50000</v>
      </c>
      <c r="D24" s="51">
        <f t="shared" si="3"/>
        <v>3425000</v>
      </c>
      <c r="E24" s="53">
        <v>994000</v>
      </c>
      <c r="F24" s="47">
        <f t="shared" si="1"/>
        <v>2431000</v>
      </c>
      <c r="G24" s="55">
        <f t="shared" si="0"/>
        <v>-944000</v>
      </c>
      <c r="H24" s="48"/>
      <c r="I24" s="27"/>
      <c r="J24" s="25">
        <v>45776</v>
      </c>
      <c r="K24" s="28" t="s">
        <v>145</v>
      </c>
      <c r="L24" s="16">
        <v>340000</v>
      </c>
    </row>
    <row r="25" spans="1:12">
      <c r="A25" s="46">
        <v>45767</v>
      </c>
      <c r="B25" s="47">
        <v>1000000</v>
      </c>
      <c r="C25" s="47">
        <v>100000</v>
      </c>
      <c r="D25" s="51">
        <f t="shared" si="3"/>
        <v>1100000</v>
      </c>
      <c r="E25" s="53">
        <v>840000</v>
      </c>
      <c r="F25" s="47">
        <f t="shared" si="1"/>
        <v>260000</v>
      </c>
      <c r="G25" s="55">
        <f t="shared" si="0"/>
        <v>-740000</v>
      </c>
      <c r="H25" s="48"/>
      <c r="I25" s="27"/>
      <c r="J25" s="25">
        <v>45776</v>
      </c>
      <c r="K25" s="28" t="s">
        <v>77</v>
      </c>
      <c r="L25" s="16">
        <v>24440000</v>
      </c>
    </row>
    <row r="26" spans="1:12">
      <c r="A26" s="46">
        <v>45768</v>
      </c>
      <c r="B26" s="47"/>
      <c r="C26" s="47">
        <v>2250000</v>
      </c>
      <c r="D26" s="51">
        <f t="shared" si="3"/>
        <v>2250000</v>
      </c>
      <c r="E26" s="53">
        <v>2051000</v>
      </c>
      <c r="F26" s="47">
        <f t="shared" si="1"/>
        <v>199000</v>
      </c>
      <c r="G26" s="55">
        <f t="shared" si="0"/>
        <v>199000</v>
      </c>
      <c r="H26" s="48"/>
      <c r="I26" s="27"/>
      <c r="J26" s="25">
        <v>45777</v>
      </c>
      <c r="K26" s="28" t="s">
        <v>79</v>
      </c>
      <c r="L26" s="16">
        <v>500000</v>
      </c>
    </row>
    <row r="27" spans="1:12">
      <c r="A27" s="12">
        <v>45769</v>
      </c>
      <c r="B27" s="13">
        <v>4000000</v>
      </c>
      <c r="C27" s="13">
        <v>800000</v>
      </c>
      <c r="D27" s="51">
        <v>4800000</v>
      </c>
      <c r="E27" s="53">
        <v>1179000</v>
      </c>
      <c r="F27" s="13">
        <f t="shared" si="1"/>
        <v>3621000</v>
      </c>
      <c r="G27" s="55">
        <f t="shared" si="0"/>
        <v>-379000</v>
      </c>
      <c r="H27" s="14"/>
      <c r="I27" s="27"/>
      <c r="J27" s="25">
        <v>45777</v>
      </c>
      <c r="K27" s="28" t="s">
        <v>146</v>
      </c>
      <c r="L27" s="16">
        <v>10000000</v>
      </c>
    </row>
    <row r="28" spans="1:12">
      <c r="A28" s="12">
        <v>45770</v>
      </c>
      <c r="B28" s="13">
        <v>4385000</v>
      </c>
      <c r="C28" s="13">
        <v>1200000</v>
      </c>
      <c r="D28" s="51">
        <f t="shared" si="3"/>
        <v>5585000</v>
      </c>
      <c r="E28" s="53">
        <v>1405000</v>
      </c>
      <c r="F28" s="13">
        <f t="shared" si="1"/>
        <v>4180000</v>
      </c>
      <c r="G28" s="55">
        <f t="shared" si="0"/>
        <v>-205000</v>
      </c>
      <c r="H28" s="14"/>
      <c r="I28" s="29"/>
      <c r="J28" s="25">
        <v>45777</v>
      </c>
      <c r="K28" s="28" t="s">
        <v>147</v>
      </c>
      <c r="L28" s="16">
        <v>2000000</v>
      </c>
    </row>
    <row r="29" spans="1:12">
      <c r="A29" s="12">
        <v>45771</v>
      </c>
      <c r="B29" s="13">
        <v>2980000</v>
      </c>
      <c r="C29" s="13">
        <v>1250000</v>
      </c>
      <c r="D29" s="51">
        <f t="shared" si="3"/>
        <v>4230000</v>
      </c>
      <c r="E29" s="53">
        <v>1606000</v>
      </c>
      <c r="F29" s="13">
        <f t="shared" si="1"/>
        <v>2624000</v>
      </c>
      <c r="G29" s="55">
        <f t="shared" si="0"/>
        <v>-356000</v>
      </c>
      <c r="H29" s="14"/>
      <c r="I29" s="27"/>
      <c r="J29" s="25">
        <v>45777</v>
      </c>
      <c r="K29" s="28" t="s">
        <v>108</v>
      </c>
      <c r="L29" s="16">
        <v>1000000</v>
      </c>
    </row>
    <row r="30" spans="1:12">
      <c r="A30" s="12">
        <v>45772</v>
      </c>
      <c r="B30" s="13">
        <v>8580000</v>
      </c>
      <c r="C30" s="13"/>
      <c r="D30" s="51">
        <f t="shared" si="3"/>
        <v>8580000</v>
      </c>
      <c r="E30" s="53">
        <v>1265000</v>
      </c>
      <c r="F30" s="13">
        <f t="shared" si="1"/>
        <v>7315000</v>
      </c>
      <c r="G30" s="55">
        <f t="shared" si="0"/>
        <v>-1265000</v>
      </c>
      <c r="H30" s="31"/>
      <c r="I30" s="27"/>
      <c r="J30" s="25">
        <v>45777</v>
      </c>
      <c r="K30" s="28" t="s">
        <v>123</v>
      </c>
      <c r="L30" s="16">
        <v>3000000</v>
      </c>
    </row>
    <row r="31" spans="1:12">
      <c r="A31" s="12">
        <v>45773</v>
      </c>
      <c r="B31" s="13">
        <v>375000</v>
      </c>
      <c r="C31" s="13"/>
      <c r="D31" s="51">
        <f t="shared" si="3"/>
        <v>375000</v>
      </c>
      <c r="E31" s="53">
        <v>875000</v>
      </c>
      <c r="F31" s="13">
        <f t="shared" si="1"/>
        <v>-500000</v>
      </c>
      <c r="G31" s="55">
        <f t="shared" si="0"/>
        <v>-875000</v>
      </c>
      <c r="H31" s="14"/>
      <c r="I31" s="27"/>
      <c r="J31" s="25">
        <v>45777</v>
      </c>
      <c r="K31" s="28" t="s">
        <v>148</v>
      </c>
      <c r="L31" s="16">
        <v>375000</v>
      </c>
    </row>
    <row r="32" spans="1:12">
      <c r="A32" s="66">
        <v>45774</v>
      </c>
      <c r="B32" s="67"/>
      <c r="C32" s="67"/>
      <c r="D32" s="67">
        <f t="shared" si="3"/>
        <v>0</v>
      </c>
      <c r="E32" s="67"/>
      <c r="F32" s="67">
        <f t="shared" si="1"/>
        <v>0</v>
      </c>
      <c r="G32" s="67">
        <f t="shared" si="0"/>
        <v>0</v>
      </c>
      <c r="H32" s="14"/>
      <c r="I32" s="27"/>
      <c r="J32" s="25">
        <v>45777</v>
      </c>
      <c r="K32" s="28" t="s">
        <v>149</v>
      </c>
      <c r="L32" s="16">
        <v>2000000</v>
      </c>
    </row>
    <row r="33" spans="1:12">
      <c r="A33" s="12">
        <v>45775</v>
      </c>
      <c r="B33" s="13">
        <v>500000</v>
      </c>
      <c r="C33" s="13"/>
      <c r="D33" s="51">
        <f t="shared" si="3"/>
        <v>500000</v>
      </c>
      <c r="E33" s="53">
        <v>1260000</v>
      </c>
      <c r="F33" s="13">
        <f t="shared" si="1"/>
        <v>-760000</v>
      </c>
      <c r="G33" s="55">
        <f t="shared" si="0"/>
        <v>-1260000</v>
      </c>
      <c r="H33" s="14"/>
      <c r="I33" s="27"/>
      <c r="J33" s="25"/>
      <c r="K33" s="28"/>
      <c r="L33" s="16"/>
    </row>
    <row r="34" spans="1:12">
      <c r="A34" s="12">
        <v>45776</v>
      </c>
      <c r="B34" s="13">
        <v>5510000</v>
      </c>
      <c r="C34" s="13">
        <v>3420000</v>
      </c>
      <c r="D34" s="51">
        <f t="shared" si="3"/>
        <v>8930000</v>
      </c>
      <c r="E34" s="53">
        <v>1542000</v>
      </c>
      <c r="F34" s="13">
        <f t="shared" si="1"/>
        <v>7388000</v>
      </c>
      <c r="G34" s="55">
        <f t="shared" si="0"/>
        <v>1878000</v>
      </c>
      <c r="H34" s="14"/>
      <c r="I34" s="27"/>
      <c r="J34" s="25"/>
      <c r="K34" s="28"/>
      <c r="L34" s="16"/>
    </row>
    <row r="35" spans="1:12">
      <c r="A35" s="12">
        <v>45777</v>
      </c>
      <c r="B35" s="13">
        <v>5750000</v>
      </c>
      <c r="C35" s="13"/>
      <c r="D35" s="51">
        <f t="shared" si="3"/>
        <v>5750000</v>
      </c>
      <c r="E35" s="53">
        <v>1536000</v>
      </c>
      <c r="F35" s="13">
        <f t="shared" si="1"/>
        <v>4214000</v>
      </c>
      <c r="G35" s="55">
        <f t="shared" si="0"/>
        <v>-1536000</v>
      </c>
      <c r="H35" s="14"/>
      <c r="I35" s="27"/>
      <c r="J35" s="25"/>
      <c r="K35" s="28"/>
      <c r="L35" s="16"/>
    </row>
    <row r="36" spans="1:12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</row>
    <row r="37" spans="1:12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</row>
    <row r="38" spans="1:12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</row>
    <row r="39" spans="1:12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</row>
    <row r="40" spans="1:12">
      <c r="A40" s="46"/>
      <c r="B40" s="47"/>
      <c r="C40" s="47"/>
      <c r="D40" s="51"/>
      <c r="E40" s="53"/>
      <c r="F40" s="47"/>
      <c r="G40" s="55"/>
      <c r="H40" s="48"/>
      <c r="I40" s="27"/>
      <c r="J40" s="32"/>
      <c r="K40" s="21"/>
      <c r="L40" s="59">
        <f>SUM(L7:L39)</f>
        <v>120150000</v>
      </c>
    </row>
    <row r="41" spans="1:12">
      <c r="A41" s="12"/>
      <c r="B41" s="13"/>
      <c r="C41" s="13"/>
      <c r="D41" s="51"/>
      <c r="E41" s="53"/>
      <c r="F41" s="13"/>
      <c r="G41" s="55"/>
      <c r="H41" s="14"/>
      <c r="I41" s="27"/>
      <c r="J41" s="26"/>
      <c r="K41" s="2"/>
      <c r="L41" s="2"/>
    </row>
    <row r="42" spans="1:12" ht="15.75">
      <c r="A42" s="12"/>
      <c r="B42" s="13"/>
      <c r="C42" s="13"/>
      <c r="D42" s="51"/>
      <c r="E42" s="53"/>
      <c r="F42" s="13"/>
      <c r="G42" s="55"/>
      <c r="H42" s="14"/>
      <c r="I42" s="27"/>
      <c r="J42" s="33" t="s">
        <v>11</v>
      </c>
      <c r="K42" s="34" t="s">
        <v>12</v>
      </c>
      <c r="L42" s="57">
        <f>B51+C51</f>
        <v>114420000</v>
      </c>
    </row>
    <row r="43" spans="1:12" ht="15.75">
      <c r="A43" s="12"/>
      <c r="B43" s="13"/>
      <c r="C43" s="13"/>
      <c r="D43" s="51"/>
      <c r="E43" s="53"/>
      <c r="F43" s="13"/>
      <c r="G43" s="55"/>
      <c r="H43" s="14"/>
      <c r="I43" s="27"/>
      <c r="J43" s="37"/>
      <c r="K43" s="38" t="s">
        <v>13</v>
      </c>
      <c r="L43" s="58">
        <v>31837000</v>
      </c>
    </row>
    <row r="44" spans="1:12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14</v>
      </c>
      <c r="L44" s="58">
        <v>120150000</v>
      </c>
    </row>
    <row r="45" spans="1:12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15</v>
      </c>
      <c r="L45" s="39">
        <v>151987000</v>
      </c>
    </row>
    <row r="46" spans="1:12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40"/>
      <c r="L46" s="35"/>
    </row>
    <row r="47" spans="1:12" ht="18">
      <c r="A47" s="46"/>
      <c r="B47" s="47"/>
      <c r="C47" s="47"/>
      <c r="D47" s="51"/>
      <c r="E47" s="53"/>
      <c r="F47" s="47"/>
      <c r="G47" s="55"/>
      <c r="H47" s="48"/>
      <c r="I47" s="27"/>
      <c r="J47" s="80" t="s">
        <v>20</v>
      </c>
      <c r="K47" s="80"/>
      <c r="L47" s="41">
        <f>L42-L45</f>
        <v>-37567000</v>
      </c>
    </row>
    <row r="48" spans="1:12">
      <c r="A48" s="12"/>
      <c r="B48" s="13"/>
      <c r="C48" s="13"/>
      <c r="D48" s="51"/>
      <c r="E48" s="53"/>
      <c r="F48" s="13"/>
      <c r="G48" s="55"/>
      <c r="H48" s="14"/>
      <c r="I48" s="27"/>
      <c r="J48" s="27"/>
      <c r="K48" s="27"/>
      <c r="L48" s="2"/>
    </row>
    <row r="49" spans="1:12">
      <c r="A49" s="12"/>
      <c r="B49" s="13"/>
      <c r="C49" s="13"/>
      <c r="D49" s="51"/>
      <c r="E49" s="53"/>
      <c r="F49" s="13"/>
      <c r="G49" s="55"/>
      <c r="H49" s="14"/>
      <c r="I49" s="27"/>
      <c r="J49" s="2"/>
      <c r="K49" s="2"/>
      <c r="L49" s="2"/>
    </row>
    <row r="50" spans="1:12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</row>
    <row r="51" spans="1:12">
      <c r="A51" s="12"/>
      <c r="B51" s="42">
        <f t="shared" ref="B51:G51" si="5">SUM(B7:B50)</f>
        <v>83120000</v>
      </c>
      <c r="C51" s="42">
        <f t="shared" si="5"/>
        <v>31300000</v>
      </c>
      <c r="D51" s="52">
        <f t="shared" si="5"/>
        <v>114420000</v>
      </c>
      <c r="E51" s="54">
        <f t="shared" si="5"/>
        <v>31837000</v>
      </c>
      <c r="F51" s="50">
        <f t="shared" si="5"/>
        <v>82583000</v>
      </c>
      <c r="G51" s="56">
        <f t="shared" si="5"/>
        <v>-537000</v>
      </c>
      <c r="H51" s="27"/>
      <c r="I51" s="2"/>
      <c r="J51" s="1"/>
      <c r="K51" s="1"/>
      <c r="L51" s="1"/>
    </row>
    <row r="52" spans="1:12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</row>
  </sheetData>
  <mergeCells count="8">
    <mergeCell ref="G5:G6"/>
    <mergeCell ref="J47:K47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3:Q53"/>
  <sheetViews>
    <sheetView topLeftCell="D22" workbookViewId="0">
      <selection activeCell="K30" sqref="K30"/>
    </sheetView>
  </sheetViews>
  <sheetFormatPr defaultRowHeight="15"/>
  <cols>
    <col min="2" max="2" width="19.7109375" customWidth="1"/>
    <col min="3" max="3" width="19.140625" customWidth="1"/>
    <col min="4" max="4" width="17.7109375" customWidth="1"/>
    <col min="5" max="5" width="19.7109375" customWidth="1"/>
    <col min="6" max="6" width="20.7109375" customWidth="1"/>
    <col min="7" max="7" width="19" customWidth="1"/>
    <col min="10" max="10" width="11.7109375" customWidth="1"/>
    <col min="11" max="11" width="30.28515625" customWidth="1"/>
    <col min="12" max="12" width="18.42578125" customWidth="1"/>
  </cols>
  <sheetData>
    <row r="3" spans="1:17">
      <c r="A3" s="81" t="s">
        <v>23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</row>
    <row r="4" spans="1:17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</row>
    <row r="5" spans="1:17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  <c r="M5" s="1"/>
      <c r="N5" s="1"/>
      <c r="O5" s="1"/>
      <c r="P5" s="1"/>
      <c r="Q5" s="1"/>
    </row>
    <row r="6" spans="1:17" ht="15.75">
      <c r="A6" s="85"/>
      <c r="B6" s="8" t="s">
        <v>7</v>
      </c>
      <c r="C6" s="62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  <c r="M6" s="1"/>
      <c r="N6" s="1"/>
      <c r="O6" s="1"/>
      <c r="P6" s="1"/>
      <c r="Q6" s="1"/>
    </row>
    <row r="7" spans="1:17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 t="s">
        <v>150</v>
      </c>
      <c r="K7" s="60" t="s">
        <v>151</v>
      </c>
      <c r="L7" s="16">
        <v>1350000</v>
      </c>
      <c r="M7" s="1"/>
      <c r="N7" s="1"/>
      <c r="O7" s="1"/>
      <c r="P7" s="1"/>
      <c r="Q7" s="1"/>
    </row>
    <row r="8" spans="1:17">
      <c r="A8" s="12" t="s">
        <v>150</v>
      </c>
      <c r="B8" s="13">
        <v>6250000</v>
      </c>
      <c r="C8" s="13">
        <v>350000</v>
      </c>
      <c r="D8" s="51">
        <f>B8+C8</f>
        <v>6600000</v>
      </c>
      <c r="E8" s="53">
        <v>1251000</v>
      </c>
      <c r="F8" s="13">
        <f t="shared" ref="F8:F38" si="1">D8-E8</f>
        <v>5349000</v>
      </c>
      <c r="G8" s="55">
        <f t="shared" si="0"/>
        <v>-901000</v>
      </c>
      <c r="H8" s="14"/>
      <c r="I8" s="17"/>
      <c r="J8" s="61" t="s">
        <v>152</v>
      </c>
      <c r="K8" s="60" t="s">
        <v>54</v>
      </c>
      <c r="L8" s="16">
        <v>175000</v>
      </c>
      <c r="M8" s="1"/>
      <c r="N8" s="1"/>
      <c r="O8" s="1"/>
      <c r="P8" s="1"/>
      <c r="Q8" s="1"/>
    </row>
    <row r="9" spans="1:17">
      <c r="A9" s="46" t="s">
        <v>152</v>
      </c>
      <c r="B9" s="47">
        <v>2900000</v>
      </c>
      <c r="C9" s="47">
        <v>800000</v>
      </c>
      <c r="D9" s="51">
        <f>B9+C9</f>
        <v>3700000</v>
      </c>
      <c r="E9" s="53">
        <v>1403000</v>
      </c>
      <c r="F9" s="47">
        <f t="shared" si="1"/>
        <v>2297000</v>
      </c>
      <c r="G9" s="55">
        <f t="shared" si="0"/>
        <v>-603000</v>
      </c>
      <c r="H9" s="14"/>
      <c r="I9" s="7"/>
      <c r="J9" s="18" t="s">
        <v>152</v>
      </c>
      <c r="K9" s="19" t="s">
        <v>51</v>
      </c>
      <c r="L9" s="16">
        <v>500000</v>
      </c>
      <c r="M9" s="1"/>
      <c r="N9" s="1"/>
      <c r="O9" s="1"/>
      <c r="P9" s="1"/>
      <c r="Q9" s="1"/>
    </row>
    <row r="10" spans="1:17">
      <c r="A10" s="12" t="s">
        <v>153</v>
      </c>
      <c r="B10" s="13"/>
      <c r="C10" s="13">
        <v>2000000</v>
      </c>
      <c r="D10" s="51">
        <f>B10+C10</f>
        <v>2000000</v>
      </c>
      <c r="E10" s="53">
        <v>1551000</v>
      </c>
      <c r="F10" s="47">
        <f t="shared" si="1"/>
        <v>449000</v>
      </c>
      <c r="G10" s="55">
        <f t="shared" si="0"/>
        <v>449000</v>
      </c>
      <c r="H10" s="14"/>
      <c r="I10" s="20"/>
      <c r="J10" s="18" t="s">
        <v>154</v>
      </c>
      <c r="K10" s="43" t="s">
        <v>80</v>
      </c>
      <c r="L10" s="16">
        <v>1250000</v>
      </c>
      <c r="M10" s="1"/>
      <c r="N10" s="1"/>
      <c r="O10" s="1"/>
      <c r="P10" s="1"/>
      <c r="Q10" s="1"/>
    </row>
    <row r="11" spans="1:17">
      <c r="A11" s="12" t="s">
        <v>154</v>
      </c>
      <c r="B11" s="13">
        <v>3700000</v>
      </c>
      <c r="C11" s="13">
        <v>7300000</v>
      </c>
      <c r="D11" s="51">
        <f>B11+C11</f>
        <v>11000000</v>
      </c>
      <c r="E11" s="53">
        <v>1732000</v>
      </c>
      <c r="F11" s="47">
        <f t="shared" si="1"/>
        <v>9268000</v>
      </c>
      <c r="G11" s="55">
        <f t="shared" si="0"/>
        <v>5568000</v>
      </c>
      <c r="H11" s="14"/>
      <c r="I11" s="20"/>
      <c r="J11" s="12" t="s">
        <v>163</v>
      </c>
      <c r="K11" s="19" t="s">
        <v>164</v>
      </c>
      <c r="L11" s="16">
        <v>4000000</v>
      </c>
      <c r="M11" s="1"/>
      <c r="N11" s="1"/>
      <c r="O11" s="1"/>
      <c r="P11" s="1"/>
      <c r="Q11" s="1"/>
    </row>
    <row r="12" spans="1:17">
      <c r="A12" s="12" t="s">
        <v>155</v>
      </c>
      <c r="B12" s="13">
        <v>3000000</v>
      </c>
      <c r="C12" s="47">
        <v>100000</v>
      </c>
      <c r="D12" s="51">
        <f>B12+C12</f>
        <v>3100000</v>
      </c>
      <c r="E12" s="53">
        <v>1347000</v>
      </c>
      <c r="F12" s="13">
        <f t="shared" si="1"/>
        <v>1753000</v>
      </c>
      <c r="G12" s="55">
        <f t="shared" si="0"/>
        <v>-1247000</v>
      </c>
      <c r="H12" s="14"/>
      <c r="I12" s="7"/>
      <c r="J12" s="12" t="s">
        <v>165</v>
      </c>
      <c r="K12" s="15" t="s">
        <v>164</v>
      </c>
      <c r="L12" s="16">
        <v>400000</v>
      </c>
      <c r="M12" s="1"/>
      <c r="N12" s="1"/>
      <c r="O12" s="1"/>
      <c r="P12" s="1"/>
      <c r="Q12" s="1"/>
    </row>
    <row r="13" spans="1:17">
      <c r="A13" s="12" t="s">
        <v>158</v>
      </c>
      <c r="B13" s="13">
        <v>375000</v>
      </c>
      <c r="C13" s="13">
        <v>1650000</v>
      </c>
      <c r="D13" s="51">
        <f t="shared" ref="D13:D19" si="2">B13+C13</f>
        <v>2025000</v>
      </c>
      <c r="E13" s="53">
        <v>965000</v>
      </c>
      <c r="F13" s="13">
        <f t="shared" si="1"/>
        <v>1060000</v>
      </c>
      <c r="G13" s="55">
        <f t="shared" si="0"/>
        <v>685000</v>
      </c>
      <c r="H13" s="14"/>
      <c r="I13" s="7"/>
      <c r="J13" s="12" t="s">
        <v>165</v>
      </c>
      <c r="K13" s="23" t="s">
        <v>166</v>
      </c>
      <c r="L13" s="16">
        <v>400000</v>
      </c>
      <c r="M13" s="1"/>
      <c r="N13" s="1"/>
      <c r="O13" s="1"/>
      <c r="P13" s="1"/>
      <c r="Q13" s="1"/>
    </row>
    <row r="14" spans="1:17">
      <c r="A14" s="46" t="s">
        <v>156</v>
      </c>
      <c r="B14" s="47">
        <v>2500000</v>
      </c>
      <c r="C14" s="47">
        <v>100000</v>
      </c>
      <c r="D14" s="51">
        <f t="shared" si="2"/>
        <v>2600000</v>
      </c>
      <c r="E14" s="53">
        <v>1016000</v>
      </c>
      <c r="F14" s="47">
        <f t="shared" si="1"/>
        <v>1584000</v>
      </c>
      <c r="G14" s="55">
        <f t="shared" si="0"/>
        <v>-916000</v>
      </c>
      <c r="H14" s="49"/>
      <c r="I14" s="7"/>
      <c r="J14" s="12" t="s">
        <v>168</v>
      </c>
      <c r="K14" s="23" t="s">
        <v>167</v>
      </c>
      <c r="L14" s="16">
        <v>9405000</v>
      </c>
      <c r="M14" s="1"/>
      <c r="N14" s="1"/>
      <c r="O14" s="1"/>
      <c r="P14" s="1"/>
      <c r="Q14" s="1"/>
    </row>
    <row r="15" spans="1:17">
      <c r="A15" s="12" t="s">
        <v>157</v>
      </c>
      <c r="B15" s="13">
        <v>1600000</v>
      </c>
      <c r="C15" s="13">
        <v>300000</v>
      </c>
      <c r="D15" s="51">
        <f t="shared" si="2"/>
        <v>1900000</v>
      </c>
      <c r="E15" s="53">
        <v>878000</v>
      </c>
      <c r="F15" s="13">
        <f t="shared" si="1"/>
        <v>1022000</v>
      </c>
      <c r="G15" s="55">
        <f t="shared" si="0"/>
        <v>-578000</v>
      </c>
      <c r="H15" s="22"/>
      <c r="I15" s="20"/>
      <c r="J15" s="25" t="s">
        <v>171</v>
      </c>
      <c r="K15" s="44" t="s">
        <v>54</v>
      </c>
      <c r="L15" s="45">
        <v>840000</v>
      </c>
      <c r="M15" s="1"/>
      <c r="N15" s="1"/>
      <c r="O15" s="1"/>
      <c r="P15" s="1"/>
      <c r="Q15" s="1"/>
    </row>
    <row r="16" spans="1:17">
      <c r="A16" s="12" t="s">
        <v>159</v>
      </c>
      <c r="B16" s="13"/>
      <c r="C16" s="13">
        <v>150000</v>
      </c>
      <c r="D16" s="51">
        <f t="shared" si="2"/>
        <v>150000</v>
      </c>
      <c r="E16" s="53">
        <v>1285000</v>
      </c>
      <c r="F16" s="13">
        <f t="shared" si="1"/>
        <v>-1135000</v>
      </c>
      <c r="G16" s="55">
        <f t="shared" si="0"/>
        <v>-1135000</v>
      </c>
      <c r="H16" s="22"/>
      <c r="I16" s="24"/>
      <c r="J16" s="12" t="s">
        <v>174</v>
      </c>
      <c r="K16" s="23" t="s">
        <v>116</v>
      </c>
      <c r="L16" s="16">
        <v>1000000</v>
      </c>
      <c r="M16" s="1"/>
      <c r="N16" s="1"/>
      <c r="O16" s="1"/>
      <c r="P16" s="1"/>
      <c r="Q16" s="1"/>
    </row>
    <row r="17" spans="1:17">
      <c r="A17" s="12" t="s">
        <v>160</v>
      </c>
      <c r="B17" s="13">
        <v>2800000</v>
      </c>
      <c r="C17" s="13">
        <v>1350000</v>
      </c>
      <c r="D17" s="51">
        <f t="shared" si="2"/>
        <v>4150000</v>
      </c>
      <c r="E17" s="53">
        <v>2020000</v>
      </c>
      <c r="F17" s="13">
        <f t="shared" si="1"/>
        <v>2130000</v>
      </c>
      <c r="G17" s="55">
        <f t="shared" si="0"/>
        <v>-670000</v>
      </c>
      <c r="H17" s="22"/>
      <c r="I17" s="24"/>
      <c r="J17" s="12" t="s">
        <v>175</v>
      </c>
      <c r="K17" s="21" t="s">
        <v>176</v>
      </c>
      <c r="L17" s="16">
        <v>4250000</v>
      </c>
      <c r="M17" s="1"/>
      <c r="N17" s="1"/>
      <c r="O17" s="1"/>
      <c r="P17" s="1"/>
      <c r="Q17" s="1"/>
    </row>
    <row r="18" spans="1:17">
      <c r="A18" s="12" t="s">
        <v>161</v>
      </c>
      <c r="B18" s="13">
        <v>2300000</v>
      </c>
      <c r="C18" s="13">
        <v>100000</v>
      </c>
      <c r="D18" s="51">
        <f t="shared" si="2"/>
        <v>2400000</v>
      </c>
      <c r="E18" s="53">
        <v>638000</v>
      </c>
      <c r="F18" s="13">
        <f t="shared" si="1"/>
        <v>1762000</v>
      </c>
      <c r="G18" s="55">
        <f t="shared" si="0"/>
        <v>-538000</v>
      </c>
      <c r="H18" s="22"/>
      <c r="I18" s="27"/>
      <c r="J18" s="25" t="s">
        <v>181</v>
      </c>
      <c r="K18" s="28" t="s">
        <v>182</v>
      </c>
      <c r="L18" s="16">
        <v>750000</v>
      </c>
      <c r="M18" s="1"/>
      <c r="N18" s="1"/>
      <c r="O18" s="1"/>
      <c r="P18" s="1"/>
      <c r="Q18" s="1"/>
    </row>
    <row r="19" spans="1:17">
      <c r="A19" s="12" t="s">
        <v>162</v>
      </c>
      <c r="B19" s="13">
        <v>8350000</v>
      </c>
      <c r="C19" s="13">
        <v>1440000</v>
      </c>
      <c r="D19" s="51">
        <f t="shared" si="2"/>
        <v>9790000</v>
      </c>
      <c r="E19" s="53">
        <v>871000</v>
      </c>
      <c r="F19" s="13">
        <f t="shared" si="1"/>
        <v>8919000</v>
      </c>
      <c r="G19" s="55">
        <f t="shared" si="0"/>
        <v>569000</v>
      </c>
      <c r="H19" s="22"/>
      <c r="I19" s="27"/>
      <c r="J19" s="30" t="s">
        <v>181</v>
      </c>
      <c r="K19" s="21" t="s">
        <v>183</v>
      </c>
      <c r="L19" s="16">
        <v>10000000</v>
      </c>
      <c r="M19" s="1"/>
      <c r="N19" s="1"/>
      <c r="O19" s="1"/>
      <c r="P19" s="1"/>
      <c r="Q19" s="1"/>
    </row>
    <row r="20" spans="1:17">
      <c r="A20" s="12" t="s">
        <v>163</v>
      </c>
      <c r="B20" s="13">
        <v>4250000</v>
      </c>
      <c r="C20" s="13">
        <v>8500000</v>
      </c>
      <c r="D20" s="51">
        <f>B20+C20</f>
        <v>12750000</v>
      </c>
      <c r="E20" s="53">
        <v>975000</v>
      </c>
      <c r="F20" s="13">
        <f t="shared" si="1"/>
        <v>11775000</v>
      </c>
      <c r="G20" s="55">
        <f t="shared" si="0"/>
        <v>7525000</v>
      </c>
      <c r="H20" s="22"/>
      <c r="I20" s="29"/>
      <c r="J20" s="25" t="s">
        <v>181</v>
      </c>
      <c r="K20" s="28" t="s">
        <v>184</v>
      </c>
      <c r="L20" s="16">
        <v>5800000</v>
      </c>
      <c r="M20" s="1"/>
      <c r="N20" s="1"/>
      <c r="O20" s="1"/>
      <c r="P20" s="1"/>
      <c r="Q20" s="1"/>
    </row>
    <row r="21" spans="1:17">
      <c r="A21" s="46" t="s">
        <v>165</v>
      </c>
      <c r="B21" s="47"/>
      <c r="C21" s="47">
        <v>550000</v>
      </c>
      <c r="D21" s="51">
        <v>550000</v>
      </c>
      <c r="E21" s="53">
        <v>1798000</v>
      </c>
      <c r="F21" s="47">
        <f t="shared" si="1"/>
        <v>-1248000</v>
      </c>
      <c r="G21" s="55">
        <f t="shared" si="0"/>
        <v>-1248000</v>
      </c>
      <c r="H21" s="48"/>
      <c r="I21" s="27"/>
      <c r="J21" s="68" t="s">
        <v>185</v>
      </c>
      <c r="K21" s="69" t="s">
        <v>51</v>
      </c>
      <c r="L21" s="70">
        <v>500000</v>
      </c>
      <c r="M21" s="1"/>
      <c r="N21" s="1"/>
      <c r="O21" s="1"/>
      <c r="P21" s="1"/>
      <c r="Q21" s="1"/>
    </row>
    <row r="22" spans="1:17">
      <c r="A22" s="46" t="s">
        <v>168</v>
      </c>
      <c r="B22" s="47"/>
      <c r="C22" s="47">
        <v>650000</v>
      </c>
      <c r="D22" s="51">
        <f t="shared" ref="D22:D36" si="3">B22+C22</f>
        <v>650000</v>
      </c>
      <c r="E22" s="53">
        <v>1003000</v>
      </c>
      <c r="F22" s="47">
        <f t="shared" si="1"/>
        <v>-353000</v>
      </c>
      <c r="G22" s="55">
        <f t="shared" si="0"/>
        <v>-353000</v>
      </c>
      <c r="H22" s="48"/>
      <c r="I22" s="27"/>
      <c r="J22" s="25" t="s">
        <v>186</v>
      </c>
      <c r="K22" s="28" t="s">
        <v>53</v>
      </c>
      <c r="L22" s="16">
        <v>5596886</v>
      </c>
      <c r="M22" s="1"/>
      <c r="N22" s="1"/>
      <c r="O22" s="1"/>
      <c r="P22" s="1"/>
      <c r="Q22" s="1"/>
    </row>
    <row r="23" spans="1:17">
      <c r="A23" s="46" t="s">
        <v>169</v>
      </c>
      <c r="B23" s="47">
        <v>3475000</v>
      </c>
      <c r="C23" s="47">
        <v>2400000</v>
      </c>
      <c r="D23" s="51">
        <f t="shared" si="3"/>
        <v>5875000</v>
      </c>
      <c r="E23" s="53">
        <v>1277000</v>
      </c>
      <c r="F23" s="47">
        <f t="shared" si="1"/>
        <v>4598000</v>
      </c>
      <c r="G23" s="55">
        <f t="shared" si="0"/>
        <v>1123000</v>
      </c>
      <c r="H23" s="48"/>
      <c r="I23" s="27"/>
      <c r="J23" s="25" t="s">
        <v>185</v>
      </c>
      <c r="K23" s="28" t="s">
        <v>187</v>
      </c>
      <c r="L23" s="16">
        <v>30000000</v>
      </c>
      <c r="M23" s="1"/>
      <c r="N23" s="1"/>
      <c r="O23" s="1"/>
      <c r="P23" s="1"/>
      <c r="Q23" s="1"/>
    </row>
    <row r="24" spans="1:17">
      <c r="A24" s="46" t="s">
        <v>170</v>
      </c>
      <c r="B24" s="47">
        <v>4300000</v>
      </c>
      <c r="C24" s="47"/>
      <c r="D24" s="51">
        <f t="shared" si="3"/>
        <v>4300000</v>
      </c>
      <c r="E24" s="53">
        <v>2092000</v>
      </c>
      <c r="F24" s="47">
        <f t="shared" si="1"/>
        <v>2208000</v>
      </c>
      <c r="G24" s="55">
        <f t="shared" si="0"/>
        <v>-2092000</v>
      </c>
      <c r="H24" s="48"/>
      <c r="I24" s="27"/>
      <c r="J24" s="25" t="s">
        <v>189</v>
      </c>
      <c r="K24" s="28" t="s">
        <v>187</v>
      </c>
      <c r="L24" s="16">
        <v>13500000</v>
      </c>
      <c r="M24" s="1"/>
      <c r="N24" s="1"/>
      <c r="O24" s="1"/>
      <c r="P24" s="1"/>
      <c r="Q24" s="1"/>
    </row>
    <row r="25" spans="1:17">
      <c r="A25" s="66" t="s">
        <v>171</v>
      </c>
      <c r="B25" s="67"/>
      <c r="C25" s="67"/>
      <c r="D25" s="67">
        <f t="shared" si="3"/>
        <v>0</v>
      </c>
      <c r="E25" s="67"/>
      <c r="F25" s="67">
        <f t="shared" si="1"/>
        <v>0</v>
      </c>
      <c r="G25" s="67">
        <f t="shared" si="0"/>
        <v>0</v>
      </c>
      <c r="H25" s="48"/>
      <c r="I25" s="27"/>
      <c r="J25" s="25" t="s">
        <v>190</v>
      </c>
      <c r="K25" s="28" t="s">
        <v>164</v>
      </c>
      <c r="L25" s="16">
        <v>5000000</v>
      </c>
      <c r="M25" s="1"/>
      <c r="N25" s="1"/>
      <c r="O25" s="1"/>
      <c r="P25" s="1"/>
      <c r="Q25" s="1"/>
    </row>
    <row r="26" spans="1:17">
      <c r="A26" s="46" t="s">
        <v>172</v>
      </c>
      <c r="B26" s="47">
        <v>3100000</v>
      </c>
      <c r="C26" s="47">
        <v>3450000</v>
      </c>
      <c r="D26" s="51">
        <f t="shared" si="3"/>
        <v>6550000</v>
      </c>
      <c r="E26" s="53">
        <v>1246000</v>
      </c>
      <c r="F26" s="47">
        <f t="shared" si="1"/>
        <v>5304000</v>
      </c>
      <c r="G26" s="55">
        <f t="shared" si="0"/>
        <v>2204000</v>
      </c>
      <c r="H26" s="48"/>
      <c r="I26" s="27"/>
      <c r="J26" s="25"/>
      <c r="K26" s="28"/>
      <c r="L26" s="16"/>
      <c r="M26" s="1"/>
      <c r="N26" s="1"/>
      <c r="O26" s="1"/>
      <c r="P26" s="1"/>
      <c r="Q26" s="1"/>
    </row>
    <row r="27" spans="1:17">
      <c r="A27" s="12" t="s">
        <v>173</v>
      </c>
      <c r="B27" s="13">
        <v>2100000</v>
      </c>
      <c r="C27" s="13">
        <v>5300000</v>
      </c>
      <c r="D27" s="51">
        <f t="shared" si="3"/>
        <v>7400000</v>
      </c>
      <c r="E27" s="53">
        <v>1956000</v>
      </c>
      <c r="F27" s="13">
        <f t="shared" si="1"/>
        <v>5444000</v>
      </c>
      <c r="G27" s="55">
        <f t="shared" si="0"/>
        <v>3344000</v>
      </c>
      <c r="H27" s="14"/>
      <c r="I27" s="27"/>
      <c r="J27" s="25"/>
      <c r="K27" s="28"/>
      <c r="L27" s="16"/>
      <c r="M27" s="1"/>
      <c r="N27" s="1"/>
      <c r="O27" s="1"/>
      <c r="P27" s="1"/>
      <c r="Q27" s="1"/>
    </row>
    <row r="28" spans="1:17">
      <c r="A28" s="12" t="s">
        <v>174</v>
      </c>
      <c r="B28" s="13">
        <v>5800000</v>
      </c>
      <c r="C28" s="13">
        <v>2100000</v>
      </c>
      <c r="D28" s="51">
        <f t="shared" si="3"/>
        <v>7900000</v>
      </c>
      <c r="E28" s="53">
        <v>1637000</v>
      </c>
      <c r="F28" s="13">
        <f t="shared" si="1"/>
        <v>6263000</v>
      </c>
      <c r="G28" s="55">
        <f t="shared" si="0"/>
        <v>463000</v>
      </c>
      <c r="H28" s="14"/>
      <c r="I28" s="29"/>
      <c r="J28" s="25"/>
      <c r="K28" s="28"/>
      <c r="L28" s="16"/>
      <c r="M28" s="1"/>
      <c r="N28" s="1"/>
      <c r="O28" s="1"/>
      <c r="P28" s="1"/>
      <c r="Q28" s="1"/>
    </row>
    <row r="29" spans="1:17">
      <c r="A29" s="12" t="s">
        <v>175</v>
      </c>
      <c r="B29" s="13">
        <v>1900000</v>
      </c>
      <c r="C29" s="13">
        <v>2300000</v>
      </c>
      <c r="D29" s="51">
        <f t="shared" si="3"/>
        <v>4200000</v>
      </c>
      <c r="E29" s="53">
        <v>855000</v>
      </c>
      <c r="F29" s="13">
        <f t="shared" si="1"/>
        <v>3345000</v>
      </c>
      <c r="G29" s="55">
        <f t="shared" si="0"/>
        <v>1445000</v>
      </c>
      <c r="H29" s="14"/>
      <c r="I29" s="27"/>
      <c r="J29" s="25"/>
      <c r="K29" s="28"/>
      <c r="L29" s="16"/>
      <c r="M29" s="1"/>
      <c r="N29" s="1"/>
      <c r="O29" s="1"/>
      <c r="P29" s="1"/>
      <c r="Q29" s="1"/>
    </row>
    <row r="30" spans="1:17">
      <c r="A30" s="12" t="s">
        <v>177</v>
      </c>
      <c r="B30" s="13"/>
      <c r="C30" s="13">
        <v>850000</v>
      </c>
      <c r="D30" s="51">
        <f t="shared" si="3"/>
        <v>850000</v>
      </c>
      <c r="E30" s="53">
        <v>1592000</v>
      </c>
      <c r="F30" s="13">
        <f t="shared" si="1"/>
        <v>-742000</v>
      </c>
      <c r="G30" s="55">
        <f t="shared" si="0"/>
        <v>-742000</v>
      </c>
      <c r="H30" s="31"/>
      <c r="I30" s="27"/>
      <c r="J30" s="25"/>
      <c r="K30" s="28"/>
      <c r="L30" s="16"/>
      <c r="M30" s="1"/>
      <c r="N30" s="1"/>
      <c r="O30" s="1"/>
      <c r="P30" s="1"/>
      <c r="Q30" s="1"/>
    </row>
    <row r="31" spans="1:17">
      <c r="A31" s="12" t="s">
        <v>178</v>
      </c>
      <c r="B31" s="13">
        <v>5900000</v>
      </c>
      <c r="C31" s="13">
        <v>250000</v>
      </c>
      <c r="D31" s="51">
        <f t="shared" si="3"/>
        <v>6150000</v>
      </c>
      <c r="E31" s="53">
        <v>1018000</v>
      </c>
      <c r="F31" s="13">
        <f t="shared" si="1"/>
        <v>5132000</v>
      </c>
      <c r="G31" s="55">
        <f t="shared" si="0"/>
        <v>-768000</v>
      </c>
      <c r="H31" s="14"/>
      <c r="I31" s="27"/>
      <c r="J31" s="25"/>
      <c r="K31" s="28"/>
      <c r="L31" s="16"/>
      <c r="M31" s="1"/>
      <c r="N31" s="1"/>
      <c r="O31" s="1"/>
      <c r="P31" s="1"/>
      <c r="Q31" s="1"/>
    </row>
    <row r="32" spans="1:17">
      <c r="A32" s="12" t="s">
        <v>179</v>
      </c>
      <c r="B32" s="13">
        <v>2300000</v>
      </c>
      <c r="C32" s="13">
        <v>200000</v>
      </c>
      <c r="D32" s="51">
        <f t="shared" si="3"/>
        <v>2500000</v>
      </c>
      <c r="E32" s="53">
        <v>710000</v>
      </c>
      <c r="F32" s="13">
        <f t="shared" si="1"/>
        <v>1790000</v>
      </c>
      <c r="G32" s="55">
        <f t="shared" si="0"/>
        <v>-510000</v>
      </c>
      <c r="H32" s="14"/>
      <c r="I32" s="27"/>
      <c r="J32" s="25"/>
      <c r="K32" s="28"/>
      <c r="L32" s="16"/>
      <c r="M32" s="1"/>
      <c r="N32" s="1"/>
      <c r="O32" s="1"/>
      <c r="P32" s="1"/>
      <c r="Q32" s="1"/>
    </row>
    <row r="33" spans="1:17">
      <c r="A33" s="12" t="s">
        <v>180</v>
      </c>
      <c r="B33" s="13">
        <v>3600000</v>
      </c>
      <c r="C33" s="13">
        <v>1200000</v>
      </c>
      <c r="D33" s="51">
        <f t="shared" si="3"/>
        <v>4800000</v>
      </c>
      <c r="E33" s="53">
        <v>1519000</v>
      </c>
      <c r="F33" s="13">
        <f t="shared" si="1"/>
        <v>3281000</v>
      </c>
      <c r="G33" s="55">
        <f t="shared" si="0"/>
        <v>-319000</v>
      </c>
      <c r="H33" s="14"/>
      <c r="I33" s="27"/>
      <c r="J33" s="25"/>
      <c r="K33" s="28"/>
      <c r="L33" s="16"/>
      <c r="M33" s="1"/>
      <c r="N33" s="1"/>
      <c r="O33" s="1"/>
      <c r="P33" s="1"/>
      <c r="Q33" s="1"/>
    </row>
    <row r="34" spans="1:17">
      <c r="A34" s="12" t="s">
        <v>181</v>
      </c>
      <c r="B34" s="13">
        <v>13025000</v>
      </c>
      <c r="C34" s="13">
        <v>2300000</v>
      </c>
      <c r="D34" s="51">
        <f t="shared" si="3"/>
        <v>15325000</v>
      </c>
      <c r="E34" s="53">
        <v>1716000</v>
      </c>
      <c r="F34" s="13">
        <f t="shared" si="1"/>
        <v>13609000</v>
      </c>
      <c r="G34" s="55">
        <f t="shared" si="0"/>
        <v>584000</v>
      </c>
      <c r="H34" s="14"/>
      <c r="I34" s="27"/>
      <c r="J34" s="25"/>
      <c r="K34" s="28"/>
      <c r="L34" s="16"/>
      <c r="M34" s="1"/>
      <c r="N34" s="1"/>
      <c r="O34" s="1"/>
      <c r="P34" s="1"/>
      <c r="Q34" s="1"/>
    </row>
    <row r="35" spans="1:17">
      <c r="A35" s="12" t="s">
        <v>185</v>
      </c>
      <c r="B35" s="13"/>
      <c r="C35" s="13">
        <v>700000</v>
      </c>
      <c r="D35" s="51">
        <f t="shared" si="3"/>
        <v>700000</v>
      </c>
      <c r="E35" s="53">
        <v>976000</v>
      </c>
      <c r="F35" s="13">
        <f t="shared" si="1"/>
        <v>-276000</v>
      </c>
      <c r="G35" s="55">
        <f t="shared" si="0"/>
        <v>-276000</v>
      </c>
      <c r="H35" s="14"/>
      <c r="I35" s="27"/>
      <c r="J35" s="25"/>
      <c r="K35" s="28"/>
      <c r="L35" s="16"/>
      <c r="M35" s="1"/>
      <c r="N35" s="1"/>
      <c r="O35" s="1"/>
      <c r="P35" s="1"/>
      <c r="Q35" s="1"/>
    </row>
    <row r="36" spans="1:17">
      <c r="A36" s="12" t="s">
        <v>188</v>
      </c>
      <c r="B36" s="13">
        <v>1450000</v>
      </c>
      <c r="C36" s="13">
        <v>1600000</v>
      </c>
      <c r="D36" s="51">
        <f t="shared" si="3"/>
        <v>3050000</v>
      </c>
      <c r="E36" s="53">
        <v>1356000</v>
      </c>
      <c r="F36" s="13">
        <f t="shared" si="1"/>
        <v>1694000</v>
      </c>
      <c r="G36" s="55">
        <f t="shared" si="0"/>
        <v>244000</v>
      </c>
      <c r="H36" s="14"/>
      <c r="I36" s="27"/>
      <c r="J36" s="25"/>
      <c r="K36" s="28"/>
      <c r="L36" s="16"/>
      <c r="M36" s="1"/>
      <c r="N36" s="1"/>
      <c r="O36" s="1"/>
      <c r="P36" s="1"/>
      <c r="Q36" s="1"/>
    </row>
    <row r="37" spans="1:17">
      <c r="A37" s="12" t="s">
        <v>189</v>
      </c>
      <c r="B37" s="13">
        <v>3000000</v>
      </c>
      <c r="C37" s="13">
        <v>300000</v>
      </c>
      <c r="D37" s="51">
        <f>B37+C37</f>
        <v>3300000</v>
      </c>
      <c r="E37" s="53">
        <v>1433000</v>
      </c>
      <c r="F37" s="13">
        <f t="shared" si="1"/>
        <v>1867000</v>
      </c>
      <c r="G37" s="55">
        <f t="shared" si="0"/>
        <v>-1133000</v>
      </c>
      <c r="H37" s="14"/>
      <c r="I37" s="27"/>
      <c r="J37" s="25"/>
      <c r="K37" s="28"/>
      <c r="L37" s="16"/>
      <c r="M37" s="1"/>
      <c r="N37" s="1"/>
      <c r="O37" s="1"/>
      <c r="P37" s="1"/>
      <c r="Q37" s="1"/>
    </row>
    <row r="38" spans="1:17">
      <c r="A38" s="12" t="s">
        <v>190</v>
      </c>
      <c r="B38" s="13">
        <v>3400000</v>
      </c>
      <c r="C38" s="13">
        <v>2850000</v>
      </c>
      <c r="D38" s="51">
        <f t="shared" ref="D38" si="4">B38+C38</f>
        <v>6250000</v>
      </c>
      <c r="E38" s="53">
        <v>952000</v>
      </c>
      <c r="F38" s="13">
        <f t="shared" si="1"/>
        <v>5298000</v>
      </c>
      <c r="G38" s="55">
        <f t="shared" si="0"/>
        <v>1898000</v>
      </c>
      <c r="H38" s="14"/>
      <c r="I38" s="27"/>
      <c r="J38" s="25"/>
      <c r="K38" s="28"/>
      <c r="L38" s="16"/>
      <c r="M38" s="1"/>
      <c r="N38" s="1"/>
      <c r="O38" s="1"/>
      <c r="P38" s="1"/>
      <c r="Q38" s="1"/>
    </row>
    <row r="39" spans="1:17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/>
      <c r="N39" s="1"/>
      <c r="O39" s="1"/>
      <c r="P39" s="1"/>
      <c r="Q39" s="1"/>
    </row>
    <row r="40" spans="1:17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  <c r="N40" s="1"/>
      <c r="O40" s="1"/>
      <c r="P40" s="1"/>
      <c r="Q40" s="1"/>
    </row>
    <row r="41" spans="1:17" ht="14.25" customHeight="1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94716886</v>
      </c>
      <c r="M41" s="1"/>
      <c r="N41" s="1"/>
      <c r="O41" s="1"/>
      <c r="P41" s="1"/>
      <c r="Q41" s="1"/>
    </row>
    <row r="42" spans="1:17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  <c r="N42" s="1"/>
      <c r="O42" s="1"/>
      <c r="P42" s="1"/>
      <c r="Q42" s="1"/>
    </row>
    <row r="43" spans="1:17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11</v>
      </c>
      <c r="K43" s="34" t="s">
        <v>12</v>
      </c>
      <c r="L43" s="57">
        <f>B51+C51</f>
        <v>142515000</v>
      </c>
      <c r="M43" s="1"/>
      <c r="N43" s="1"/>
      <c r="O43" s="1"/>
      <c r="P43" s="1"/>
      <c r="Q43" s="1"/>
    </row>
    <row r="44" spans="1:17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13</v>
      </c>
      <c r="L44" s="58">
        <v>39068000</v>
      </c>
      <c r="M44" s="1"/>
      <c r="N44" s="1"/>
      <c r="O44" s="1"/>
      <c r="P44" s="1"/>
      <c r="Q44" s="1"/>
    </row>
    <row r="45" spans="1:17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14</v>
      </c>
      <c r="L45" s="58">
        <v>94716886</v>
      </c>
      <c r="M45" s="1"/>
      <c r="N45" s="1"/>
      <c r="O45" s="1"/>
      <c r="P45" s="1"/>
      <c r="Q45" s="1"/>
    </row>
    <row r="46" spans="1:17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15</v>
      </c>
      <c r="L46" s="39">
        <v>133784886</v>
      </c>
      <c r="M46" s="1"/>
      <c r="N46" s="1"/>
      <c r="O46" s="1"/>
      <c r="P46" s="1"/>
      <c r="Q46" s="1"/>
    </row>
    <row r="47" spans="1:17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  <c r="N47" s="1"/>
      <c r="O47" s="1"/>
      <c r="P47" s="1"/>
      <c r="Q47" s="1"/>
    </row>
    <row r="48" spans="1:17" ht="18">
      <c r="A48" s="12"/>
      <c r="B48" s="13"/>
      <c r="C48" s="13"/>
      <c r="D48" s="51"/>
      <c r="E48" s="53"/>
      <c r="F48" s="13"/>
      <c r="G48" s="55"/>
      <c r="H48" s="14"/>
      <c r="I48" s="27"/>
      <c r="J48" s="80" t="s">
        <v>25</v>
      </c>
      <c r="K48" s="80"/>
      <c r="L48" s="41">
        <f>L43-L46</f>
        <v>8730114</v>
      </c>
      <c r="M48" s="1"/>
      <c r="N48" s="1"/>
      <c r="O48" s="1"/>
      <c r="P48" s="1"/>
      <c r="Q48" s="1"/>
    </row>
    <row r="49" spans="1:17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  <c r="N49" s="1"/>
      <c r="O49" s="1"/>
      <c r="P49" s="1"/>
      <c r="Q49" s="1"/>
    </row>
    <row r="50" spans="1:17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  <c r="N50" s="1"/>
      <c r="O50" s="1"/>
      <c r="P50" s="1"/>
      <c r="Q50" s="1"/>
    </row>
    <row r="51" spans="1:17">
      <c r="A51" s="12"/>
      <c r="B51" s="42">
        <f t="shared" ref="B51:G51" si="5">SUM(B7:B50)</f>
        <v>91375000</v>
      </c>
      <c r="C51" s="42">
        <f t="shared" si="5"/>
        <v>51140000</v>
      </c>
      <c r="D51" s="52">
        <f t="shared" si="5"/>
        <v>142515000</v>
      </c>
      <c r="E51" s="54">
        <f t="shared" si="5"/>
        <v>39068000</v>
      </c>
      <c r="F51" s="50">
        <f t="shared" si="5"/>
        <v>103447000</v>
      </c>
      <c r="G51" s="56">
        <f t="shared" si="5"/>
        <v>12072000</v>
      </c>
      <c r="H51" s="27"/>
      <c r="I51" s="2"/>
      <c r="J51" s="2"/>
      <c r="K51" s="2"/>
      <c r="L51" s="2"/>
      <c r="M51" s="1"/>
      <c r="N51" s="1"/>
      <c r="O51" s="1"/>
      <c r="P51" s="1"/>
      <c r="Q51" s="1"/>
    </row>
    <row r="52" spans="1:17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N55"/>
  <sheetViews>
    <sheetView topLeftCell="D31" workbookViewId="0">
      <selection activeCell="J56" sqref="J56"/>
    </sheetView>
  </sheetViews>
  <sheetFormatPr defaultRowHeight="15"/>
  <cols>
    <col min="2" max="2" width="20.42578125" customWidth="1"/>
    <col min="3" max="3" width="19.5703125" customWidth="1"/>
    <col min="4" max="4" width="18.85546875" customWidth="1"/>
    <col min="5" max="5" width="19" customWidth="1"/>
    <col min="6" max="6" width="18.42578125" customWidth="1"/>
    <col min="7" max="7" width="18.140625" customWidth="1"/>
    <col min="10" max="10" width="16.5703125" customWidth="1"/>
    <col min="11" max="11" width="30.7109375" customWidth="1"/>
    <col min="12" max="12" width="18.28515625" customWidth="1"/>
  </cols>
  <sheetData>
    <row r="3" spans="1:14">
      <c r="A3" s="81" t="s">
        <v>26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  <c r="M3" s="1"/>
      <c r="N3" s="1"/>
    </row>
    <row r="4" spans="1:14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  <c r="M4" s="1"/>
      <c r="N4" s="1"/>
    </row>
    <row r="5" spans="1:14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  <c r="M5" s="1"/>
      <c r="N5" s="1"/>
    </row>
    <row r="6" spans="1:14" ht="15.75">
      <c r="A6" s="85"/>
      <c r="B6" s="8" t="s">
        <v>7</v>
      </c>
      <c r="C6" s="62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  <c r="M6" s="1"/>
      <c r="N6" s="1"/>
    </row>
    <row r="7" spans="1:14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 t="s">
        <v>193</v>
      </c>
      <c r="K7" s="60" t="s">
        <v>194</v>
      </c>
      <c r="L7" s="16">
        <v>678000</v>
      </c>
      <c r="M7" s="1"/>
      <c r="N7" s="1"/>
    </row>
    <row r="8" spans="1:14">
      <c r="A8" s="12" t="s">
        <v>191</v>
      </c>
      <c r="B8" s="13"/>
      <c r="C8" s="13"/>
      <c r="D8" s="51">
        <f>B8+C8</f>
        <v>0</v>
      </c>
      <c r="E8" s="53">
        <v>928000</v>
      </c>
      <c r="F8" s="13">
        <f t="shared" ref="F8:F38" si="1">D8-E8</f>
        <v>-928000</v>
      </c>
      <c r="G8" s="55">
        <f t="shared" si="0"/>
        <v>-928000</v>
      </c>
      <c r="H8" s="14"/>
      <c r="I8" s="17"/>
      <c r="J8" s="61" t="s">
        <v>200</v>
      </c>
      <c r="K8" s="60" t="s">
        <v>201</v>
      </c>
      <c r="L8" s="16">
        <v>740000</v>
      </c>
      <c r="M8" s="1"/>
      <c r="N8" s="1"/>
    </row>
    <row r="9" spans="1:14">
      <c r="A9" s="46" t="s">
        <v>192</v>
      </c>
      <c r="B9" s="47">
        <v>7300000</v>
      </c>
      <c r="C9" s="47">
        <v>1110000</v>
      </c>
      <c r="D9" s="51">
        <f>B9+C9</f>
        <v>8410000</v>
      </c>
      <c r="E9" s="53">
        <v>995000</v>
      </c>
      <c r="F9" s="47">
        <f t="shared" si="1"/>
        <v>7415000</v>
      </c>
      <c r="G9" s="55">
        <f t="shared" si="0"/>
        <v>115000</v>
      </c>
      <c r="H9" s="14"/>
      <c r="I9" s="7"/>
      <c r="J9" s="18" t="s">
        <v>203</v>
      </c>
      <c r="K9" s="19" t="s">
        <v>95</v>
      </c>
      <c r="L9" s="16">
        <v>1600000</v>
      </c>
      <c r="M9" s="1"/>
      <c r="N9" s="1"/>
    </row>
    <row r="10" spans="1:14">
      <c r="A10" s="12" t="s">
        <v>193</v>
      </c>
      <c r="B10" s="13">
        <v>3820000</v>
      </c>
      <c r="C10" s="13"/>
      <c r="D10" s="51">
        <f>B10+C10</f>
        <v>3820000</v>
      </c>
      <c r="E10" s="53">
        <v>1261000</v>
      </c>
      <c r="F10" s="47">
        <f t="shared" si="1"/>
        <v>2559000</v>
      </c>
      <c r="G10" s="55">
        <f t="shared" si="0"/>
        <v>-1261000</v>
      </c>
      <c r="H10" s="14"/>
      <c r="I10" s="20"/>
      <c r="J10" s="18" t="s">
        <v>203</v>
      </c>
      <c r="K10" s="43" t="s">
        <v>202</v>
      </c>
      <c r="L10" s="16">
        <v>1000000</v>
      </c>
      <c r="M10" s="1"/>
      <c r="N10" s="1"/>
    </row>
    <row r="11" spans="1:14">
      <c r="A11" s="12" t="s">
        <v>195</v>
      </c>
      <c r="B11" s="13">
        <v>1800000</v>
      </c>
      <c r="C11" s="13">
        <v>7400000</v>
      </c>
      <c r="D11" s="51">
        <f>B11+C11</f>
        <v>9200000</v>
      </c>
      <c r="E11" s="53">
        <v>1915000</v>
      </c>
      <c r="F11" s="47">
        <f t="shared" si="1"/>
        <v>7285000</v>
      </c>
      <c r="G11" s="55">
        <f t="shared" si="0"/>
        <v>5485000</v>
      </c>
      <c r="H11" s="14"/>
      <c r="I11" s="20"/>
      <c r="J11" s="66" t="s">
        <v>204</v>
      </c>
      <c r="K11" s="71" t="s">
        <v>51</v>
      </c>
      <c r="L11" s="70">
        <v>500000</v>
      </c>
      <c r="M11" s="1"/>
      <c r="N11" s="1"/>
    </row>
    <row r="12" spans="1:14">
      <c r="A12" s="12" t="s">
        <v>196</v>
      </c>
      <c r="B12" s="13">
        <v>5750000</v>
      </c>
      <c r="C12" s="47">
        <v>7750000</v>
      </c>
      <c r="D12" s="51">
        <f>B12+C12</f>
        <v>13500000</v>
      </c>
      <c r="E12" s="53">
        <v>2055000</v>
      </c>
      <c r="F12" s="13">
        <f t="shared" si="1"/>
        <v>11445000</v>
      </c>
      <c r="G12" s="55">
        <f t="shared" si="0"/>
        <v>5695000</v>
      </c>
      <c r="H12" s="14"/>
      <c r="I12" s="7"/>
      <c r="J12" s="12" t="s">
        <v>205</v>
      </c>
      <c r="K12" s="15" t="s">
        <v>206</v>
      </c>
      <c r="L12" s="16">
        <v>1150000</v>
      </c>
      <c r="M12" s="1"/>
      <c r="N12" s="1"/>
    </row>
    <row r="13" spans="1:14">
      <c r="A13" s="66" t="s">
        <v>197</v>
      </c>
      <c r="B13" s="67"/>
      <c r="C13" s="67"/>
      <c r="D13" s="67">
        <f t="shared" ref="D13:D19" si="2">B13+C13</f>
        <v>0</v>
      </c>
      <c r="E13" s="67"/>
      <c r="F13" s="67">
        <f t="shared" si="1"/>
        <v>0</v>
      </c>
      <c r="G13" s="67">
        <f t="shared" si="0"/>
        <v>0</v>
      </c>
      <c r="H13" s="14"/>
      <c r="I13" s="7"/>
      <c r="J13" s="12" t="s">
        <v>208</v>
      </c>
      <c r="K13" s="23" t="s">
        <v>209</v>
      </c>
      <c r="L13" s="16">
        <v>3250000</v>
      </c>
      <c r="M13" s="1"/>
      <c r="N13" s="1"/>
    </row>
    <row r="14" spans="1:14">
      <c r="A14" s="66" t="s">
        <v>198</v>
      </c>
      <c r="B14" s="67"/>
      <c r="C14" s="67"/>
      <c r="D14" s="67">
        <f t="shared" si="2"/>
        <v>0</v>
      </c>
      <c r="E14" s="67"/>
      <c r="F14" s="67">
        <f t="shared" si="1"/>
        <v>0</v>
      </c>
      <c r="G14" s="67">
        <f t="shared" si="0"/>
        <v>0</v>
      </c>
      <c r="H14" s="49"/>
      <c r="I14" s="7"/>
      <c r="J14" s="12" t="s">
        <v>211</v>
      </c>
      <c r="K14" s="23" t="s">
        <v>212</v>
      </c>
      <c r="L14" s="16">
        <v>500000</v>
      </c>
      <c r="M14" s="1"/>
      <c r="N14" s="1"/>
    </row>
    <row r="15" spans="1:14">
      <c r="A15" s="12" t="s">
        <v>199</v>
      </c>
      <c r="B15" s="13">
        <v>5650000</v>
      </c>
      <c r="C15" s="13"/>
      <c r="D15" s="51">
        <f t="shared" si="2"/>
        <v>5650000</v>
      </c>
      <c r="E15" s="53">
        <v>895000</v>
      </c>
      <c r="F15" s="13">
        <f t="shared" si="1"/>
        <v>4755000</v>
      </c>
      <c r="G15" s="55">
        <f t="shared" si="0"/>
        <v>-895000</v>
      </c>
      <c r="H15" s="22"/>
      <c r="I15" s="20"/>
      <c r="J15" s="25" t="s">
        <v>215</v>
      </c>
      <c r="K15" s="44" t="s">
        <v>166</v>
      </c>
      <c r="L15" s="45">
        <v>400000</v>
      </c>
      <c r="M15" s="1"/>
      <c r="N15" s="1"/>
    </row>
    <row r="16" spans="1:14">
      <c r="A16" s="12" t="s">
        <v>200</v>
      </c>
      <c r="B16" s="13">
        <v>6250000</v>
      </c>
      <c r="C16" s="13">
        <v>200000</v>
      </c>
      <c r="D16" s="51">
        <f t="shared" si="2"/>
        <v>6450000</v>
      </c>
      <c r="E16" s="53">
        <v>1352000</v>
      </c>
      <c r="F16" s="13">
        <f t="shared" si="1"/>
        <v>5098000</v>
      </c>
      <c r="G16" s="55">
        <f t="shared" si="0"/>
        <v>-1152000</v>
      </c>
      <c r="H16" s="22"/>
      <c r="I16" s="24"/>
      <c r="J16" s="12" t="s">
        <v>215</v>
      </c>
      <c r="K16" s="23" t="s">
        <v>216</v>
      </c>
      <c r="L16" s="16">
        <v>390000</v>
      </c>
      <c r="M16" s="1"/>
      <c r="N16" s="1"/>
    </row>
    <row r="17" spans="1:14">
      <c r="A17" s="12" t="s">
        <v>203</v>
      </c>
      <c r="B17" s="13">
        <v>500000</v>
      </c>
      <c r="C17" s="13">
        <v>275000</v>
      </c>
      <c r="D17" s="51">
        <f t="shared" si="2"/>
        <v>775000</v>
      </c>
      <c r="E17" s="53">
        <v>997000</v>
      </c>
      <c r="F17" s="13">
        <f t="shared" si="1"/>
        <v>-222000</v>
      </c>
      <c r="G17" s="55">
        <f t="shared" si="0"/>
        <v>-722000</v>
      </c>
      <c r="H17" s="22"/>
      <c r="I17" s="24"/>
      <c r="J17" s="12" t="s">
        <v>215</v>
      </c>
      <c r="K17" s="21" t="s">
        <v>77</v>
      </c>
      <c r="L17" s="16">
        <v>9990000</v>
      </c>
      <c r="M17" s="1"/>
      <c r="N17" s="1"/>
    </row>
    <row r="18" spans="1:14">
      <c r="A18" s="12" t="s">
        <v>204</v>
      </c>
      <c r="B18" s="13">
        <v>11200000</v>
      </c>
      <c r="C18" s="13">
        <v>1550000</v>
      </c>
      <c r="D18" s="51">
        <f t="shared" si="2"/>
        <v>12750000</v>
      </c>
      <c r="E18" s="53">
        <v>1674000</v>
      </c>
      <c r="F18" s="13">
        <f t="shared" si="1"/>
        <v>11076000</v>
      </c>
      <c r="G18" s="55">
        <f t="shared" si="0"/>
        <v>-124000</v>
      </c>
      <c r="H18" s="22"/>
      <c r="I18" s="27"/>
      <c r="J18" s="25" t="s">
        <v>217</v>
      </c>
      <c r="K18" s="28" t="s">
        <v>116</v>
      </c>
      <c r="L18" s="16">
        <v>1000000</v>
      </c>
      <c r="M18" s="1"/>
      <c r="N18" s="1"/>
    </row>
    <row r="19" spans="1:14">
      <c r="A19" s="12" t="s">
        <v>205</v>
      </c>
      <c r="B19" s="13">
        <v>13000000</v>
      </c>
      <c r="C19" s="13">
        <v>1500000</v>
      </c>
      <c r="D19" s="51">
        <f t="shared" si="2"/>
        <v>14500000</v>
      </c>
      <c r="E19" s="53">
        <v>2450000</v>
      </c>
      <c r="F19" s="13">
        <f t="shared" si="1"/>
        <v>12050000</v>
      </c>
      <c r="G19" s="55">
        <f t="shared" si="0"/>
        <v>-950000</v>
      </c>
      <c r="H19" s="22"/>
      <c r="I19" s="27"/>
      <c r="J19" s="30" t="s">
        <v>220</v>
      </c>
      <c r="K19" s="21" t="s">
        <v>221</v>
      </c>
      <c r="L19" s="16">
        <v>1250000</v>
      </c>
      <c r="M19" s="1"/>
      <c r="N19" s="1"/>
    </row>
    <row r="20" spans="1:14">
      <c r="A20" s="12" t="s">
        <v>207</v>
      </c>
      <c r="B20" s="13">
        <v>2000000</v>
      </c>
      <c r="C20" s="13">
        <v>8900000</v>
      </c>
      <c r="D20" s="51">
        <f>B20+C20</f>
        <v>10900000</v>
      </c>
      <c r="E20" s="53">
        <v>2439000</v>
      </c>
      <c r="F20" s="13">
        <f t="shared" si="1"/>
        <v>8461000</v>
      </c>
      <c r="G20" s="55">
        <f t="shared" si="0"/>
        <v>6461000</v>
      </c>
      <c r="H20" s="22"/>
      <c r="I20" s="29"/>
      <c r="J20" s="25" t="s">
        <v>223</v>
      </c>
      <c r="K20" s="28" t="s">
        <v>226</v>
      </c>
      <c r="L20" s="16">
        <v>40000000</v>
      </c>
      <c r="M20" s="1"/>
      <c r="N20" s="1"/>
    </row>
    <row r="21" spans="1:14">
      <c r="A21" s="46" t="s">
        <v>208</v>
      </c>
      <c r="B21" s="47">
        <v>12300000</v>
      </c>
      <c r="C21" s="47">
        <v>1550000</v>
      </c>
      <c r="D21" s="51">
        <f>B21+C21</f>
        <v>13850000</v>
      </c>
      <c r="E21" s="53">
        <v>1283000</v>
      </c>
      <c r="F21" s="47">
        <f t="shared" si="1"/>
        <v>12567000</v>
      </c>
      <c r="G21" s="55">
        <f t="shared" si="0"/>
        <v>267000</v>
      </c>
      <c r="H21" s="48"/>
      <c r="I21" s="27"/>
      <c r="J21" s="25" t="s">
        <v>223</v>
      </c>
      <c r="K21" s="28" t="s">
        <v>56</v>
      </c>
      <c r="L21" s="16">
        <v>10000000</v>
      </c>
      <c r="M21" s="1"/>
      <c r="N21" s="1"/>
    </row>
    <row r="22" spans="1:14">
      <c r="A22" s="46" t="s">
        <v>210</v>
      </c>
      <c r="B22" s="47">
        <v>2800000</v>
      </c>
      <c r="C22" s="47">
        <v>2150000</v>
      </c>
      <c r="D22" s="51">
        <f t="shared" ref="D22:D36" si="3">B22+C22</f>
        <v>4950000</v>
      </c>
      <c r="E22" s="53">
        <v>1059000</v>
      </c>
      <c r="F22" s="47">
        <f t="shared" si="1"/>
        <v>3891000</v>
      </c>
      <c r="G22" s="55">
        <f t="shared" si="0"/>
        <v>1091000</v>
      </c>
      <c r="H22" s="48"/>
      <c r="I22" s="27"/>
      <c r="J22" s="25" t="s">
        <v>223</v>
      </c>
      <c r="K22" s="28" t="s">
        <v>42</v>
      </c>
      <c r="L22" s="16">
        <v>4000000</v>
      </c>
      <c r="M22" s="1"/>
      <c r="N22" s="1"/>
    </row>
    <row r="23" spans="1:14">
      <c r="A23" s="46" t="s">
        <v>211</v>
      </c>
      <c r="B23" s="47">
        <v>7500000</v>
      </c>
      <c r="C23" s="47">
        <v>500000</v>
      </c>
      <c r="D23" s="51">
        <f t="shared" si="3"/>
        <v>8000000</v>
      </c>
      <c r="E23" s="53">
        <v>1208000</v>
      </c>
      <c r="F23" s="47">
        <f t="shared" si="1"/>
        <v>6792000</v>
      </c>
      <c r="G23" s="55">
        <f t="shared" si="0"/>
        <v>-708000</v>
      </c>
      <c r="H23" s="48"/>
      <c r="I23" s="27"/>
      <c r="J23" s="25" t="s">
        <v>227</v>
      </c>
      <c r="K23" s="28" t="s">
        <v>228</v>
      </c>
      <c r="L23" s="16">
        <v>750000</v>
      </c>
      <c r="M23" s="1"/>
      <c r="N23" s="1"/>
    </row>
    <row r="24" spans="1:14">
      <c r="A24" s="46" t="s">
        <v>213</v>
      </c>
      <c r="B24" s="47">
        <v>4150000</v>
      </c>
      <c r="C24" s="47">
        <v>2350000</v>
      </c>
      <c r="D24" s="51">
        <f t="shared" si="3"/>
        <v>6500000</v>
      </c>
      <c r="E24" s="53">
        <v>1334000</v>
      </c>
      <c r="F24" s="47">
        <f t="shared" si="1"/>
        <v>5166000</v>
      </c>
      <c r="G24" s="55">
        <f t="shared" si="0"/>
        <v>1016000</v>
      </c>
      <c r="H24" s="48"/>
      <c r="I24" s="27"/>
      <c r="J24" s="25" t="s">
        <v>230</v>
      </c>
      <c r="K24" s="28" t="s">
        <v>226</v>
      </c>
      <c r="L24" s="16">
        <v>12000000</v>
      </c>
      <c r="M24" s="1"/>
      <c r="N24" s="1"/>
    </row>
    <row r="25" spans="1:14">
      <c r="A25" s="46" t="s">
        <v>214</v>
      </c>
      <c r="B25" s="47">
        <v>1450000</v>
      </c>
      <c r="C25" s="47"/>
      <c r="D25" s="51">
        <f t="shared" si="3"/>
        <v>1450000</v>
      </c>
      <c r="E25" s="53">
        <v>1161000</v>
      </c>
      <c r="F25" s="47">
        <f t="shared" si="1"/>
        <v>289000</v>
      </c>
      <c r="G25" s="55">
        <f t="shared" si="0"/>
        <v>-1161000</v>
      </c>
      <c r="H25" s="48"/>
      <c r="I25" s="27"/>
      <c r="J25" s="25" t="s">
        <v>230</v>
      </c>
      <c r="K25" s="28" t="s">
        <v>231</v>
      </c>
      <c r="L25" s="16">
        <v>750000</v>
      </c>
      <c r="M25" s="1"/>
      <c r="N25" s="1"/>
    </row>
    <row r="26" spans="1:14">
      <c r="A26" s="46" t="s">
        <v>215</v>
      </c>
      <c r="B26" s="47">
        <v>4700000</v>
      </c>
      <c r="C26" s="47">
        <v>2000000</v>
      </c>
      <c r="D26" s="51">
        <f t="shared" si="3"/>
        <v>6700000</v>
      </c>
      <c r="E26" s="53">
        <v>1199000</v>
      </c>
      <c r="F26" s="47">
        <f t="shared" si="1"/>
        <v>5501000</v>
      </c>
      <c r="G26" s="55">
        <f t="shared" si="0"/>
        <v>801000</v>
      </c>
      <c r="H26" s="48"/>
      <c r="I26" s="27"/>
      <c r="J26" s="25" t="s">
        <v>230</v>
      </c>
      <c r="K26" s="28" t="s">
        <v>61</v>
      </c>
      <c r="L26" s="16">
        <v>1930000</v>
      </c>
      <c r="M26" s="1"/>
      <c r="N26" s="1"/>
    </row>
    <row r="27" spans="1:14">
      <c r="A27" s="12" t="s">
        <v>218</v>
      </c>
      <c r="B27" s="13">
        <v>7200000</v>
      </c>
      <c r="C27" s="13">
        <v>1100000</v>
      </c>
      <c r="D27" s="51">
        <f t="shared" si="3"/>
        <v>8300000</v>
      </c>
      <c r="E27" s="53">
        <v>1697000</v>
      </c>
      <c r="F27" s="13">
        <f t="shared" si="1"/>
        <v>6603000</v>
      </c>
      <c r="G27" s="55">
        <f t="shared" si="0"/>
        <v>-597000</v>
      </c>
      <c r="H27" s="14"/>
      <c r="I27" s="27"/>
      <c r="J27" s="25" t="s">
        <v>232</v>
      </c>
      <c r="K27" s="28" t="s">
        <v>42</v>
      </c>
      <c r="L27" s="16">
        <v>2000000</v>
      </c>
      <c r="M27" s="1"/>
      <c r="N27" s="1"/>
    </row>
    <row r="28" spans="1:14">
      <c r="A28" s="12" t="s">
        <v>219</v>
      </c>
      <c r="B28" s="13"/>
      <c r="C28" s="13">
        <v>1300000</v>
      </c>
      <c r="D28" s="51">
        <f t="shared" si="3"/>
        <v>1300000</v>
      </c>
      <c r="E28" s="53">
        <v>1065000</v>
      </c>
      <c r="F28" s="13">
        <f t="shared" si="1"/>
        <v>235000</v>
      </c>
      <c r="G28" s="55">
        <f t="shared" si="0"/>
        <v>235000</v>
      </c>
      <c r="H28" s="14"/>
      <c r="I28" s="29"/>
      <c r="J28" s="25" t="s">
        <v>232</v>
      </c>
      <c r="K28" s="28" t="s">
        <v>42</v>
      </c>
      <c r="L28" s="16">
        <v>1000000</v>
      </c>
      <c r="M28" s="1"/>
      <c r="N28" s="1"/>
    </row>
    <row r="29" spans="1:14">
      <c r="A29" s="66" t="s">
        <v>222</v>
      </c>
      <c r="B29" s="67"/>
      <c r="C29" s="67"/>
      <c r="D29" s="67"/>
      <c r="E29" s="67"/>
      <c r="F29" s="67"/>
      <c r="G29" s="67">
        <f t="shared" si="0"/>
        <v>0</v>
      </c>
      <c r="H29" s="14"/>
      <c r="I29" s="27"/>
      <c r="J29" s="25" t="s">
        <v>232</v>
      </c>
      <c r="K29" s="28" t="s">
        <v>233</v>
      </c>
      <c r="L29" s="16">
        <v>525000</v>
      </c>
      <c r="M29" s="1"/>
      <c r="N29" s="1"/>
    </row>
    <row r="30" spans="1:14">
      <c r="A30" s="12">
        <v>45831</v>
      </c>
      <c r="B30" s="13">
        <v>6750000</v>
      </c>
      <c r="C30" s="13">
        <v>750000</v>
      </c>
      <c r="D30" s="51">
        <f t="shared" si="3"/>
        <v>7500000</v>
      </c>
      <c r="E30" s="53">
        <v>1495000</v>
      </c>
      <c r="F30" s="13">
        <f t="shared" si="1"/>
        <v>6005000</v>
      </c>
      <c r="G30" s="55">
        <f t="shared" si="0"/>
        <v>-745000</v>
      </c>
      <c r="H30" s="31"/>
      <c r="I30" s="27"/>
      <c r="J30" s="25" t="s">
        <v>232</v>
      </c>
      <c r="K30" s="28" t="s">
        <v>234</v>
      </c>
      <c r="L30" s="16">
        <v>10000000</v>
      </c>
      <c r="M30" s="1"/>
      <c r="N30" s="1"/>
    </row>
    <row r="31" spans="1:14">
      <c r="A31" s="12">
        <v>45832</v>
      </c>
      <c r="B31" s="13">
        <v>7700000</v>
      </c>
      <c r="C31" s="13">
        <v>2350000</v>
      </c>
      <c r="D31" s="51">
        <f t="shared" si="3"/>
        <v>10050000</v>
      </c>
      <c r="E31" s="53">
        <v>1957000</v>
      </c>
      <c r="F31" s="13">
        <f t="shared" si="1"/>
        <v>8093000</v>
      </c>
      <c r="G31" s="55">
        <f t="shared" si="0"/>
        <v>393000</v>
      </c>
      <c r="H31" s="14"/>
      <c r="I31" s="27"/>
      <c r="J31" s="25" t="s">
        <v>232</v>
      </c>
      <c r="K31" s="28" t="s">
        <v>235</v>
      </c>
      <c r="L31" s="16">
        <v>30000000</v>
      </c>
      <c r="M31" s="1"/>
      <c r="N31" s="1"/>
    </row>
    <row r="32" spans="1:14">
      <c r="A32" s="12" t="s">
        <v>224</v>
      </c>
      <c r="B32" s="13">
        <v>3050000</v>
      </c>
      <c r="C32" s="13">
        <v>8650000</v>
      </c>
      <c r="D32" s="51">
        <f t="shared" si="3"/>
        <v>11700000</v>
      </c>
      <c r="E32" s="53">
        <v>1155000</v>
      </c>
      <c r="F32" s="13">
        <f t="shared" si="1"/>
        <v>10545000</v>
      </c>
      <c r="G32" s="55">
        <f t="shared" si="0"/>
        <v>7495000</v>
      </c>
      <c r="H32" s="14"/>
      <c r="I32" s="27"/>
      <c r="J32" s="25" t="s">
        <v>232</v>
      </c>
      <c r="K32" s="28" t="s">
        <v>82</v>
      </c>
      <c r="L32" s="16">
        <v>1700000</v>
      </c>
      <c r="M32" s="1"/>
      <c r="N32" s="1"/>
    </row>
    <row r="33" spans="1:14">
      <c r="A33" s="12" t="s">
        <v>223</v>
      </c>
      <c r="B33" s="13">
        <v>250000</v>
      </c>
      <c r="C33" s="13">
        <v>9200000</v>
      </c>
      <c r="D33" s="51">
        <f t="shared" si="3"/>
        <v>9450000</v>
      </c>
      <c r="E33" s="53">
        <v>2142000</v>
      </c>
      <c r="F33" s="13">
        <f t="shared" si="1"/>
        <v>7308000</v>
      </c>
      <c r="G33" s="55">
        <f t="shared" si="0"/>
        <v>7058000</v>
      </c>
      <c r="H33" s="14"/>
      <c r="I33" s="27"/>
      <c r="J33" s="25"/>
      <c r="K33" s="28"/>
      <c r="L33" s="16"/>
      <c r="M33" s="1"/>
      <c r="N33" s="1"/>
    </row>
    <row r="34" spans="1:14">
      <c r="A34" s="12" t="s">
        <v>225</v>
      </c>
      <c r="B34" s="13">
        <v>950000</v>
      </c>
      <c r="C34" s="13">
        <v>175000</v>
      </c>
      <c r="D34" s="51">
        <f t="shared" si="3"/>
        <v>1125000</v>
      </c>
      <c r="E34" s="53">
        <v>1385000</v>
      </c>
      <c r="F34" s="13">
        <f t="shared" si="1"/>
        <v>-260000</v>
      </c>
      <c r="G34" s="55">
        <f t="shared" si="0"/>
        <v>-1210000</v>
      </c>
      <c r="H34" s="14"/>
      <c r="I34" s="27"/>
      <c r="J34" s="25"/>
      <c r="K34" s="28"/>
      <c r="L34" s="16"/>
      <c r="M34" s="1"/>
      <c r="N34" s="1"/>
    </row>
    <row r="35" spans="1:14">
      <c r="A35" s="12" t="s">
        <v>229</v>
      </c>
      <c r="B35" s="13">
        <v>24200000</v>
      </c>
      <c r="C35" s="13">
        <v>370000</v>
      </c>
      <c r="D35" s="51">
        <f t="shared" si="3"/>
        <v>24570000</v>
      </c>
      <c r="E35" s="53">
        <v>2020000</v>
      </c>
      <c r="F35" s="13">
        <f t="shared" si="1"/>
        <v>22550000</v>
      </c>
      <c r="G35" s="55">
        <f t="shared" si="0"/>
        <v>-1650000</v>
      </c>
      <c r="H35" s="14"/>
      <c r="I35" s="27"/>
      <c r="J35" s="25"/>
      <c r="K35" s="28"/>
      <c r="L35" s="16"/>
      <c r="M35" s="1"/>
      <c r="N35" s="1"/>
    </row>
    <row r="36" spans="1:14">
      <c r="A36" s="66" t="s">
        <v>230</v>
      </c>
      <c r="B36" s="67"/>
      <c r="C36" s="67"/>
      <c r="D36" s="67">
        <f t="shared" si="3"/>
        <v>0</v>
      </c>
      <c r="E36" s="67"/>
      <c r="F36" s="67">
        <f t="shared" si="1"/>
        <v>0</v>
      </c>
      <c r="G36" s="67">
        <f t="shared" si="0"/>
        <v>0</v>
      </c>
      <c r="H36" s="14"/>
      <c r="I36" s="27"/>
      <c r="J36" s="25"/>
      <c r="K36" s="28"/>
      <c r="L36" s="16"/>
      <c r="M36" s="1"/>
      <c r="N36" s="1"/>
    </row>
    <row r="37" spans="1:14">
      <c r="A37" s="12" t="s">
        <v>232</v>
      </c>
      <c r="B37" s="13">
        <v>2450000</v>
      </c>
      <c r="C37" s="13"/>
      <c r="D37" s="51">
        <f>B37+C37</f>
        <v>2450000</v>
      </c>
      <c r="E37" s="53">
        <v>1283000</v>
      </c>
      <c r="F37" s="13">
        <f t="shared" si="1"/>
        <v>1167000</v>
      </c>
      <c r="G37" s="55">
        <f t="shared" si="0"/>
        <v>-1283000</v>
      </c>
      <c r="H37" s="14"/>
      <c r="I37" s="27"/>
      <c r="J37" s="25"/>
      <c r="K37" s="28"/>
      <c r="L37" s="16"/>
      <c r="M37" s="1"/>
      <c r="N37" s="1"/>
    </row>
    <row r="38" spans="1:14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  <c r="M38" s="1"/>
      <c r="N38" s="1"/>
    </row>
    <row r="39" spans="1:14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/>
      <c r="N39" s="1"/>
    </row>
    <row r="40" spans="1:14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  <c r="N40" s="1"/>
    </row>
    <row r="41" spans="1:14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137103000</v>
      </c>
      <c r="M41" s="1"/>
      <c r="N41" s="1"/>
    </row>
    <row r="42" spans="1:14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  <c r="N42" s="1"/>
    </row>
    <row r="43" spans="1:14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11</v>
      </c>
      <c r="K43" s="34" t="s">
        <v>12</v>
      </c>
      <c r="L43" s="57">
        <f>B51+C51</f>
        <v>203850000</v>
      </c>
      <c r="M43" s="1"/>
      <c r="N43" s="1"/>
    </row>
    <row r="44" spans="1:14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13</v>
      </c>
      <c r="L44" s="58">
        <v>38404000</v>
      </c>
      <c r="M44" s="1"/>
      <c r="N44" s="1"/>
    </row>
    <row r="45" spans="1:14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14</v>
      </c>
      <c r="L45" s="58">
        <v>137103000</v>
      </c>
      <c r="M45" s="1"/>
      <c r="N45" s="1"/>
    </row>
    <row r="46" spans="1:14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15</v>
      </c>
      <c r="L46" s="39">
        <v>175507000</v>
      </c>
      <c r="M46" s="1"/>
      <c r="N46" s="1"/>
    </row>
    <row r="47" spans="1:14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  <c r="N47" s="1"/>
    </row>
    <row r="48" spans="1:14" ht="18">
      <c r="A48" s="12"/>
      <c r="B48" s="13"/>
      <c r="C48" s="13"/>
      <c r="D48" s="51"/>
      <c r="E48" s="53"/>
      <c r="F48" s="13"/>
      <c r="G48" s="55"/>
      <c r="H48" s="14"/>
      <c r="I48" s="27"/>
      <c r="J48" s="80" t="s">
        <v>27</v>
      </c>
      <c r="K48" s="80"/>
      <c r="L48" s="41">
        <f>L43-L46</f>
        <v>28343000</v>
      </c>
      <c r="M48" s="1"/>
      <c r="N48" s="1"/>
    </row>
    <row r="49" spans="1:14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  <c r="N49" s="1"/>
    </row>
    <row r="50" spans="1:14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  <c r="N50" s="1"/>
    </row>
    <row r="51" spans="1:14">
      <c r="A51" s="12"/>
      <c r="B51" s="42">
        <f t="shared" ref="B51:G51" si="5">SUM(B7:B50)</f>
        <v>142720000</v>
      </c>
      <c r="C51" s="42">
        <f t="shared" si="5"/>
        <v>61130000</v>
      </c>
      <c r="D51" s="52">
        <f t="shared" si="5"/>
        <v>203850000</v>
      </c>
      <c r="E51" s="54">
        <f t="shared" si="5"/>
        <v>38404000</v>
      </c>
      <c r="F51" s="50">
        <f t="shared" si="5"/>
        <v>165446000</v>
      </c>
      <c r="G51" s="56">
        <f t="shared" si="5"/>
        <v>22726000</v>
      </c>
      <c r="H51" s="27"/>
      <c r="I51" s="2"/>
      <c r="J51" s="2"/>
      <c r="K51" s="2"/>
      <c r="L51" s="2"/>
      <c r="M51" s="1"/>
      <c r="N51" s="1"/>
    </row>
    <row r="52" spans="1:14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M53"/>
  <sheetViews>
    <sheetView topLeftCell="D25" workbookViewId="0">
      <selection activeCell="I52" sqref="I52"/>
    </sheetView>
  </sheetViews>
  <sheetFormatPr defaultRowHeight="15"/>
  <cols>
    <col min="1" max="1" width="11" customWidth="1"/>
    <col min="2" max="2" width="18.7109375" customWidth="1"/>
    <col min="3" max="3" width="15.85546875" customWidth="1"/>
    <col min="4" max="4" width="18" customWidth="1"/>
    <col min="5" max="5" width="17.28515625" customWidth="1"/>
    <col min="6" max="6" width="18" customWidth="1"/>
    <col min="7" max="7" width="18.28515625" customWidth="1"/>
    <col min="10" max="10" width="15.28515625" customWidth="1"/>
    <col min="11" max="11" width="38.42578125" customWidth="1"/>
    <col min="12" max="12" width="21.28515625" customWidth="1"/>
  </cols>
  <sheetData>
    <row r="3" spans="1:13">
      <c r="A3" s="81" t="s">
        <v>28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  <c r="M3" s="1"/>
    </row>
    <row r="4" spans="1:13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  <c r="M4" s="1"/>
    </row>
    <row r="5" spans="1:13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  <c r="M5" s="1"/>
    </row>
    <row r="6" spans="1:13" ht="15.75">
      <c r="A6" s="85"/>
      <c r="B6" s="8" t="s">
        <v>7</v>
      </c>
      <c r="C6" s="62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  <c r="M6" s="1"/>
    </row>
    <row r="7" spans="1:13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 t="s">
        <v>236</v>
      </c>
      <c r="K7" s="60" t="s">
        <v>42</v>
      </c>
      <c r="L7" s="16">
        <v>500000</v>
      </c>
      <c r="M7" s="1"/>
    </row>
    <row r="8" spans="1:13">
      <c r="A8" s="12" t="s">
        <v>237</v>
      </c>
      <c r="B8" s="13">
        <v>4575000</v>
      </c>
      <c r="C8" s="13">
        <v>7450000</v>
      </c>
      <c r="D8" s="51">
        <f>B8+C8</f>
        <v>12025000</v>
      </c>
      <c r="E8" s="53">
        <v>1535000</v>
      </c>
      <c r="F8" s="13">
        <f t="shared" ref="F8:F38" si="1">D8-E8</f>
        <v>10490000</v>
      </c>
      <c r="G8" s="55">
        <f t="shared" si="0"/>
        <v>5915000</v>
      </c>
      <c r="H8" s="14"/>
      <c r="I8" s="17"/>
      <c r="J8" s="72" t="s">
        <v>238</v>
      </c>
      <c r="K8" s="73" t="s">
        <v>51</v>
      </c>
      <c r="L8" s="70">
        <v>500000</v>
      </c>
      <c r="M8" s="1"/>
    </row>
    <row r="9" spans="1:13">
      <c r="A9" s="46" t="s">
        <v>236</v>
      </c>
      <c r="B9" s="47">
        <v>1500000</v>
      </c>
      <c r="C9" s="47">
        <v>4745000</v>
      </c>
      <c r="D9" s="51">
        <f>B9+C9</f>
        <v>6245000</v>
      </c>
      <c r="E9" s="53">
        <v>1167000</v>
      </c>
      <c r="F9" s="47">
        <f t="shared" si="1"/>
        <v>5078000</v>
      </c>
      <c r="G9" s="55">
        <f t="shared" si="0"/>
        <v>3578000</v>
      </c>
      <c r="H9" s="14"/>
      <c r="I9" s="7"/>
      <c r="J9" s="18" t="s">
        <v>238</v>
      </c>
      <c r="K9" s="19" t="s">
        <v>239</v>
      </c>
      <c r="L9" s="16">
        <v>3000000</v>
      </c>
      <c r="M9" s="1"/>
    </row>
    <row r="10" spans="1:13">
      <c r="A10" s="12" t="s">
        <v>238</v>
      </c>
      <c r="B10" s="13">
        <v>4725000</v>
      </c>
      <c r="C10" s="13"/>
      <c r="D10" s="51">
        <f>B10+C10</f>
        <v>4725000</v>
      </c>
      <c r="E10" s="53">
        <v>1025000</v>
      </c>
      <c r="F10" s="47">
        <f t="shared" si="1"/>
        <v>3700000</v>
      </c>
      <c r="G10" s="55">
        <f t="shared" si="0"/>
        <v>-1025000</v>
      </c>
      <c r="H10" s="14"/>
      <c r="I10" s="20"/>
      <c r="J10" s="18" t="s">
        <v>240</v>
      </c>
      <c r="K10" s="43" t="s">
        <v>241</v>
      </c>
      <c r="L10" s="16">
        <v>12800000</v>
      </c>
      <c r="M10" s="1"/>
    </row>
    <row r="11" spans="1:13">
      <c r="A11" s="12" t="s">
        <v>240</v>
      </c>
      <c r="B11" s="13">
        <v>150000</v>
      </c>
      <c r="C11" s="13">
        <v>250000</v>
      </c>
      <c r="D11" s="51">
        <f>B11+C11</f>
        <v>400000</v>
      </c>
      <c r="E11" s="53">
        <v>1393000</v>
      </c>
      <c r="F11" s="47">
        <f t="shared" si="1"/>
        <v>-993000</v>
      </c>
      <c r="G11" s="55">
        <f t="shared" si="0"/>
        <v>-1143000</v>
      </c>
      <c r="H11" s="14"/>
      <c r="I11" s="20"/>
      <c r="J11" s="12" t="s">
        <v>244</v>
      </c>
      <c r="K11" s="19" t="s">
        <v>245</v>
      </c>
      <c r="L11" s="16">
        <v>3800000</v>
      </c>
      <c r="M11" s="1"/>
    </row>
    <row r="12" spans="1:13">
      <c r="A12" s="12" t="s">
        <v>242</v>
      </c>
      <c r="B12" s="13">
        <v>6800000</v>
      </c>
      <c r="C12" s="47">
        <v>100000</v>
      </c>
      <c r="D12" s="51">
        <f>B12+C12</f>
        <v>6900000</v>
      </c>
      <c r="E12" s="53">
        <v>875000</v>
      </c>
      <c r="F12" s="13">
        <f t="shared" si="1"/>
        <v>6025000</v>
      </c>
      <c r="G12" s="55">
        <f t="shared" si="0"/>
        <v>-775000</v>
      </c>
      <c r="H12" s="14"/>
      <c r="I12" s="7"/>
      <c r="J12" s="12" t="s">
        <v>244</v>
      </c>
      <c r="K12" s="15" t="s">
        <v>246</v>
      </c>
      <c r="L12" s="16">
        <v>496000</v>
      </c>
      <c r="M12" s="1"/>
    </row>
    <row r="13" spans="1:13">
      <c r="A13" s="12" t="s">
        <v>243</v>
      </c>
      <c r="B13" s="13">
        <v>4050000</v>
      </c>
      <c r="C13" s="13">
        <v>150000</v>
      </c>
      <c r="D13" s="51">
        <f t="shared" ref="D13:D19" si="2">B13+C13</f>
        <v>4200000</v>
      </c>
      <c r="E13" s="53">
        <v>621000</v>
      </c>
      <c r="F13" s="13">
        <f t="shared" si="1"/>
        <v>3579000</v>
      </c>
      <c r="G13" s="55">
        <f t="shared" si="0"/>
        <v>-471000</v>
      </c>
      <c r="H13" s="14"/>
      <c r="I13" s="7"/>
      <c r="J13" s="12" t="s">
        <v>254</v>
      </c>
      <c r="K13" s="23" t="s">
        <v>80</v>
      </c>
      <c r="L13" s="16">
        <v>1250000</v>
      </c>
      <c r="M13" s="1"/>
    </row>
    <row r="14" spans="1:13">
      <c r="A14" s="46" t="s">
        <v>244</v>
      </c>
      <c r="B14" s="47">
        <v>2000000</v>
      </c>
      <c r="C14" s="47">
        <v>750000</v>
      </c>
      <c r="D14" s="51">
        <f t="shared" si="2"/>
        <v>2750000</v>
      </c>
      <c r="E14" s="53">
        <v>1670000</v>
      </c>
      <c r="F14" s="47">
        <f t="shared" si="1"/>
        <v>1080000</v>
      </c>
      <c r="G14" s="55">
        <f t="shared" si="0"/>
        <v>-920000</v>
      </c>
      <c r="H14" s="49"/>
      <c r="I14" s="7"/>
      <c r="J14" s="12" t="s">
        <v>254</v>
      </c>
      <c r="K14" s="23" t="s">
        <v>95</v>
      </c>
      <c r="L14" s="16">
        <v>1500000</v>
      </c>
      <c r="M14" s="1"/>
    </row>
    <row r="15" spans="1:13">
      <c r="A15" s="12" t="s">
        <v>247</v>
      </c>
      <c r="B15" s="13"/>
      <c r="C15" s="13">
        <v>9550000</v>
      </c>
      <c r="D15" s="51">
        <f t="shared" si="2"/>
        <v>9550000</v>
      </c>
      <c r="E15" s="53">
        <v>1036000</v>
      </c>
      <c r="F15" s="13">
        <f t="shared" si="1"/>
        <v>8514000</v>
      </c>
      <c r="G15" s="55">
        <f t="shared" si="0"/>
        <v>8514000</v>
      </c>
      <c r="H15" s="22"/>
      <c r="I15" s="20"/>
      <c r="J15" s="25" t="s">
        <v>254</v>
      </c>
      <c r="K15" s="44" t="s">
        <v>166</v>
      </c>
      <c r="L15" s="45">
        <v>400000</v>
      </c>
      <c r="M15" s="1"/>
    </row>
    <row r="16" spans="1:13">
      <c r="A16" s="12" t="s">
        <v>248</v>
      </c>
      <c r="B16" s="13">
        <v>3305000</v>
      </c>
      <c r="C16" s="13">
        <v>840000</v>
      </c>
      <c r="D16" s="51">
        <f t="shared" si="2"/>
        <v>4145000</v>
      </c>
      <c r="E16" s="53">
        <v>1463000</v>
      </c>
      <c r="F16" s="13">
        <f t="shared" si="1"/>
        <v>2682000</v>
      </c>
      <c r="G16" s="55">
        <f t="shared" si="0"/>
        <v>-623000</v>
      </c>
      <c r="H16" s="22"/>
      <c r="I16" s="24"/>
      <c r="J16" s="12" t="s">
        <v>254</v>
      </c>
      <c r="K16" s="23" t="s">
        <v>116</v>
      </c>
      <c r="L16" s="16">
        <v>1000000</v>
      </c>
      <c r="M16" s="1"/>
    </row>
    <row r="17" spans="1:13">
      <c r="A17" s="12" t="s">
        <v>249</v>
      </c>
      <c r="B17" s="13">
        <v>200000</v>
      </c>
      <c r="C17" s="13">
        <v>1770000</v>
      </c>
      <c r="D17" s="51">
        <f t="shared" si="2"/>
        <v>1970000</v>
      </c>
      <c r="E17" s="53">
        <v>1016000</v>
      </c>
      <c r="F17" s="13">
        <f t="shared" si="1"/>
        <v>954000</v>
      </c>
      <c r="G17" s="55">
        <f t="shared" si="0"/>
        <v>754000</v>
      </c>
      <c r="H17" s="22"/>
      <c r="I17" s="24"/>
      <c r="J17" s="12" t="s">
        <v>254</v>
      </c>
      <c r="K17" s="21" t="s">
        <v>255</v>
      </c>
      <c r="L17" s="16">
        <v>1000000</v>
      </c>
      <c r="M17" s="1"/>
    </row>
    <row r="18" spans="1:13">
      <c r="A18" s="12" t="s">
        <v>250</v>
      </c>
      <c r="B18" s="13">
        <v>900000</v>
      </c>
      <c r="C18" s="13">
        <v>900000</v>
      </c>
      <c r="D18" s="51">
        <f t="shared" si="2"/>
        <v>1800000</v>
      </c>
      <c r="E18" s="53">
        <v>1545000</v>
      </c>
      <c r="F18" s="13">
        <f t="shared" si="1"/>
        <v>255000</v>
      </c>
      <c r="G18" s="55">
        <f t="shared" si="0"/>
        <v>-645000</v>
      </c>
      <c r="H18" s="22"/>
      <c r="I18" s="27"/>
      <c r="J18" s="25" t="s">
        <v>258</v>
      </c>
      <c r="K18" s="28" t="s">
        <v>54</v>
      </c>
      <c r="L18" s="16">
        <v>1130000</v>
      </c>
      <c r="M18" s="1"/>
    </row>
    <row r="19" spans="1:13">
      <c r="A19" s="12" t="s">
        <v>251</v>
      </c>
      <c r="B19" s="13">
        <v>4250000</v>
      </c>
      <c r="C19" s="13">
        <v>7400000</v>
      </c>
      <c r="D19" s="51">
        <f t="shared" si="2"/>
        <v>11650000</v>
      </c>
      <c r="E19" s="53">
        <v>1718000</v>
      </c>
      <c r="F19" s="13">
        <f t="shared" si="1"/>
        <v>9932000</v>
      </c>
      <c r="G19" s="55">
        <f t="shared" si="0"/>
        <v>5682000</v>
      </c>
      <c r="H19" s="22"/>
      <c r="I19" s="27"/>
      <c r="J19" s="30" t="s">
        <v>259</v>
      </c>
      <c r="K19" s="21" t="s">
        <v>42</v>
      </c>
      <c r="L19" s="16">
        <v>1000000</v>
      </c>
      <c r="M19" s="1"/>
    </row>
    <row r="20" spans="1:13">
      <c r="A20" s="12" t="s">
        <v>252</v>
      </c>
      <c r="B20" s="13">
        <v>2400000</v>
      </c>
      <c r="C20" s="13">
        <v>1300000</v>
      </c>
      <c r="D20" s="51">
        <f>B20+C20</f>
        <v>3700000</v>
      </c>
      <c r="E20" s="53">
        <v>961000</v>
      </c>
      <c r="F20" s="13">
        <f t="shared" si="1"/>
        <v>2739000</v>
      </c>
      <c r="G20" s="55">
        <f t="shared" si="0"/>
        <v>339000</v>
      </c>
      <c r="H20" s="22"/>
      <c r="I20" s="29"/>
      <c r="J20" s="25" t="s">
        <v>260</v>
      </c>
      <c r="K20" s="28" t="s">
        <v>261</v>
      </c>
      <c r="L20" s="16">
        <v>1317000</v>
      </c>
      <c r="M20" s="1"/>
    </row>
    <row r="21" spans="1:13">
      <c r="A21" s="46" t="s">
        <v>253</v>
      </c>
      <c r="B21" s="47">
        <v>450000</v>
      </c>
      <c r="C21" s="47"/>
      <c r="D21" s="51"/>
      <c r="E21" s="53">
        <v>1362000</v>
      </c>
      <c r="F21" s="47">
        <f t="shared" si="1"/>
        <v>-1362000</v>
      </c>
      <c r="G21" s="55">
        <f t="shared" si="0"/>
        <v>-1362000</v>
      </c>
      <c r="H21" s="48"/>
      <c r="I21" s="27"/>
      <c r="J21" s="25" t="s">
        <v>262</v>
      </c>
      <c r="K21" s="28" t="s">
        <v>187</v>
      </c>
      <c r="L21" s="16">
        <v>20000000</v>
      </c>
      <c r="M21" s="1"/>
    </row>
    <row r="22" spans="1:13">
      <c r="A22" s="46" t="s">
        <v>254</v>
      </c>
      <c r="B22" s="47">
        <v>1500000</v>
      </c>
      <c r="C22" s="47">
        <v>5525000</v>
      </c>
      <c r="D22" s="51">
        <f t="shared" ref="D22:D36" si="3">B22+C22</f>
        <v>7025000</v>
      </c>
      <c r="E22" s="53">
        <v>1446000</v>
      </c>
      <c r="F22" s="47">
        <f t="shared" si="1"/>
        <v>5579000</v>
      </c>
      <c r="G22" s="55">
        <f t="shared" si="0"/>
        <v>4079000</v>
      </c>
      <c r="H22" s="48"/>
      <c r="I22" s="27"/>
      <c r="J22" s="25" t="s">
        <v>262</v>
      </c>
      <c r="K22" s="28" t="s">
        <v>187</v>
      </c>
      <c r="L22" s="16">
        <v>20000000</v>
      </c>
      <c r="M22" s="1"/>
    </row>
    <row r="23" spans="1:13">
      <c r="A23" s="46" t="s">
        <v>256</v>
      </c>
      <c r="B23" s="47">
        <v>2900000</v>
      </c>
      <c r="C23" s="47">
        <v>500000</v>
      </c>
      <c r="D23" s="51">
        <f t="shared" si="3"/>
        <v>3400000</v>
      </c>
      <c r="E23" s="53">
        <v>1214000</v>
      </c>
      <c r="F23" s="47">
        <f t="shared" si="1"/>
        <v>2186000</v>
      </c>
      <c r="G23" s="55">
        <f t="shared" si="0"/>
        <v>-714000</v>
      </c>
      <c r="H23" s="48"/>
      <c r="I23" s="27"/>
      <c r="J23" s="25" t="s">
        <v>262</v>
      </c>
      <c r="K23" s="28" t="s">
        <v>187</v>
      </c>
      <c r="L23" s="16">
        <v>5000000</v>
      </c>
      <c r="M23" s="1"/>
    </row>
    <row r="24" spans="1:13">
      <c r="A24" s="46" t="s">
        <v>213</v>
      </c>
      <c r="B24" s="47">
        <v>10000000</v>
      </c>
      <c r="C24" s="47">
        <v>5250000</v>
      </c>
      <c r="D24" s="51">
        <f t="shared" si="3"/>
        <v>15250000</v>
      </c>
      <c r="E24" s="53">
        <v>3358000</v>
      </c>
      <c r="F24" s="47">
        <f t="shared" si="1"/>
        <v>11892000</v>
      </c>
      <c r="G24" s="55">
        <f t="shared" si="0"/>
        <v>1892000</v>
      </c>
      <c r="H24" s="48"/>
      <c r="I24" s="27"/>
      <c r="J24" s="25" t="s">
        <v>267</v>
      </c>
      <c r="K24" s="28" t="s">
        <v>51</v>
      </c>
      <c r="L24" s="16">
        <v>500000</v>
      </c>
      <c r="M24" s="1"/>
    </row>
    <row r="25" spans="1:13">
      <c r="A25" s="46" t="s">
        <v>258</v>
      </c>
      <c r="B25" s="47">
        <v>8750000</v>
      </c>
      <c r="C25" s="47">
        <v>1800000</v>
      </c>
      <c r="D25" s="51">
        <f t="shared" si="3"/>
        <v>10550000</v>
      </c>
      <c r="E25" s="53">
        <v>2339000</v>
      </c>
      <c r="F25" s="47">
        <f t="shared" si="1"/>
        <v>8211000</v>
      </c>
      <c r="G25" s="55">
        <f t="shared" si="0"/>
        <v>-539000</v>
      </c>
      <c r="H25" s="48"/>
      <c r="I25" s="27"/>
      <c r="J25" s="25" t="s">
        <v>269</v>
      </c>
      <c r="K25" s="28" t="s">
        <v>270</v>
      </c>
      <c r="L25" s="16">
        <v>500000</v>
      </c>
      <c r="M25" s="1"/>
    </row>
    <row r="26" spans="1:13">
      <c r="A26" s="46" t="s">
        <v>259</v>
      </c>
      <c r="B26" s="47">
        <v>14000000</v>
      </c>
      <c r="C26" s="47">
        <v>5900000</v>
      </c>
      <c r="D26" s="51">
        <f t="shared" si="3"/>
        <v>19900000</v>
      </c>
      <c r="E26" s="53">
        <v>4204000</v>
      </c>
      <c r="F26" s="47">
        <f t="shared" si="1"/>
        <v>15696000</v>
      </c>
      <c r="G26" s="55">
        <f t="shared" si="0"/>
        <v>1696000</v>
      </c>
      <c r="H26" s="48"/>
      <c r="I26" s="27"/>
      <c r="J26" s="25" t="s">
        <v>271</v>
      </c>
      <c r="K26" s="28" t="s">
        <v>56</v>
      </c>
      <c r="L26" s="16">
        <v>10000000</v>
      </c>
      <c r="M26" s="1"/>
    </row>
    <row r="27" spans="1:13">
      <c r="A27" s="66" t="s">
        <v>260</v>
      </c>
      <c r="B27" s="67"/>
      <c r="C27" s="67"/>
      <c r="D27" s="67">
        <f t="shared" si="3"/>
        <v>0</v>
      </c>
      <c r="E27" s="67"/>
      <c r="F27" s="67">
        <f t="shared" si="1"/>
        <v>0</v>
      </c>
      <c r="G27" s="67">
        <f t="shared" si="0"/>
        <v>0</v>
      </c>
      <c r="H27" s="14"/>
      <c r="I27" s="27"/>
      <c r="J27" s="25" t="s">
        <v>271</v>
      </c>
      <c r="K27" s="28" t="s">
        <v>272</v>
      </c>
      <c r="L27" s="16">
        <v>3000000</v>
      </c>
      <c r="M27" s="1"/>
    </row>
    <row r="28" spans="1:13">
      <c r="A28" s="12" t="s">
        <v>262</v>
      </c>
      <c r="B28" s="13">
        <v>3675000</v>
      </c>
      <c r="C28" s="13"/>
      <c r="D28" s="51">
        <f t="shared" si="3"/>
        <v>3675000</v>
      </c>
      <c r="E28" s="53">
        <v>1996000</v>
      </c>
      <c r="F28" s="13">
        <f t="shared" si="1"/>
        <v>1679000</v>
      </c>
      <c r="G28" s="55">
        <f t="shared" si="0"/>
        <v>-1996000</v>
      </c>
      <c r="H28" s="14"/>
      <c r="I28" s="29"/>
      <c r="J28" s="25" t="s">
        <v>273</v>
      </c>
      <c r="K28" s="28" t="s">
        <v>104</v>
      </c>
      <c r="L28" s="16">
        <v>16000000</v>
      </c>
      <c r="M28" s="1"/>
    </row>
    <row r="29" spans="1:13">
      <c r="A29" s="12" t="s">
        <v>263</v>
      </c>
      <c r="B29" s="13">
        <v>1300000</v>
      </c>
      <c r="C29" s="13">
        <v>50000</v>
      </c>
      <c r="D29" s="51">
        <f t="shared" si="3"/>
        <v>1350000</v>
      </c>
      <c r="E29" s="53">
        <v>1235000</v>
      </c>
      <c r="F29" s="13">
        <f t="shared" si="1"/>
        <v>115000</v>
      </c>
      <c r="G29" s="55">
        <f t="shared" si="0"/>
        <v>-1185000</v>
      </c>
      <c r="H29" s="14"/>
      <c r="I29" s="27"/>
      <c r="J29" s="25" t="s">
        <v>275</v>
      </c>
      <c r="K29" s="28" t="s">
        <v>276</v>
      </c>
      <c r="L29" s="16">
        <v>900000</v>
      </c>
      <c r="M29" s="1"/>
    </row>
    <row r="30" spans="1:13">
      <c r="A30" s="12" t="s">
        <v>264</v>
      </c>
      <c r="B30" s="13">
        <v>7300000</v>
      </c>
      <c r="C30" s="13">
        <v>200000</v>
      </c>
      <c r="D30" s="51">
        <f t="shared" si="3"/>
        <v>7500000</v>
      </c>
      <c r="E30" s="53">
        <v>955000</v>
      </c>
      <c r="F30" s="13">
        <f t="shared" si="1"/>
        <v>6545000</v>
      </c>
      <c r="G30" s="55">
        <f t="shared" si="0"/>
        <v>-755000</v>
      </c>
      <c r="H30" s="31"/>
      <c r="I30" s="27"/>
      <c r="J30" s="25" t="s">
        <v>271</v>
      </c>
      <c r="K30" s="28" t="s">
        <v>277</v>
      </c>
      <c r="L30" s="16">
        <v>1250000</v>
      </c>
      <c r="M30" s="1"/>
    </row>
    <row r="31" spans="1:13">
      <c r="A31" s="12" t="s">
        <v>265</v>
      </c>
      <c r="B31" s="13">
        <v>1750000</v>
      </c>
      <c r="C31" s="13">
        <v>100000</v>
      </c>
      <c r="D31" s="51">
        <f t="shared" si="3"/>
        <v>1850000</v>
      </c>
      <c r="E31" s="53">
        <v>801000</v>
      </c>
      <c r="F31" s="13">
        <f t="shared" si="1"/>
        <v>1049000</v>
      </c>
      <c r="G31" s="55">
        <f t="shared" si="0"/>
        <v>-701000</v>
      </c>
      <c r="H31" s="14"/>
      <c r="I31" s="27"/>
      <c r="J31" s="25" t="s">
        <v>273</v>
      </c>
      <c r="K31" s="28" t="s">
        <v>278</v>
      </c>
      <c r="L31" s="16">
        <v>1000000</v>
      </c>
      <c r="M31" s="1"/>
    </row>
    <row r="32" spans="1:13">
      <c r="A32" s="12" t="s">
        <v>266</v>
      </c>
      <c r="B32" s="13"/>
      <c r="C32" s="13">
        <v>150000</v>
      </c>
      <c r="D32" s="51">
        <f t="shared" si="3"/>
        <v>150000</v>
      </c>
      <c r="E32" s="53">
        <v>1271000</v>
      </c>
      <c r="F32" s="13">
        <f t="shared" si="1"/>
        <v>-1121000</v>
      </c>
      <c r="G32" s="55">
        <f t="shared" si="0"/>
        <v>-1121000</v>
      </c>
      <c r="H32" s="14"/>
      <c r="I32" s="27"/>
      <c r="J32" s="25" t="s">
        <v>275</v>
      </c>
      <c r="K32" s="28" t="s">
        <v>279</v>
      </c>
      <c r="L32" s="16">
        <v>7250000</v>
      </c>
      <c r="M32" s="1"/>
    </row>
    <row r="33" spans="1:13">
      <c r="A33" s="12" t="s">
        <v>267</v>
      </c>
      <c r="B33" s="13">
        <v>5150000</v>
      </c>
      <c r="C33" s="13">
        <v>1080000</v>
      </c>
      <c r="D33" s="51">
        <f t="shared" si="3"/>
        <v>6230000</v>
      </c>
      <c r="E33" s="53">
        <v>1295000</v>
      </c>
      <c r="F33" s="13">
        <f t="shared" si="1"/>
        <v>4935000</v>
      </c>
      <c r="G33" s="55">
        <f t="shared" si="0"/>
        <v>-215000</v>
      </c>
      <c r="H33" s="14"/>
      <c r="I33" s="27"/>
      <c r="J33" s="25" t="s">
        <v>275</v>
      </c>
      <c r="K33" s="28" t="s">
        <v>82</v>
      </c>
      <c r="L33" s="16">
        <v>1400000</v>
      </c>
      <c r="M33" s="1"/>
    </row>
    <row r="34" spans="1:13">
      <c r="A34" s="12" t="s">
        <v>268</v>
      </c>
      <c r="B34" s="13">
        <v>1700000</v>
      </c>
      <c r="C34" s="13"/>
      <c r="D34" s="51">
        <f t="shared" si="3"/>
        <v>1700000</v>
      </c>
      <c r="E34" s="53">
        <v>838000</v>
      </c>
      <c r="F34" s="13">
        <f t="shared" si="1"/>
        <v>862000</v>
      </c>
      <c r="G34" s="55">
        <f t="shared" si="0"/>
        <v>-838000</v>
      </c>
      <c r="H34" s="14"/>
      <c r="I34" s="27"/>
      <c r="J34" s="25" t="s">
        <v>275</v>
      </c>
      <c r="K34" s="28" t="s">
        <v>283</v>
      </c>
      <c r="L34" s="16">
        <v>10000000</v>
      </c>
      <c r="M34" s="1"/>
    </row>
    <row r="35" spans="1:13">
      <c r="A35" s="12" t="s">
        <v>269</v>
      </c>
      <c r="B35" s="13"/>
      <c r="C35" s="13">
        <v>1200000</v>
      </c>
      <c r="D35" s="51">
        <f t="shared" si="3"/>
        <v>1200000</v>
      </c>
      <c r="E35" s="53">
        <v>1832000</v>
      </c>
      <c r="F35" s="13">
        <f t="shared" si="1"/>
        <v>-632000</v>
      </c>
      <c r="G35" s="55">
        <f t="shared" si="0"/>
        <v>-632000</v>
      </c>
      <c r="H35" s="14"/>
      <c r="I35" s="27"/>
      <c r="J35" s="25"/>
      <c r="K35" s="28"/>
      <c r="L35" s="16"/>
      <c r="M35" s="1"/>
    </row>
    <row r="36" spans="1:13">
      <c r="A36" s="12" t="s">
        <v>271</v>
      </c>
      <c r="B36" s="13">
        <v>3650000</v>
      </c>
      <c r="C36" s="13">
        <v>1800000</v>
      </c>
      <c r="D36" s="51">
        <f t="shared" si="3"/>
        <v>5450000</v>
      </c>
      <c r="E36" s="53">
        <v>1325000</v>
      </c>
      <c r="F36" s="13">
        <f t="shared" si="1"/>
        <v>4125000</v>
      </c>
      <c r="G36" s="55">
        <f t="shared" si="0"/>
        <v>475000</v>
      </c>
      <c r="H36" s="14"/>
      <c r="I36" s="27"/>
      <c r="J36" s="25"/>
      <c r="K36" s="28"/>
      <c r="L36" s="16"/>
      <c r="M36" s="1"/>
    </row>
    <row r="37" spans="1:13">
      <c r="A37" s="12" t="s">
        <v>274</v>
      </c>
      <c r="B37" s="13">
        <v>3165000</v>
      </c>
      <c r="C37" s="13">
        <v>2150000</v>
      </c>
      <c r="D37" s="51">
        <f>B37+C37</f>
        <v>5315000</v>
      </c>
      <c r="E37" s="53">
        <v>1027000</v>
      </c>
      <c r="F37" s="13">
        <f t="shared" si="1"/>
        <v>4288000</v>
      </c>
      <c r="G37" s="55">
        <f t="shared" si="0"/>
        <v>1123000</v>
      </c>
      <c r="H37" s="14"/>
      <c r="I37" s="27"/>
      <c r="J37" s="25"/>
      <c r="K37" s="28"/>
      <c r="L37" s="16"/>
      <c r="M37" s="1"/>
    </row>
    <row r="38" spans="1:13">
      <c r="A38" s="12" t="s">
        <v>275</v>
      </c>
      <c r="B38" s="13">
        <v>29125000</v>
      </c>
      <c r="C38" s="13">
        <v>1100000</v>
      </c>
      <c r="D38" s="51">
        <f t="shared" ref="D38" si="4">B38+C38</f>
        <v>30225000</v>
      </c>
      <c r="E38" s="53">
        <v>1074000</v>
      </c>
      <c r="F38" s="13">
        <f t="shared" si="1"/>
        <v>29151000</v>
      </c>
      <c r="G38" s="55">
        <f t="shared" si="0"/>
        <v>26000</v>
      </c>
      <c r="H38" s="14"/>
      <c r="I38" s="27"/>
      <c r="J38" s="25"/>
      <c r="K38" s="28"/>
      <c r="L38" s="16"/>
      <c r="M38" s="1"/>
    </row>
    <row r="39" spans="1:13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 t="s">
        <v>257</v>
      </c>
    </row>
    <row r="40" spans="1:13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</row>
    <row r="41" spans="1:13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126493000</v>
      </c>
      <c r="M41" s="1"/>
    </row>
    <row r="42" spans="1:13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</row>
    <row r="43" spans="1:13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11</v>
      </c>
      <c r="K43" s="34" t="s">
        <v>12</v>
      </c>
      <c r="L43" s="57">
        <f>B51+C51</f>
        <v>191280000</v>
      </c>
      <c r="M43" s="1"/>
    </row>
    <row r="44" spans="1:13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13</v>
      </c>
      <c r="L44" s="58">
        <v>43597000</v>
      </c>
      <c r="M44" s="1"/>
    </row>
    <row r="45" spans="1:13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14</v>
      </c>
      <c r="L45" s="58">
        <v>126493000</v>
      </c>
      <c r="M45" s="1"/>
    </row>
    <row r="46" spans="1:13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15</v>
      </c>
      <c r="L46" s="39">
        <v>170090000</v>
      </c>
      <c r="M46" s="1"/>
    </row>
    <row r="47" spans="1:13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</row>
    <row r="48" spans="1:13" ht="18">
      <c r="A48" s="12"/>
      <c r="B48" s="13"/>
      <c r="C48" s="13"/>
      <c r="D48" s="51"/>
      <c r="E48" s="53"/>
      <c r="F48" s="13"/>
      <c r="G48" s="55"/>
      <c r="H48" s="14"/>
      <c r="I48" s="27"/>
      <c r="J48" s="80" t="s">
        <v>29</v>
      </c>
      <c r="K48" s="80"/>
      <c r="L48" s="41">
        <f>L43-L46</f>
        <v>21190000</v>
      </c>
      <c r="M48" s="1"/>
    </row>
    <row r="49" spans="1:13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</row>
    <row r="50" spans="1:13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</row>
    <row r="51" spans="1:13">
      <c r="A51" s="12"/>
      <c r="B51" s="42">
        <f t="shared" ref="B51:G51" si="5">SUM(B7:B50)</f>
        <v>129270000</v>
      </c>
      <c r="C51" s="42">
        <f t="shared" si="5"/>
        <v>62010000</v>
      </c>
      <c r="D51" s="52">
        <f t="shared" si="5"/>
        <v>190830000</v>
      </c>
      <c r="E51" s="54">
        <f t="shared" si="5"/>
        <v>43597000</v>
      </c>
      <c r="F51" s="50">
        <f t="shared" si="5"/>
        <v>147233000</v>
      </c>
      <c r="G51" s="56">
        <f t="shared" si="5"/>
        <v>18413000</v>
      </c>
      <c r="H51" s="27"/>
      <c r="I51" s="2"/>
      <c r="J51" s="2"/>
      <c r="K51" s="2"/>
      <c r="L51" s="2"/>
      <c r="M51" s="1"/>
    </row>
    <row r="52" spans="1:13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M53"/>
  <sheetViews>
    <sheetView topLeftCell="A10" workbookViewId="0">
      <selection activeCell="A25" sqref="A25:G25"/>
    </sheetView>
  </sheetViews>
  <sheetFormatPr defaultRowHeight="15"/>
  <cols>
    <col min="1" max="1" width="14.85546875" customWidth="1"/>
    <col min="2" max="2" width="20.85546875" customWidth="1"/>
    <col min="3" max="3" width="21" customWidth="1"/>
    <col min="4" max="4" width="18.28515625" customWidth="1"/>
    <col min="5" max="5" width="18.42578125" customWidth="1"/>
    <col min="6" max="6" width="17.7109375" customWidth="1"/>
    <col min="7" max="7" width="18.7109375" customWidth="1"/>
    <col min="10" max="10" width="12.140625" customWidth="1"/>
    <col min="11" max="11" width="33.28515625" customWidth="1"/>
    <col min="12" max="12" width="19.7109375" customWidth="1"/>
  </cols>
  <sheetData>
    <row r="3" spans="1:13">
      <c r="A3" s="81" t="s">
        <v>31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  <c r="M3" s="1"/>
    </row>
    <row r="4" spans="1:13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  <c r="M4" s="1"/>
    </row>
    <row r="5" spans="1:13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  <c r="M5" s="1"/>
    </row>
    <row r="6" spans="1:13" ht="15.75">
      <c r="A6" s="85"/>
      <c r="B6" s="8" t="s">
        <v>7</v>
      </c>
      <c r="C6" s="62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  <c r="M6" s="1"/>
    </row>
    <row r="7" spans="1:13">
      <c r="A7" s="46"/>
      <c r="B7" s="47"/>
      <c r="C7" s="47"/>
      <c r="D7" s="51"/>
      <c r="E7" s="53"/>
      <c r="F7" s="47"/>
      <c r="G7" s="55">
        <f t="shared" ref="G7:G39" si="0">C7-E7</f>
        <v>0</v>
      </c>
      <c r="H7" s="48"/>
      <c r="I7" s="7"/>
      <c r="J7" s="61" t="s">
        <v>284</v>
      </c>
      <c r="K7" s="60" t="s">
        <v>285</v>
      </c>
      <c r="L7" s="16">
        <v>200000</v>
      </c>
      <c r="M7" s="1"/>
    </row>
    <row r="8" spans="1:13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 t="s">
        <v>286</v>
      </c>
      <c r="K8" s="60" t="s">
        <v>287</v>
      </c>
      <c r="L8" s="16">
        <v>1500000</v>
      </c>
      <c r="M8" s="1"/>
    </row>
    <row r="9" spans="1:13">
      <c r="A9" s="46" t="s">
        <v>280</v>
      </c>
      <c r="B9" s="47">
        <v>1000000</v>
      </c>
      <c r="C9" s="47">
        <v>1250000</v>
      </c>
      <c r="D9" s="51">
        <f>B9+C9</f>
        <v>2250000</v>
      </c>
      <c r="E9" s="53">
        <v>1490000</v>
      </c>
      <c r="F9" s="47">
        <f t="shared" si="1"/>
        <v>760000</v>
      </c>
      <c r="G9" s="55">
        <f t="shared" si="0"/>
        <v>-240000</v>
      </c>
      <c r="H9" s="14"/>
      <c r="I9" s="7"/>
      <c r="J9" s="18" t="s">
        <v>290</v>
      </c>
      <c r="K9" s="19" t="s">
        <v>291</v>
      </c>
      <c r="L9" s="16">
        <v>250000</v>
      </c>
      <c r="M9" s="1"/>
    </row>
    <row r="10" spans="1:13">
      <c r="A10" s="12" t="s">
        <v>281</v>
      </c>
      <c r="B10" s="13"/>
      <c r="C10" s="13"/>
      <c r="D10" s="51">
        <f>B10+C10</f>
        <v>0</v>
      </c>
      <c r="E10" s="53">
        <v>876000</v>
      </c>
      <c r="F10" s="47">
        <f t="shared" si="1"/>
        <v>-876000</v>
      </c>
      <c r="G10" s="55">
        <f t="shared" si="0"/>
        <v>-876000</v>
      </c>
      <c r="H10" s="14"/>
      <c r="I10" s="20"/>
      <c r="J10" s="18" t="s">
        <v>294</v>
      </c>
      <c r="K10" s="43" t="s">
        <v>295</v>
      </c>
      <c r="L10" s="16">
        <v>5500000</v>
      </c>
      <c r="M10" s="1"/>
    </row>
    <row r="11" spans="1:13">
      <c r="A11" s="76" t="s">
        <v>282</v>
      </c>
      <c r="B11" s="77"/>
      <c r="C11" s="77"/>
      <c r="D11" s="77">
        <f>B11+C11</f>
        <v>0</v>
      </c>
      <c r="E11" s="77"/>
      <c r="F11" s="77">
        <f t="shared" si="1"/>
        <v>0</v>
      </c>
      <c r="G11" s="77">
        <f t="shared" si="0"/>
        <v>0</v>
      </c>
      <c r="H11" s="14"/>
      <c r="I11" s="20"/>
      <c r="J11" s="12" t="s">
        <v>294</v>
      </c>
      <c r="K11" s="19" t="s">
        <v>296</v>
      </c>
      <c r="L11" s="16">
        <v>2700000</v>
      </c>
      <c r="M11" s="1"/>
    </row>
    <row r="12" spans="1:13">
      <c r="A12" s="12" t="s">
        <v>284</v>
      </c>
      <c r="B12" s="13">
        <v>3000000</v>
      </c>
      <c r="C12" s="47">
        <v>650000</v>
      </c>
      <c r="D12" s="51">
        <f>B12+C12</f>
        <v>3650000</v>
      </c>
      <c r="E12" s="53">
        <v>1522000</v>
      </c>
      <c r="F12" s="13">
        <f t="shared" si="1"/>
        <v>2128000</v>
      </c>
      <c r="G12" s="55">
        <f t="shared" si="0"/>
        <v>-872000</v>
      </c>
      <c r="H12" s="14"/>
      <c r="I12" s="7"/>
      <c r="J12" s="12" t="s">
        <v>294</v>
      </c>
      <c r="K12" s="15" t="s">
        <v>297</v>
      </c>
      <c r="L12" s="16">
        <v>1000000</v>
      </c>
      <c r="M12" s="1"/>
    </row>
    <row r="13" spans="1:13">
      <c r="A13" s="12" t="s">
        <v>286</v>
      </c>
      <c r="B13" s="13">
        <v>5200000</v>
      </c>
      <c r="C13" s="13">
        <v>2900000</v>
      </c>
      <c r="D13" s="51">
        <f t="shared" ref="D13:D19" si="2">B13+C13</f>
        <v>8100000</v>
      </c>
      <c r="E13" s="53">
        <v>2113000</v>
      </c>
      <c r="F13" s="13">
        <f t="shared" si="1"/>
        <v>5987000</v>
      </c>
      <c r="G13" s="55">
        <f t="shared" si="0"/>
        <v>787000</v>
      </c>
      <c r="H13" s="14"/>
      <c r="I13" s="7"/>
      <c r="J13" s="12" t="s">
        <v>294</v>
      </c>
      <c r="K13" s="23" t="s">
        <v>298</v>
      </c>
      <c r="L13" s="16">
        <v>1500000</v>
      </c>
      <c r="M13" s="1"/>
    </row>
    <row r="14" spans="1:13">
      <c r="A14" s="46" t="s">
        <v>288</v>
      </c>
      <c r="B14" s="47">
        <v>2650000</v>
      </c>
      <c r="C14" s="47">
        <v>900000</v>
      </c>
      <c r="D14" s="51">
        <f t="shared" si="2"/>
        <v>3550000</v>
      </c>
      <c r="E14" s="53">
        <v>888000</v>
      </c>
      <c r="F14" s="47">
        <f t="shared" si="1"/>
        <v>2662000</v>
      </c>
      <c r="G14" s="55">
        <f t="shared" si="0"/>
        <v>12000</v>
      </c>
      <c r="H14" s="49"/>
      <c r="I14" s="7"/>
      <c r="J14" s="12" t="s">
        <v>294</v>
      </c>
      <c r="K14" s="23" t="s">
        <v>299</v>
      </c>
      <c r="L14" s="16">
        <v>2000000</v>
      </c>
      <c r="M14" s="1"/>
    </row>
    <row r="15" spans="1:13">
      <c r="A15" s="12" t="s">
        <v>289</v>
      </c>
      <c r="B15" s="13">
        <v>7000000</v>
      </c>
      <c r="C15" s="13">
        <v>25000</v>
      </c>
      <c r="D15" s="51">
        <f t="shared" si="2"/>
        <v>7025000</v>
      </c>
      <c r="E15" s="53">
        <v>2817000</v>
      </c>
      <c r="F15" s="13">
        <f t="shared" si="1"/>
        <v>4208000</v>
      </c>
      <c r="G15" s="55">
        <f t="shared" si="0"/>
        <v>-2792000</v>
      </c>
      <c r="H15" s="22"/>
      <c r="I15" s="20"/>
      <c r="J15" s="25" t="s">
        <v>294</v>
      </c>
      <c r="K15" s="44" t="s">
        <v>300</v>
      </c>
      <c r="L15" s="45">
        <v>1500000</v>
      </c>
      <c r="M15" s="1"/>
    </row>
    <row r="16" spans="1:13">
      <c r="A16" s="12" t="s">
        <v>290</v>
      </c>
      <c r="B16" s="13">
        <v>3250000</v>
      </c>
      <c r="C16" s="13">
        <v>3000000</v>
      </c>
      <c r="D16" s="51">
        <f t="shared" si="2"/>
        <v>6250000</v>
      </c>
      <c r="E16" s="53">
        <v>1537000</v>
      </c>
      <c r="F16" s="13">
        <f t="shared" si="1"/>
        <v>4713000</v>
      </c>
      <c r="G16" s="55">
        <f t="shared" si="0"/>
        <v>1463000</v>
      </c>
      <c r="H16" s="22"/>
      <c r="I16" s="24"/>
      <c r="J16" s="66" t="s">
        <v>303</v>
      </c>
      <c r="K16" s="74" t="s">
        <v>51</v>
      </c>
      <c r="L16" s="70">
        <v>500000</v>
      </c>
      <c r="M16" s="1"/>
    </row>
    <row r="17" spans="1:13">
      <c r="A17" s="12" t="s">
        <v>292</v>
      </c>
      <c r="B17" s="13">
        <v>4700000</v>
      </c>
      <c r="C17" s="13">
        <v>1400000</v>
      </c>
      <c r="D17" s="51">
        <f t="shared" si="2"/>
        <v>6100000</v>
      </c>
      <c r="E17" s="53">
        <v>1832000</v>
      </c>
      <c r="F17" s="13">
        <f t="shared" si="1"/>
        <v>4268000</v>
      </c>
      <c r="G17" s="55">
        <f t="shared" si="0"/>
        <v>-432000</v>
      </c>
      <c r="H17" s="22"/>
      <c r="I17" s="24"/>
      <c r="J17" s="12" t="s">
        <v>308</v>
      </c>
      <c r="K17" s="21" t="s">
        <v>309</v>
      </c>
      <c r="L17" s="16">
        <v>1250000</v>
      </c>
      <c r="M17" s="1"/>
    </row>
    <row r="18" spans="1:13">
      <c r="A18" s="12" t="s">
        <v>293</v>
      </c>
      <c r="B18" s="13">
        <v>2000000</v>
      </c>
      <c r="C18" s="13">
        <v>300000</v>
      </c>
      <c r="D18" s="51">
        <f t="shared" si="2"/>
        <v>2300000</v>
      </c>
      <c r="E18" s="53">
        <v>1525000</v>
      </c>
      <c r="F18" s="13">
        <f t="shared" si="1"/>
        <v>775000</v>
      </c>
      <c r="G18" s="55">
        <f t="shared" si="0"/>
        <v>-1225000</v>
      </c>
      <c r="H18" s="22"/>
      <c r="I18" s="27"/>
      <c r="J18" s="25" t="s">
        <v>311</v>
      </c>
      <c r="K18" s="28" t="s">
        <v>42</v>
      </c>
      <c r="L18" s="16">
        <v>2500000</v>
      </c>
      <c r="M18" s="1"/>
    </row>
    <row r="19" spans="1:13">
      <c r="A19" s="12" t="s">
        <v>294</v>
      </c>
      <c r="B19" s="13"/>
      <c r="C19" s="13">
        <v>250000</v>
      </c>
      <c r="D19" s="51">
        <f t="shared" si="2"/>
        <v>250000</v>
      </c>
      <c r="E19" s="53">
        <v>1011000</v>
      </c>
      <c r="F19" s="13">
        <f t="shared" si="1"/>
        <v>-761000</v>
      </c>
      <c r="G19" s="55">
        <f t="shared" si="0"/>
        <v>-761000</v>
      </c>
      <c r="H19" s="22"/>
      <c r="I19" s="27"/>
      <c r="J19" s="30" t="s">
        <v>311</v>
      </c>
      <c r="K19" s="21" t="s">
        <v>312</v>
      </c>
      <c r="L19" s="16">
        <v>200000</v>
      </c>
      <c r="M19" s="1"/>
    </row>
    <row r="20" spans="1:13">
      <c r="A20" s="12" t="s">
        <v>301</v>
      </c>
      <c r="B20" s="13">
        <v>7800000</v>
      </c>
      <c r="C20" s="13">
        <v>2800000</v>
      </c>
      <c r="D20" s="51">
        <f>B20+C20</f>
        <v>10600000</v>
      </c>
      <c r="E20" s="53">
        <v>1251000</v>
      </c>
      <c r="F20" s="13">
        <f t="shared" si="1"/>
        <v>9349000</v>
      </c>
      <c r="G20" s="55">
        <f t="shared" si="0"/>
        <v>1549000</v>
      </c>
      <c r="H20" s="22"/>
      <c r="I20" s="29"/>
      <c r="J20" s="25" t="s">
        <v>317</v>
      </c>
      <c r="K20" s="28" t="s">
        <v>40</v>
      </c>
      <c r="L20" s="16">
        <v>1275000</v>
      </c>
      <c r="M20" s="1"/>
    </row>
    <row r="21" spans="1:13">
      <c r="A21" s="46" t="s">
        <v>302</v>
      </c>
      <c r="B21" s="47">
        <v>2700000</v>
      </c>
      <c r="C21" s="47">
        <v>350000</v>
      </c>
      <c r="D21" s="51">
        <f>B21+C21</f>
        <v>3050000</v>
      </c>
      <c r="E21" s="53">
        <v>1163000</v>
      </c>
      <c r="F21" s="47">
        <f t="shared" si="1"/>
        <v>1887000</v>
      </c>
      <c r="G21" s="55">
        <f t="shared" si="0"/>
        <v>-813000</v>
      </c>
      <c r="H21" s="48"/>
      <c r="I21" s="27"/>
      <c r="J21" s="25" t="s">
        <v>318</v>
      </c>
      <c r="K21" s="28" t="s">
        <v>127</v>
      </c>
      <c r="L21" s="16">
        <v>10000000</v>
      </c>
      <c r="M21" s="1"/>
    </row>
    <row r="22" spans="1:13">
      <c r="A22" s="46" t="s">
        <v>304</v>
      </c>
      <c r="B22" s="47"/>
      <c r="C22" s="47">
        <v>525000</v>
      </c>
      <c r="D22" s="51">
        <f t="shared" ref="D22:D36" si="3">B22+C22</f>
        <v>525000</v>
      </c>
      <c r="E22" s="53">
        <v>1542000</v>
      </c>
      <c r="F22" s="47">
        <f t="shared" si="1"/>
        <v>-1017000</v>
      </c>
      <c r="G22" s="55">
        <f t="shared" si="0"/>
        <v>-1017000</v>
      </c>
      <c r="H22" s="48"/>
      <c r="I22" s="27"/>
      <c r="J22" s="25" t="s">
        <v>319</v>
      </c>
      <c r="K22" s="28" t="s">
        <v>261</v>
      </c>
      <c r="L22" s="16">
        <v>2187000</v>
      </c>
      <c r="M22" s="1"/>
    </row>
    <row r="23" spans="1:13">
      <c r="A23" s="46" t="s">
        <v>303</v>
      </c>
      <c r="B23" s="47">
        <v>3850000</v>
      </c>
      <c r="C23" s="47">
        <v>975000</v>
      </c>
      <c r="D23" s="51">
        <f t="shared" si="3"/>
        <v>4825000</v>
      </c>
      <c r="E23" s="53">
        <v>1870000</v>
      </c>
      <c r="F23" s="47">
        <f t="shared" si="1"/>
        <v>2955000</v>
      </c>
      <c r="G23" s="55">
        <f t="shared" si="0"/>
        <v>-895000</v>
      </c>
      <c r="H23" s="48"/>
      <c r="I23" s="27"/>
      <c r="J23" s="25" t="s">
        <v>319</v>
      </c>
      <c r="K23" s="28" t="s">
        <v>116</v>
      </c>
      <c r="L23" s="16">
        <v>1000000</v>
      </c>
      <c r="M23" s="1"/>
    </row>
    <row r="24" spans="1:13">
      <c r="A24" s="46" t="s">
        <v>305</v>
      </c>
      <c r="B24" s="47">
        <v>2000000</v>
      </c>
      <c r="C24" s="47">
        <v>1600000</v>
      </c>
      <c r="D24" s="51">
        <f t="shared" si="3"/>
        <v>3600000</v>
      </c>
      <c r="E24" s="53">
        <v>1472000</v>
      </c>
      <c r="F24" s="47">
        <f t="shared" si="1"/>
        <v>2128000</v>
      </c>
      <c r="G24" s="55">
        <f t="shared" si="0"/>
        <v>128000</v>
      </c>
      <c r="H24" s="48"/>
      <c r="I24" s="27"/>
      <c r="J24" s="25" t="s">
        <v>319</v>
      </c>
      <c r="K24" s="28" t="s">
        <v>320</v>
      </c>
      <c r="L24" s="16">
        <v>45000000</v>
      </c>
      <c r="M24" s="1"/>
    </row>
    <row r="25" spans="1:13">
      <c r="A25" s="76" t="s">
        <v>306</v>
      </c>
      <c r="B25" s="77"/>
      <c r="C25" s="77"/>
      <c r="D25" s="77">
        <f t="shared" si="3"/>
        <v>0</v>
      </c>
      <c r="E25" s="77"/>
      <c r="F25" s="77">
        <f t="shared" si="1"/>
        <v>0</v>
      </c>
      <c r="G25" s="77">
        <f t="shared" si="0"/>
        <v>0</v>
      </c>
      <c r="H25" s="48"/>
      <c r="I25" s="27"/>
      <c r="J25" s="25" t="s">
        <v>321</v>
      </c>
      <c r="K25" s="28" t="s">
        <v>324</v>
      </c>
      <c r="L25" s="16">
        <v>1250000</v>
      </c>
      <c r="M25" s="1"/>
    </row>
    <row r="26" spans="1:13">
      <c r="A26" s="46" t="s">
        <v>307</v>
      </c>
      <c r="B26" s="47">
        <v>5450000</v>
      </c>
      <c r="C26" s="47"/>
      <c r="D26" s="51">
        <f t="shared" si="3"/>
        <v>5450000</v>
      </c>
      <c r="E26" s="53">
        <v>1040000</v>
      </c>
      <c r="F26" s="47">
        <f t="shared" si="1"/>
        <v>4410000</v>
      </c>
      <c r="G26" s="55">
        <f t="shared" si="0"/>
        <v>-1040000</v>
      </c>
      <c r="H26" s="48"/>
      <c r="I26" s="27"/>
      <c r="J26" s="25" t="s">
        <v>321</v>
      </c>
      <c r="K26" s="28" t="s">
        <v>41</v>
      </c>
      <c r="L26" s="16">
        <v>840000</v>
      </c>
      <c r="M26" s="1"/>
    </row>
    <row r="27" spans="1:13">
      <c r="A27" s="12" t="s">
        <v>308</v>
      </c>
      <c r="B27" s="13">
        <v>4350000</v>
      </c>
      <c r="C27" s="13">
        <v>2250000</v>
      </c>
      <c r="D27" s="51">
        <f t="shared" si="3"/>
        <v>6600000</v>
      </c>
      <c r="E27" s="53">
        <v>1367000</v>
      </c>
      <c r="F27" s="13">
        <f t="shared" si="1"/>
        <v>5233000</v>
      </c>
      <c r="G27" s="55">
        <f t="shared" si="0"/>
        <v>883000</v>
      </c>
      <c r="H27" s="14"/>
      <c r="I27" s="27"/>
      <c r="J27" s="25" t="s">
        <v>321</v>
      </c>
      <c r="K27" s="28" t="s">
        <v>325</v>
      </c>
      <c r="L27" s="16">
        <v>130000</v>
      </c>
      <c r="M27" s="1"/>
    </row>
    <row r="28" spans="1:13">
      <c r="A28" s="12" t="s">
        <v>310</v>
      </c>
      <c r="B28" s="13">
        <v>250000</v>
      </c>
      <c r="C28" s="13">
        <v>4900000</v>
      </c>
      <c r="D28" s="51">
        <f t="shared" si="3"/>
        <v>5150000</v>
      </c>
      <c r="E28" s="53">
        <v>2125000</v>
      </c>
      <c r="F28" s="13">
        <f t="shared" si="1"/>
        <v>3025000</v>
      </c>
      <c r="G28" s="55">
        <f t="shared" si="0"/>
        <v>2775000</v>
      </c>
      <c r="H28" s="14"/>
      <c r="I28" s="29"/>
      <c r="J28" s="25" t="s">
        <v>322</v>
      </c>
      <c r="K28" s="28" t="s">
        <v>326</v>
      </c>
      <c r="L28" s="16">
        <v>7000000</v>
      </c>
      <c r="M28" s="1"/>
    </row>
    <row r="29" spans="1:13">
      <c r="A29" s="12" t="s">
        <v>311</v>
      </c>
      <c r="B29" s="13"/>
      <c r="C29" s="13">
        <v>750000</v>
      </c>
      <c r="D29" s="51">
        <f t="shared" si="3"/>
        <v>750000</v>
      </c>
      <c r="E29" s="53">
        <v>855000</v>
      </c>
      <c r="F29" s="13">
        <f t="shared" si="1"/>
        <v>-105000</v>
      </c>
      <c r="G29" s="55">
        <f t="shared" si="0"/>
        <v>-105000</v>
      </c>
      <c r="H29" s="14"/>
      <c r="I29" s="27"/>
      <c r="J29" s="25" t="s">
        <v>323</v>
      </c>
      <c r="K29" s="28" t="s">
        <v>41</v>
      </c>
      <c r="L29" s="16">
        <v>200000</v>
      </c>
      <c r="M29" s="1"/>
    </row>
    <row r="30" spans="1:13">
      <c r="A30" s="12" t="s">
        <v>313</v>
      </c>
      <c r="B30" s="13">
        <v>5250000</v>
      </c>
      <c r="C30" s="13">
        <v>2000000</v>
      </c>
      <c r="D30" s="51">
        <f t="shared" si="3"/>
        <v>7250000</v>
      </c>
      <c r="E30" s="53">
        <v>1772000</v>
      </c>
      <c r="F30" s="13">
        <f t="shared" si="1"/>
        <v>5478000</v>
      </c>
      <c r="G30" s="55">
        <f t="shared" si="0"/>
        <v>228000</v>
      </c>
      <c r="H30" s="31"/>
      <c r="I30" s="27"/>
      <c r="J30" s="25" t="s">
        <v>323</v>
      </c>
      <c r="K30" s="28" t="s">
        <v>53</v>
      </c>
      <c r="L30" s="16">
        <v>2295000</v>
      </c>
      <c r="M30" s="1"/>
    </row>
    <row r="31" spans="1:13">
      <c r="A31" s="12" t="s">
        <v>314</v>
      </c>
      <c r="B31" s="13">
        <v>7050000</v>
      </c>
      <c r="C31" s="13">
        <v>215000</v>
      </c>
      <c r="D31" s="51">
        <f t="shared" si="3"/>
        <v>7265000</v>
      </c>
      <c r="E31" s="53">
        <v>1125000</v>
      </c>
      <c r="F31" s="13">
        <f t="shared" si="1"/>
        <v>6140000</v>
      </c>
      <c r="G31" s="55">
        <f t="shared" si="0"/>
        <v>-910000</v>
      </c>
      <c r="H31" s="14"/>
      <c r="I31" s="27"/>
      <c r="J31" s="25" t="s">
        <v>323</v>
      </c>
      <c r="K31" s="28" t="s">
        <v>327</v>
      </c>
      <c r="L31" s="16">
        <v>300000</v>
      </c>
      <c r="M31" s="1"/>
    </row>
    <row r="32" spans="1:13">
      <c r="A32" s="12" t="s">
        <v>315</v>
      </c>
      <c r="B32" s="13">
        <v>3650000</v>
      </c>
      <c r="C32" s="13"/>
      <c r="D32" s="51">
        <f t="shared" si="3"/>
        <v>3650000</v>
      </c>
      <c r="E32" s="53">
        <v>900000</v>
      </c>
      <c r="F32" s="13">
        <f t="shared" si="1"/>
        <v>2750000</v>
      </c>
      <c r="G32" s="55">
        <f t="shared" si="0"/>
        <v>-900000</v>
      </c>
      <c r="H32" s="14"/>
      <c r="I32" s="27"/>
      <c r="J32" s="25" t="s">
        <v>323</v>
      </c>
      <c r="K32" s="28" t="s">
        <v>328</v>
      </c>
      <c r="L32" s="16">
        <v>700000</v>
      </c>
      <c r="M32" s="1"/>
    </row>
    <row r="33" spans="1:13">
      <c r="A33" s="12" t="s">
        <v>316</v>
      </c>
      <c r="B33" s="13"/>
      <c r="C33" s="13">
        <v>11700000</v>
      </c>
      <c r="D33" s="51">
        <f t="shared" si="3"/>
        <v>11700000</v>
      </c>
      <c r="E33" s="53">
        <v>1133000</v>
      </c>
      <c r="F33" s="13">
        <f t="shared" si="1"/>
        <v>10567000</v>
      </c>
      <c r="G33" s="55">
        <f t="shared" si="0"/>
        <v>10567000</v>
      </c>
      <c r="H33" s="14"/>
      <c r="I33" s="27"/>
      <c r="J33" s="25"/>
      <c r="K33" s="28"/>
      <c r="L33" s="16"/>
      <c r="M33" s="1"/>
    </row>
    <row r="34" spans="1:13">
      <c r="A34" s="12" t="s">
        <v>317</v>
      </c>
      <c r="B34" s="13">
        <v>2800000</v>
      </c>
      <c r="C34" s="13">
        <v>3650000</v>
      </c>
      <c r="D34" s="51">
        <f t="shared" si="3"/>
        <v>6450000</v>
      </c>
      <c r="E34" s="53">
        <v>1824000</v>
      </c>
      <c r="F34" s="13">
        <f t="shared" si="1"/>
        <v>4626000</v>
      </c>
      <c r="G34" s="55">
        <f t="shared" si="0"/>
        <v>1826000</v>
      </c>
      <c r="H34" s="14"/>
      <c r="I34" s="27"/>
      <c r="J34" s="25"/>
      <c r="K34" s="28"/>
      <c r="L34" s="16"/>
      <c r="M34" s="1"/>
    </row>
    <row r="35" spans="1:13">
      <c r="A35" s="12" t="s">
        <v>318</v>
      </c>
      <c r="B35" s="13"/>
      <c r="C35" s="13">
        <v>950000</v>
      </c>
      <c r="D35" s="51">
        <f t="shared" si="3"/>
        <v>950000</v>
      </c>
      <c r="E35" s="53">
        <v>819000</v>
      </c>
      <c r="F35" s="13">
        <f t="shared" si="1"/>
        <v>131000</v>
      </c>
      <c r="G35" s="55">
        <f t="shared" si="0"/>
        <v>131000</v>
      </c>
      <c r="H35" s="14"/>
      <c r="I35" s="27"/>
      <c r="J35" s="25"/>
      <c r="K35" s="28"/>
      <c r="L35" s="16"/>
      <c r="M35" s="1"/>
    </row>
    <row r="36" spans="1:13">
      <c r="A36" s="12" t="s">
        <v>319</v>
      </c>
      <c r="B36" s="13">
        <v>25400000</v>
      </c>
      <c r="C36" s="13">
        <v>4570000</v>
      </c>
      <c r="D36" s="51">
        <f t="shared" si="3"/>
        <v>29970000</v>
      </c>
      <c r="E36" s="53">
        <v>2311000</v>
      </c>
      <c r="F36" s="13">
        <f t="shared" si="1"/>
        <v>27659000</v>
      </c>
      <c r="G36" s="55">
        <f t="shared" si="0"/>
        <v>2259000</v>
      </c>
      <c r="H36" s="14"/>
      <c r="I36" s="27"/>
      <c r="J36" s="25"/>
      <c r="K36" s="28"/>
      <c r="L36" s="16"/>
      <c r="M36" s="1"/>
    </row>
    <row r="37" spans="1:13">
      <c r="A37" s="12" t="s">
        <v>321</v>
      </c>
      <c r="B37" s="13">
        <v>4500000</v>
      </c>
      <c r="C37" s="13">
        <v>400000</v>
      </c>
      <c r="D37" s="51">
        <f>B37+C37</f>
        <v>4900000</v>
      </c>
      <c r="E37" s="53">
        <v>4092000</v>
      </c>
      <c r="F37" s="13">
        <f t="shared" si="1"/>
        <v>808000</v>
      </c>
      <c r="G37" s="55">
        <f t="shared" si="0"/>
        <v>-3692000</v>
      </c>
      <c r="H37" s="14"/>
      <c r="I37" s="27"/>
      <c r="J37" s="25"/>
      <c r="K37" s="28"/>
      <c r="L37" s="16"/>
      <c r="M37" s="1"/>
    </row>
    <row r="38" spans="1:13">
      <c r="A38" s="12" t="s">
        <v>322</v>
      </c>
      <c r="B38" s="13">
        <v>19250000</v>
      </c>
      <c r="C38" s="13">
        <v>550000</v>
      </c>
      <c r="D38" s="51">
        <f t="shared" ref="D38" si="4">B38+C38</f>
        <v>19800000</v>
      </c>
      <c r="E38" s="53">
        <v>2944000</v>
      </c>
      <c r="F38" s="13">
        <f t="shared" si="1"/>
        <v>16856000</v>
      </c>
      <c r="G38" s="55">
        <f t="shared" si="0"/>
        <v>-2394000</v>
      </c>
      <c r="H38" s="14"/>
      <c r="I38" s="27"/>
      <c r="J38" s="25"/>
      <c r="K38" s="28"/>
      <c r="L38" s="16"/>
      <c r="M38" s="1"/>
    </row>
    <row r="39" spans="1:13">
      <c r="A39" s="12" t="s">
        <v>323</v>
      </c>
      <c r="B39" s="13"/>
      <c r="C39" s="13">
        <v>400000</v>
      </c>
      <c r="D39" s="51"/>
      <c r="E39" s="53">
        <v>899000</v>
      </c>
      <c r="F39" s="13"/>
      <c r="G39" s="55">
        <f t="shared" si="0"/>
        <v>-499000</v>
      </c>
      <c r="H39" s="14"/>
      <c r="I39" s="27"/>
      <c r="J39" s="25"/>
      <c r="K39" s="28"/>
      <c r="L39" s="16"/>
      <c r="M39" s="1"/>
    </row>
    <row r="40" spans="1:13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</row>
    <row r="41" spans="1:13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92777000</v>
      </c>
      <c r="M41" s="1"/>
    </row>
    <row r="42" spans="1:13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</row>
    <row r="43" spans="1:13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11</v>
      </c>
      <c r="K43" s="34" t="s">
        <v>12</v>
      </c>
      <c r="L43" s="57">
        <f>B51+C51</f>
        <v>172360000</v>
      </c>
      <c r="M43" s="1"/>
    </row>
    <row r="44" spans="1:13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13</v>
      </c>
      <c r="L44" s="58">
        <v>46115000</v>
      </c>
      <c r="M44" s="1"/>
    </row>
    <row r="45" spans="1:13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14</v>
      </c>
      <c r="L45" s="58">
        <v>92777000</v>
      </c>
      <c r="M45" s="1"/>
    </row>
    <row r="46" spans="1:13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15</v>
      </c>
      <c r="L46" s="39">
        <v>138892000</v>
      </c>
      <c r="M46" s="1"/>
    </row>
    <row r="47" spans="1:13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</row>
    <row r="48" spans="1:13" ht="18">
      <c r="A48" s="12"/>
      <c r="B48" s="13"/>
      <c r="C48" s="13"/>
      <c r="D48" s="51"/>
      <c r="E48" s="53"/>
      <c r="F48" s="13"/>
      <c r="G48" s="55"/>
      <c r="H48" s="14"/>
      <c r="I48" s="27"/>
      <c r="J48" s="80" t="s">
        <v>30</v>
      </c>
      <c r="K48" s="80"/>
      <c r="L48" s="41">
        <f>L43-L46</f>
        <v>33468000</v>
      </c>
      <c r="M48" s="1"/>
    </row>
    <row r="49" spans="1:13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</row>
    <row r="50" spans="1:13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</row>
    <row r="51" spans="1:13">
      <c r="A51" s="12"/>
      <c r="B51" s="42">
        <f t="shared" ref="B51:G51" si="5">SUM(B7:B50)</f>
        <v>123100000</v>
      </c>
      <c r="C51" s="42">
        <f t="shared" si="5"/>
        <v>49260000</v>
      </c>
      <c r="D51" s="52">
        <f t="shared" si="5"/>
        <v>171960000</v>
      </c>
      <c r="E51" s="54">
        <f t="shared" si="5"/>
        <v>46115000</v>
      </c>
      <c r="F51" s="50">
        <f t="shared" si="5"/>
        <v>126744000</v>
      </c>
      <c r="G51" s="56">
        <f t="shared" si="5"/>
        <v>3145000</v>
      </c>
      <c r="H51" s="27"/>
      <c r="I51" s="2"/>
      <c r="J51" s="2"/>
      <c r="K51" s="2"/>
      <c r="L51" s="2"/>
      <c r="M51" s="1"/>
    </row>
    <row r="52" spans="1:13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M53"/>
  <sheetViews>
    <sheetView topLeftCell="D28" workbookViewId="0">
      <selection activeCell="J9" sqref="J9"/>
    </sheetView>
  </sheetViews>
  <sheetFormatPr defaultRowHeight="15"/>
  <cols>
    <col min="1" max="1" width="11.85546875" customWidth="1"/>
    <col min="2" max="2" width="18.42578125" customWidth="1"/>
    <col min="3" max="3" width="19.85546875" customWidth="1"/>
    <col min="4" max="4" width="19.28515625" customWidth="1"/>
    <col min="5" max="5" width="17.5703125" customWidth="1"/>
    <col min="6" max="6" width="18.28515625" customWidth="1"/>
    <col min="7" max="7" width="19.28515625" customWidth="1"/>
    <col min="10" max="10" width="13.5703125" customWidth="1"/>
    <col min="11" max="11" width="41.28515625" customWidth="1"/>
    <col min="12" max="12" width="16.85546875" customWidth="1"/>
  </cols>
  <sheetData>
    <row r="3" spans="1:13">
      <c r="A3" s="81" t="s">
        <v>32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  <c r="M3" s="1"/>
    </row>
    <row r="4" spans="1:13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  <c r="M4" s="1"/>
    </row>
    <row r="5" spans="1:13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  <c r="M5" s="1"/>
    </row>
    <row r="6" spans="1:13" ht="15.75">
      <c r="A6" s="85"/>
      <c r="B6" s="8" t="s">
        <v>7</v>
      </c>
      <c r="C6" s="62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  <c r="M6" s="1"/>
    </row>
    <row r="7" spans="1:13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>
        <v>45903</v>
      </c>
      <c r="K7" s="60" t="s">
        <v>329</v>
      </c>
      <c r="L7" s="16">
        <v>1901000</v>
      </c>
      <c r="M7" s="1"/>
    </row>
    <row r="8" spans="1:13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>
        <v>45903</v>
      </c>
      <c r="K8" s="60" t="s">
        <v>330</v>
      </c>
      <c r="L8" s="16">
        <v>1250000</v>
      </c>
      <c r="M8" s="1"/>
    </row>
    <row r="9" spans="1:13">
      <c r="A9" s="46">
        <v>45901</v>
      </c>
      <c r="B9" s="47">
        <v>750000</v>
      </c>
      <c r="C9" s="47">
        <v>11350000</v>
      </c>
      <c r="D9" s="51">
        <f>B9+C9</f>
        <v>12100000</v>
      </c>
      <c r="E9" s="53">
        <v>2340000</v>
      </c>
      <c r="F9" s="47">
        <f t="shared" si="1"/>
        <v>9760000</v>
      </c>
      <c r="G9" s="55">
        <f t="shared" si="0"/>
        <v>9010000</v>
      </c>
      <c r="H9" s="14"/>
      <c r="I9" s="7"/>
      <c r="J9" s="18" t="s">
        <v>331</v>
      </c>
      <c r="K9" s="19" t="s">
        <v>40</v>
      </c>
      <c r="L9" s="16">
        <v>800000</v>
      </c>
      <c r="M9" s="1"/>
    </row>
    <row r="10" spans="1:13">
      <c r="A10" s="12">
        <v>45902</v>
      </c>
      <c r="B10" s="13">
        <v>1800000</v>
      </c>
      <c r="C10" s="13">
        <v>2575000</v>
      </c>
      <c r="D10" s="51">
        <f>B10+C10</f>
        <v>4375000</v>
      </c>
      <c r="E10" s="53">
        <v>1514000</v>
      </c>
      <c r="F10" s="47">
        <f t="shared" si="1"/>
        <v>2861000</v>
      </c>
      <c r="G10" s="55">
        <f t="shared" si="0"/>
        <v>1061000</v>
      </c>
      <c r="H10" s="14"/>
      <c r="I10" s="20"/>
      <c r="J10" s="18">
        <v>45906</v>
      </c>
      <c r="K10" s="43" t="s">
        <v>51</v>
      </c>
      <c r="L10" s="16">
        <v>500000</v>
      </c>
      <c r="M10" s="1"/>
    </row>
    <row r="11" spans="1:13">
      <c r="A11" s="12">
        <v>45903</v>
      </c>
      <c r="B11" s="13">
        <v>3600000</v>
      </c>
      <c r="C11" s="13"/>
      <c r="D11" s="51">
        <f>B11+C11</f>
        <v>3600000</v>
      </c>
      <c r="E11" s="53">
        <v>1065000</v>
      </c>
      <c r="F11" s="47">
        <f t="shared" si="1"/>
        <v>2535000</v>
      </c>
      <c r="G11" s="55">
        <f t="shared" si="0"/>
        <v>-1065000</v>
      </c>
      <c r="H11" s="14"/>
      <c r="I11" s="20"/>
      <c r="J11" s="12">
        <v>45911</v>
      </c>
      <c r="K11" s="19" t="s">
        <v>332</v>
      </c>
      <c r="L11" s="16">
        <v>400000</v>
      </c>
      <c r="M11" s="1"/>
    </row>
    <row r="12" spans="1:13">
      <c r="A12" s="12">
        <v>45904</v>
      </c>
      <c r="B12" s="13">
        <v>1850000</v>
      </c>
      <c r="C12" s="47">
        <v>300000</v>
      </c>
      <c r="D12" s="51">
        <f>B12+C12</f>
        <v>2150000</v>
      </c>
      <c r="E12" s="53">
        <v>1170000</v>
      </c>
      <c r="F12" s="13">
        <f t="shared" si="1"/>
        <v>980000</v>
      </c>
      <c r="G12" s="55">
        <f t="shared" si="0"/>
        <v>-870000</v>
      </c>
      <c r="H12" s="14"/>
      <c r="I12" s="7"/>
      <c r="J12" s="12">
        <v>40799</v>
      </c>
      <c r="K12" s="15" t="s">
        <v>333</v>
      </c>
      <c r="L12" s="16">
        <v>320000</v>
      </c>
      <c r="M12" s="1"/>
    </row>
    <row r="13" spans="1:13">
      <c r="A13" s="12">
        <v>45905</v>
      </c>
      <c r="B13" s="13">
        <v>6400000</v>
      </c>
      <c r="C13" s="13">
        <v>1230000</v>
      </c>
      <c r="D13" s="51">
        <f t="shared" ref="D13:D19" si="2">B13+C13</f>
        <v>7630000</v>
      </c>
      <c r="E13" s="53">
        <v>1488000</v>
      </c>
      <c r="F13" s="13">
        <f t="shared" si="1"/>
        <v>6142000</v>
      </c>
      <c r="G13" s="55">
        <f t="shared" si="0"/>
        <v>-258000</v>
      </c>
      <c r="H13" s="14"/>
      <c r="I13" s="7"/>
      <c r="J13" s="12">
        <v>45915</v>
      </c>
      <c r="K13" s="23" t="s">
        <v>334</v>
      </c>
      <c r="L13" s="16">
        <v>1600000</v>
      </c>
      <c r="M13" s="1"/>
    </row>
    <row r="14" spans="1:13">
      <c r="A14" s="46">
        <v>45906</v>
      </c>
      <c r="B14" s="47">
        <v>1250000</v>
      </c>
      <c r="C14" s="47">
        <v>500000</v>
      </c>
      <c r="D14" s="51">
        <f t="shared" si="2"/>
        <v>1750000</v>
      </c>
      <c r="E14" s="53">
        <v>1310000</v>
      </c>
      <c r="F14" s="47">
        <f t="shared" si="1"/>
        <v>440000</v>
      </c>
      <c r="G14" s="55">
        <f t="shared" si="0"/>
        <v>-810000</v>
      </c>
      <c r="H14" s="49"/>
      <c r="I14" s="7"/>
      <c r="J14" s="12">
        <v>45915</v>
      </c>
      <c r="K14" s="23" t="s">
        <v>95</v>
      </c>
      <c r="L14" s="16">
        <v>750000</v>
      </c>
      <c r="M14" s="1"/>
    </row>
    <row r="15" spans="1:13">
      <c r="A15" s="12">
        <v>45907</v>
      </c>
      <c r="B15" s="13"/>
      <c r="C15" s="13"/>
      <c r="D15" s="51">
        <f t="shared" si="2"/>
        <v>0</v>
      </c>
      <c r="E15" s="53">
        <v>813000</v>
      </c>
      <c r="F15" s="13">
        <f t="shared" si="1"/>
        <v>-813000</v>
      </c>
      <c r="G15" s="55">
        <f t="shared" si="0"/>
        <v>-813000</v>
      </c>
      <c r="H15" s="22"/>
      <c r="I15" s="20"/>
      <c r="J15" s="25">
        <v>45916</v>
      </c>
      <c r="K15" s="44" t="s">
        <v>335</v>
      </c>
      <c r="L15" s="45">
        <v>1163000</v>
      </c>
      <c r="M15" s="1"/>
    </row>
    <row r="16" spans="1:13">
      <c r="A16" s="12">
        <v>45908</v>
      </c>
      <c r="B16" s="13">
        <v>7700000</v>
      </c>
      <c r="C16" s="13">
        <v>600000</v>
      </c>
      <c r="D16" s="51">
        <f t="shared" si="2"/>
        <v>8300000</v>
      </c>
      <c r="E16" s="53">
        <v>1906000</v>
      </c>
      <c r="F16" s="13">
        <f t="shared" si="1"/>
        <v>6394000</v>
      </c>
      <c r="G16" s="55">
        <f t="shared" si="0"/>
        <v>-1306000</v>
      </c>
      <c r="H16" s="22"/>
      <c r="I16" s="24"/>
      <c r="J16" s="12">
        <v>45916</v>
      </c>
      <c r="K16" s="23" t="s">
        <v>336</v>
      </c>
      <c r="L16" s="16">
        <v>400000</v>
      </c>
      <c r="M16" s="1"/>
    </row>
    <row r="17" spans="1:13">
      <c r="A17" s="12">
        <v>45909</v>
      </c>
      <c r="B17" s="13">
        <v>9125000</v>
      </c>
      <c r="C17" s="13">
        <v>1100000</v>
      </c>
      <c r="D17" s="51">
        <f t="shared" si="2"/>
        <v>10225000</v>
      </c>
      <c r="E17" s="53">
        <v>2078000</v>
      </c>
      <c r="F17" s="13">
        <f t="shared" si="1"/>
        <v>8147000</v>
      </c>
      <c r="G17" s="55">
        <f t="shared" si="0"/>
        <v>-978000</v>
      </c>
      <c r="H17" s="22"/>
      <c r="I17" s="24"/>
      <c r="J17" s="12">
        <v>45918</v>
      </c>
      <c r="K17" s="21" t="s">
        <v>337</v>
      </c>
      <c r="L17" s="16">
        <v>1000000</v>
      </c>
      <c r="M17" s="1"/>
    </row>
    <row r="18" spans="1:13">
      <c r="A18" s="12">
        <v>45910</v>
      </c>
      <c r="B18" s="13"/>
      <c r="C18" s="13"/>
      <c r="D18" s="51">
        <f t="shared" si="2"/>
        <v>0</v>
      </c>
      <c r="E18" s="53">
        <v>1187000</v>
      </c>
      <c r="F18" s="13">
        <f t="shared" si="1"/>
        <v>-1187000</v>
      </c>
      <c r="G18" s="55">
        <f t="shared" si="0"/>
        <v>-1187000</v>
      </c>
      <c r="H18" s="22"/>
      <c r="I18" s="27"/>
      <c r="J18" s="25">
        <v>45922</v>
      </c>
      <c r="K18" s="28" t="s">
        <v>338</v>
      </c>
      <c r="L18" s="16">
        <v>4000000</v>
      </c>
      <c r="M18" s="1"/>
    </row>
    <row r="19" spans="1:13">
      <c r="A19" s="12">
        <v>45911</v>
      </c>
      <c r="B19" s="13">
        <v>3400000</v>
      </c>
      <c r="C19" s="13">
        <v>460000</v>
      </c>
      <c r="D19" s="51">
        <f t="shared" si="2"/>
        <v>3860000</v>
      </c>
      <c r="E19" s="53">
        <v>1036500</v>
      </c>
      <c r="F19" s="13">
        <f t="shared" si="1"/>
        <v>2823500</v>
      </c>
      <c r="G19" s="55">
        <f t="shared" si="0"/>
        <v>-576500</v>
      </c>
      <c r="H19" s="22"/>
      <c r="I19" s="27"/>
      <c r="J19" s="30">
        <v>45922</v>
      </c>
      <c r="K19" s="21" t="s">
        <v>166</v>
      </c>
      <c r="L19" s="16">
        <v>400000</v>
      </c>
      <c r="M19" s="1"/>
    </row>
    <row r="20" spans="1:13">
      <c r="A20" s="12">
        <v>45912</v>
      </c>
      <c r="B20" s="13"/>
      <c r="C20" s="13">
        <v>2950000</v>
      </c>
      <c r="D20" s="51">
        <f>B20+C20</f>
        <v>2950000</v>
      </c>
      <c r="E20" s="53">
        <v>1648000</v>
      </c>
      <c r="F20" s="13">
        <f t="shared" si="1"/>
        <v>1302000</v>
      </c>
      <c r="G20" s="55">
        <f t="shared" si="0"/>
        <v>1302000</v>
      </c>
      <c r="H20" s="22"/>
      <c r="I20" s="29"/>
      <c r="J20" s="25">
        <v>45922</v>
      </c>
      <c r="K20" s="28" t="s">
        <v>339</v>
      </c>
      <c r="L20" s="16">
        <v>1000000</v>
      </c>
      <c r="M20" s="1"/>
    </row>
    <row r="21" spans="1:13">
      <c r="A21" s="46">
        <v>45913</v>
      </c>
      <c r="B21" s="47">
        <v>3600000</v>
      </c>
      <c r="C21" s="47">
        <v>200000</v>
      </c>
      <c r="D21" s="51">
        <v>3800000</v>
      </c>
      <c r="E21" s="53">
        <v>1600000</v>
      </c>
      <c r="F21" s="47">
        <f t="shared" si="1"/>
        <v>2200000</v>
      </c>
      <c r="G21" s="55">
        <f t="shared" si="0"/>
        <v>-1400000</v>
      </c>
      <c r="H21" s="48"/>
      <c r="I21" s="27"/>
      <c r="J21" s="25">
        <v>45922</v>
      </c>
      <c r="K21" s="28" t="s">
        <v>340</v>
      </c>
      <c r="L21" s="16">
        <v>1000000</v>
      </c>
      <c r="M21" s="1"/>
    </row>
    <row r="22" spans="1:13">
      <c r="A22" s="76">
        <v>45914</v>
      </c>
      <c r="B22" s="77"/>
      <c r="C22" s="77"/>
      <c r="D22" s="77"/>
      <c r="E22" s="77"/>
      <c r="F22" s="77">
        <f t="shared" si="1"/>
        <v>0</v>
      </c>
      <c r="G22" s="77">
        <f t="shared" si="0"/>
        <v>0</v>
      </c>
      <c r="H22" s="48"/>
      <c r="I22" s="27"/>
      <c r="J22" s="25">
        <v>45923</v>
      </c>
      <c r="K22" s="28" t="s">
        <v>341</v>
      </c>
      <c r="L22" s="16">
        <v>800000</v>
      </c>
      <c r="M22" s="1"/>
    </row>
    <row r="23" spans="1:13">
      <c r="A23" s="46">
        <v>45915</v>
      </c>
      <c r="B23" s="47">
        <v>1750000</v>
      </c>
      <c r="C23" s="47">
        <v>500000</v>
      </c>
      <c r="D23" s="51">
        <f t="shared" ref="D23:D36" si="3">B23+C23</f>
        <v>2250000</v>
      </c>
      <c r="E23" s="53">
        <v>1388000</v>
      </c>
      <c r="F23" s="47">
        <f t="shared" si="1"/>
        <v>862000</v>
      </c>
      <c r="G23" s="55">
        <f t="shared" si="0"/>
        <v>-888000</v>
      </c>
      <c r="H23" s="48"/>
      <c r="I23" s="27"/>
      <c r="J23" s="25">
        <v>45925</v>
      </c>
      <c r="K23" s="28" t="s">
        <v>53</v>
      </c>
      <c r="L23" s="16">
        <v>5298230</v>
      </c>
      <c r="M23" s="1"/>
    </row>
    <row r="24" spans="1:13">
      <c r="A24" s="46">
        <v>45916</v>
      </c>
      <c r="B24" s="47">
        <v>6600000</v>
      </c>
      <c r="C24" s="47">
        <v>4815000</v>
      </c>
      <c r="D24" s="51">
        <f t="shared" si="3"/>
        <v>11415000</v>
      </c>
      <c r="E24" s="53">
        <v>1522000</v>
      </c>
      <c r="F24" s="47">
        <f t="shared" si="1"/>
        <v>9893000</v>
      </c>
      <c r="G24" s="55">
        <f t="shared" si="0"/>
        <v>3293000</v>
      </c>
      <c r="H24" s="48"/>
      <c r="I24" s="27"/>
      <c r="J24" s="25">
        <v>45925</v>
      </c>
      <c r="K24" s="28" t="s">
        <v>342</v>
      </c>
      <c r="L24" s="16">
        <v>3500000</v>
      </c>
      <c r="M24" s="1"/>
    </row>
    <row r="25" spans="1:13">
      <c r="A25" s="46">
        <v>45917</v>
      </c>
      <c r="B25" s="47">
        <v>1750000</v>
      </c>
      <c r="C25" s="47">
        <v>4150000</v>
      </c>
      <c r="D25" s="51">
        <f t="shared" si="3"/>
        <v>5900000</v>
      </c>
      <c r="E25" s="53">
        <v>2248000</v>
      </c>
      <c r="F25" s="47">
        <f t="shared" si="1"/>
        <v>3652000</v>
      </c>
      <c r="G25" s="55">
        <f t="shared" si="0"/>
        <v>1902000</v>
      </c>
      <c r="H25" s="48"/>
      <c r="I25" s="27"/>
      <c r="J25" s="25">
        <v>45925</v>
      </c>
      <c r="K25" s="28" t="s">
        <v>320</v>
      </c>
      <c r="L25" s="16">
        <v>33000000</v>
      </c>
      <c r="M25" s="1"/>
    </row>
    <row r="26" spans="1:13">
      <c r="A26" s="46">
        <v>45918</v>
      </c>
      <c r="B26" s="47">
        <v>4800000</v>
      </c>
      <c r="C26" s="47">
        <v>8500000</v>
      </c>
      <c r="D26" s="51">
        <f t="shared" si="3"/>
        <v>13300000</v>
      </c>
      <c r="E26" s="53">
        <v>2222000</v>
      </c>
      <c r="F26" s="47">
        <f t="shared" si="1"/>
        <v>11078000</v>
      </c>
      <c r="G26" s="55">
        <f t="shared" si="0"/>
        <v>6278000</v>
      </c>
      <c r="H26" s="48"/>
      <c r="I26" s="27"/>
      <c r="J26" s="25">
        <v>45925</v>
      </c>
      <c r="K26" s="28" t="s">
        <v>343</v>
      </c>
      <c r="L26" s="16">
        <v>10500000</v>
      </c>
      <c r="M26" s="1"/>
    </row>
    <row r="27" spans="1:13">
      <c r="A27" s="12">
        <v>45919</v>
      </c>
      <c r="B27" s="13"/>
      <c r="C27" s="13">
        <v>250000</v>
      </c>
      <c r="D27" s="51">
        <f t="shared" si="3"/>
        <v>250000</v>
      </c>
      <c r="E27" s="53">
        <v>1729000</v>
      </c>
      <c r="F27" s="13">
        <f t="shared" si="1"/>
        <v>-1479000</v>
      </c>
      <c r="G27" s="55">
        <f t="shared" si="0"/>
        <v>-1479000</v>
      </c>
      <c r="H27" s="14"/>
      <c r="I27" s="27"/>
      <c r="J27" s="25">
        <v>45926</v>
      </c>
      <c r="K27" s="28" t="s">
        <v>51</v>
      </c>
      <c r="L27" s="16">
        <v>500000</v>
      </c>
      <c r="M27" s="1"/>
    </row>
    <row r="28" spans="1:13">
      <c r="A28" s="12">
        <v>45920</v>
      </c>
      <c r="B28" s="13">
        <v>875000</v>
      </c>
      <c r="C28" s="13">
        <v>150000</v>
      </c>
      <c r="D28" s="51">
        <f t="shared" si="3"/>
        <v>1025000</v>
      </c>
      <c r="E28" s="53">
        <v>1736000</v>
      </c>
      <c r="F28" s="13">
        <f t="shared" si="1"/>
        <v>-711000</v>
      </c>
      <c r="G28" s="55">
        <f t="shared" si="0"/>
        <v>-1586000</v>
      </c>
      <c r="H28" s="14"/>
      <c r="I28" s="29"/>
      <c r="J28" s="25">
        <v>45929</v>
      </c>
      <c r="K28" s="28" t="s">
        <v>344</v>
      </c>
      <c r="L28" s="16">
        <v>10000000</v>
      </c>
      <c r="M28" s="1"/>
    </row>
    <row r="29" spans="1:13">
      <c r="A29" s="76">
        <v>45921</v>
      </c>
      <c r="B29" s="77"/>
      <c r="C29" s="77"/>
      <c r="D29" s="77">
        <f t="shared" si="3"/>
        <v>0</v>
      </c>
      <c r="E29" s="77"/>
      <c r="F29" s="77">
        <f t="shared" si="1"/>
        <v>0</v>
      </c>
      <c r="G29" s="77">
        <f t="shared" si="0"/>
        <v>0</v>
      </c>
      <c r="H29" s="14"/>
      <c r="I29" s="27"/>
      <c r="J29" s="25"/>
      <c r="K29" s="28" t="s">
        <v>348</v>
      </c>
      <c r="L29" s="16">
        <v>875000</v>
      </c>
      <c r="M29" s="1"/>
    </row>
    <row r="30" spans="1:13">
      <c r="A30" s="12">
        <v>45922</v>
      </c>
      <c r="B30" s="13">
        <v>250000</v>
      </c>
      <c r="C30" s="13">
        <v>400000</v>
      </c>
      <c r="D30" s="51">
        <f t="shared" si="3"/>
        <v>650000</v>
      </c>
      <c r="E30" s="53">
        <v>1053000</v>
      </c>
      <c r="F30" s="13">
        <f t="shared" si="1"/>
        <v>-403000</v>
      </c>
      <c r="G30" s="55">
        <f t="shared" si="0"/>
        <v>-653000</v>
      </c>
      <c r="H30" s="31"/>
      <c r="I30" s="27"/>
      <c r="J30" s="25"/>
      <c r="K30" s="28"/>
      <c r="L30" s="16"/>
      <c r="M30" s="1"/>
    </row>
    <row r="31" spans="1:13">
      <c r="A31" s="12">
        <v>45923</v>
      </c>
      <c r="B31" s="13">
        <v>4850000</v>
      </c>
      <c r="C31" s="13">
        <v>1090000</v>
      </c>
      <c r="D31" s="51">
        <f t="shared" si="3"/>
        <v>5940000</v>
      </c>
      <c r="E31" s="53">
        <v>1027000</v>
      </c>
      <c r="F31" s="13">
        <f t="shared" si="1"/>
        <v>4913000</v>
      </c>
      <c r="G31" s="55">
        <f t="shared" si="0"/>
        <v>63000</v>
      </c>
      <c r="H31" s="14"/>
      <c r="I31" s="27"/>
      <c r="J31" s="25"/>
      <c r="K31" s="28"/>
      <c r="L31" s="16"/>
      <c r="M31" s="1"/>
    </row>
    <row r="32" spans="1:13">
      <c r="A32" s="12">
        <v>45924</v>
      </c>
      <c r="B32" s="13">
        <v>2800000</v>
      </c>
      <c r="C32" s="13">
        <v>2150000</v>
      </c>
      <c r="D32" s="51">
        <f t="shared" si="3"/>
        <v>4950000</v>
      </c>
      <c r="E32" s="53">
        <v>1535000</v>
      </c>
      <c r="F32" s="13">
        <f t="shared" si="1"/>
        <v>3415000</v>
      </c>
      <c r="G32" s="55">
        <f t="shared" si="0"/>
        <v>615000</v>
      </c>
      <c r="H32" s="14"/>
      <c r="I32" s="27"/>
      <c r="J32" s="25"/>
      <c r="K32" s="28"/>
      <c r="L32" s="16"/>
      <c r="M32" s="1"/>
    </row>
    <row r="33" spans="1:13">
      <c r="A33" s="12">
        <v>45925</v>
      </c>
      <c r="B33" s="13"/>
      <c r="C33" s="13">
        <v>2000000</v>
      </c>
      <c r="D33" s="51">
        <f t="shared" si="3"/>
        <v>2000000</v>
      </c>
      <c r="E33" s="53">
        <v>1143000</v>
      </c>
      <c r="F33" s="13">
        <f t="shared" si="1"/>
        <v>857000</v>
      </c>
      <c r="G33" s="55">
        <f t="shared" si="0"/>
        <v>857000</v>
      </c>
      <c r="H33" s="14"/>
      <c r="I33" s="27"/>
      <c r="J33" s="25"/>
      <c r="K33" s="28"/>
      <c r="L33" s="16"/>
      <c r="M33" s="1"/>
    </row>
    <row r="34" spans="1:13">
      <c r="A34" s="12">
        <v>45926</v>
      </c>
      <c r="B34" s="13"/>
      <c r="C34" s="13"/>
      <c r="D34" s="51">
        <f t="shared" si="3"/>
        <v>0</v>
      </c>
      <c r="E34" s="53">
        <v>1425000</v>
      </c>
      <c r="F34" s="13">
        <f t="shared" si="1"/>
        <v>-1425000</v>
      </c>
      <c r="G34" s="55">
        <f t="shared" si="0"/>
        <v>-1425000</v>
      </c>
      <c r="H34" s="14"/>
      <c r="I34" s="27"/>
      <c r="J34" s="25"/>
      <c r="K34" s="28"/>
      <c r="L34" s="16"/>
      <c r="M34" s="1"/>
    </row>
    <row r="35" spans="1:13">
      <c r="A35" s="12">
        <v>45927</v>
      </c>
      <c r="B35" s="13">
        <v>7500000</v>
      </c>
      <c r="C35" s="13">
        <v>975000</v>
      </c>
      <c r="D35" s="51">
        <f t="shared" si="3"/>
        <v>8475000</v>
      </c>
      <c r="E35" s="53">
        <v>968000</v>
      </c>
      <c r="F35" s="13">
        <f t="shared" si="1"/>
        <v>7507000</v>
      </c>
      <c r="G35" s="55">
        <f t="shared" si="0"/>
        <v>7000</v>
      </c>
      <c r="H35" s="14"/>
      <c r="I35" s="27"/>
      <c r="J35" s="25"/>
      <c r="K35" s="28"/>
      <c r="L35" s="16"/>
      <c r="M35" s="1"/>
    </row>
    <row r="36" spans="1:13">
      <c r="A36" s="12">
        <v>45928</v>
      </c>
      <c r="B36" s="13"/>
      <c r="C36" s="13">
        <v>1500000</v>
      </c>
      <c r="D36" s="51">
        <f t="shared" si="3"/>
        <v>1500000</v>
      </c>
      <c r="E36" s="53">
        <v>864000</v>
      </c>
      <c r="F36" s="13">
        <f t="shared" si="1"/>
        <v>636000</v>
      </c>
      <c r="G36" s="55">
        <f t="shared" si="0"/>
        <v>636000</v>
      </c>
      <c r="H36" s="14"/>
      <c r="I36" s="27"/>
      <c r="J36" s="25"/>
      <c r="K36" s="28"/>
      <c r="L36" s="16"/>
      <c r="M36" s="1"/>
    </row>
    <row r="37" spans="1:13">
      <c r="A37" s="12">
        <v>45929</v>
      </c>
      <c r="B37" s="13">
        <v>5600000</v>
      </c>
      <c r="C37" s="13"/>
      <c r="D37" s="51">
        <f>B37+C37</f>
        <v>5600000</v>
      </c>
      <c r="E37" s="53">
        <v>1109000</v>
      </c>
      <c r="F37" s="13">
        <f t="shared" si="1"/>
        <v>4491000</v>
      </c>
      <c r="G37" s="55">
        <f t="shared" si="0"/>
        <v>-1109000</v>
      </c>
      <c r="H37" s="14"/>
      <c r="I37" s="27"/>
      <c r="J37" s="25"/>
      <c r="K37" s="28"/>
      <c r="L37" s="16"/>
      <c r="M37" s="1"/>
    </row>
    <row r="38" spans="1:13">
      <c r="A38" s="12">
        <v>45930</v>
      </c>
      <c r="B38" s="13">
        <v>1450000</v>
      </c>
      <c r="C38" s="13">
        <v>4650000</v>
      </c>
      <c r="D38" s="51">
        <f t="shared" ref="D38" si="4">B38+C38</f>
        <v>6100000</v>
      </c>
      <c r="E38" s="53">
        <v>1096000</v>
      </c>
      <c r="F38" s="13">
        <f t="shared" si="1"/>
        <v>5004000</v>
      </c>
      <c r="G38" s="55">
        <f t="shared" si="0"/>
        <v>3554000</v>
      </c>
      <c r="H38" s="14"/>
      <c r="I38" s="27"/>
      <c r="J38" s="25"/>
      <c r="K38" s="28"/>
      <c r="L38" s="16"/>
      <c r="M38" s="1"/>
    </row>
    <row r="39" spans="1:13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/>
    </row>
    <row r="40" spans="1:13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</row>
    <row r="41" spans="1:13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v>80957230</v>
      </c>
      <c r="M41" s="1"/>
    </row>
    <row r="42" spans="1:13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63"/>
      <c r="M42" s="1"/>
    </row>
    <row r="43" spans="1:13" ht="15" customHeight="1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11</v>
      </c>
      <c r="K43" s="34" t="s">
        <v>12</v>
      </c>
      <c r="L43" s="57">
        <f>B51+C51</f>
        <v>130095000</v>
      </c>
      <c r="M43" s="1"/>
    </row>
    <row r="44" spans="1:13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13</v>
      </c>
      <c r="L44" s="58">
        <v>40220500</v>
      </c>
      <c r="M44" s="1"/>
    </row>
    <row r="45" spans="1:13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14</v>
      </c>
      <c r="L45" s="58">
        <v>80957230</v>
      </c>
      <c r="M45" s="1"/>
    </row>
    <row r="46" spans="1:13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15</v>
      </c>
      <c r="L46" s="39">
        <v>121177730</v>
      </c>
      <c r="M46" s="1"/>
    </row>
    <row r="47" spans="1:13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</row>
    <row r="48" spans="1:13" ht="18">
      <c r="A48" s="12"/>
      <c r="B48" s="13"/>
      <c r="C48" s="13"/>
      <c r="D48" s="51"/>
      <c r="E48" s="53"/>
      <c r="F48" s="13"/>
      <c r="G48" s="55"/>
      <c r="H48" s="14"/>
      <c r="I48" s="27"/>
      <c r="J48" s="80" t="s">
        <v>33</v>
      </c>
      <c r="K48" s="80"/>
      <c r="L48" s="41">
        <f>L43-L46</f>
        <v>8917270</v>
      </c>
      <c r="M48" s="1"/>
    </row>
    <row r="49" spans="1:13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</row>
    <row r="50" spans="1:13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</row>
    <row r="51" spans="1:13">
      <c r="A51" s="12"/>
      <c r="B51" s="42">
        <f t="shared" ref="B51:F51" si="5">SUM(B7:B50)</f>
        <v>77700000</v>
      </c>
      <c r="C51" s="42">
        <f t="shared" si="5"/>
        <v>52395000</v>
      </c>
      <c r="D51" s="52">
        <f t="shared" si="5"/>
        <v>130095000</v>
      </c>
      <c r="E51" s="54">
        <f t="shared" si="5"/>
        <v>40220500</v>
      </c>
      <c r="F51" s="50">
        <f t="shared" si="5"/>
        <v>89874500</v>
      </c>
      <c r="G51" s="56">
        <f>SUM(G7:G50)</f>
        <v>12174500</v>
      </c>
      <c r="H51" s="27"/>
      <c r="I51" s="2"/>
      <c r="J51" s="2"/>
      <c r="K51" s="2"/>
      <c r="L51" s="2"/>
      <c r="M51" s="1"/>
    </row>
    <row r="52" spans="1:13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M53"/>
  <sheetViews>
    <sheetView topLeftCell="B25" zoomScale="90" zoomScaleNormal="90" workbookViewId="0">
      <selection activeCell="I37" sqref="I37"/>
    </sheetView>
  </sheetViews>
  <sheetFormatPr defaultRowHeight="15"/>
  <cols>
    <col min="1" max="1" width="11.28515625" customWidth="1"/>
    <col min="2" max="2" width="20.28515625" customWidth="1"/>
    <col min="3" max="3" width="17.28515625" customWidth="1"/>
    <col min="4" max="4" width="19.140625" customWidth="1"/>
    <col min="5" max="5" width="20.42578125" customWidth="1"/>
    <col min="6" max="6" width="18.28515625" customWidth="1"/>
    <col min="7" max="7" width="17.140625" customWidth="1"/>
    <col min="10" max="10" width="16.28515625" customWidth="1"/>
    <col min="11" max="11" width="35" customWidth="1"/>
    <col min="12" max="12" width="16.5703125" customWidth="1"/>
  </cols>
  <sheetData>
    <row r="3" spans="1:13">
      <c r="A3" s="81" t="s">
        <v>35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  <c r="M3" s="1"/>
    </row>
    <row r="4" spans="1:13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  <c r="M4" s="1"/>
    </row>
    <row r="5" spans="1:13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  <c r="M5" s="1"/>
    </row>
    <row r="6" spans="1:13" ht="15.75">
      <c r="A6" s="85"/>
      <c r="B6" s="8" t="s">
        <v>7</v>
      </c>
      <c r="C6" s="62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  <c r="M6" s="1"/>
    </row>
    <row r="7" spans="1:13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 t="s">
        <v>353</v>
      </c>
      <c r="K7" s="60" t="s">
        <v>354</v>
      </c>
      <c r="L7" s="16">
        <v>535000</v>
      </c>
      <c r="M7" s="1"/>
    </row>
    <row r="8" spans="1:13">
      <c r="A8" s="12" t="s">
        <v>345</v>
      </c>
      <c r="B8" s="13">
        <v>5350000</v>
      </c>
      <c r="C8" s="13">
        <v>1275000</v>
      </c>
      <c r="D8" s="51">
        <f>B8+C8</f>
        <v>6625000</v>
      </c>
      <c r="E8" s="53">
        <v>1741000</v>
      </c>
      <c r="F8" s="13">
        <f t="shared" ref="F8:F38" si="1">D8-E8</f>
        <v>4884000</v>
      </c>
      <c r="G8" s="55">
        <f t="shared" si="0"/>
        <v>-466000</v>
      </c>
      <c r="H8" s="14"/>
      <c r="I8" s="17"/>
      <c r="J8" s="61" t="s">
        <v>362</v>
      </c>
      <c r="K8" s="60" t="s">
        <v>297</v>
      </c>
      <c r="L8" s="16">
        <v>1500000</v>
      </c>
      <c r="M8" s="1"/>
    </row>
    <row r="9" spans="1:13">
      <c r="A9" s="46" t="s">
        <v>346</v>
      </c>
      <c r="B9" s="47">
        <v>1000000</v>
      </c>
      <c r="C9" s="47">
        <v>100000</v>
      </c>
      <c r="D9" s="51">
        <f>B9+C9</f>
        <v>1100000</v>
      </c>
      <c r="E9" s="53">
        <v>1561000</v>
      </c>
      <c r="F9" s="47">
        <f t="shared" si="1"/>
        <v>-461000</v>
      </c>
      <c r="G9" s="55">
        <f t="shared" si="0"/>
        <v>-1461000</v>
      </c>
      <c r="H9" s="14"/>
      <c r="I9" s="7"/>
      <c r="J9" s="18" t="s">
        <v>362</v>
      </c>
      <c r="K9" s="19" t="s">
        <v>116</v>
      </c>
      <c r="L9" s="16">
        <v>1000000</v>
      </c>
      <c r="M9" s="1"/>
    </row>
    <row r="10" spans="1:13">
      <c r="A10" s="12" t="s">
        <v>347</v>
      </c>
      <c r="B10" s="13"/>
      <c r="C10" s="13">
        <v>50000</v>
      </c>
      <c r="D10" s="51">
        <f>B10+C10</f>
        <v>50000</v>
      </c>
      <c r="E10" s="53">
        <v>1332000</v>
      </c>
      <c r="F10" s="47">
        <f t="shared" si="1"/>
        <v>-1282000</v>
      </c>
      <c r="G10" s="55">
        <f t="shared" si="0"/>
        <v>-1282000</v>
      </c>
      <c r="H10" s="14"/>
      <c r="I10" s="20"/>
      <c r="J10" s="18" t="s">
        <v>362</v>
      </c>
      <c r="K10" s="43" t="s">
        <v>95</v>
      </c>
      <c r="L10" s="16">
        <v>350000</v>
      </c>
      <c r="M10" s="1"/>
    </row>
    <row r="11" spans="1:13">
      <c r="A11" s="12" t="s">
        <v>349</v>
      </c>
      <c r="B11" s="13">
        <v>3900000</v>
      </c>
      <c r="C11" s="13">
        <v>3100000</v>
      </c>
      <c r="D11" s="51">
        <f>B11+C11</f>
        <v>7000000</v>
      </c>
      <c r="E11" s="53">
        <v>1499000</v>
      </c>
      <c r="F11" s="47">
        <f t="shared" si="1"/>
        <v>5501000</v>
      </c>
      <c r="G11" s="55">
        <f t="shared" si="0"/>
        <v>1601000</v>
      </c>
      <c r="H11" s="14"/>
      <c r="I11" s="20"/>
      <c r="J11" s="12" t="s">
        <v>362</v>
      </c>
      <c r="K11" s="19" t="s">
        <v>363</v>
      </c>
      <c r="L11" s="16">
        <v>450000</v>
      </c>
      <c r="M11" s="1"/>
    </row>
    <row r="12" spans="1:13">
      <c r="A12" s="12" t="s">
        <v>350</v>
      </c>
      <c r="B12" s="13">
        <v>2300000</v>
      </c>
      <c r="C12" s="47">
        <v>50000</v>
      </c>
      <c r="D12" s="51">
        <f>B12+C12</f>
        <v>2350000</v>
      </c>
      <c r="E12" s="53">
        <v>824000</v>
      </c>
      <c r="F12" s="13">
        <f t="shared" si="1"/>
        <v>1526000</v>
      </c>
      <c r="G12" s="55">
        <f t="shared" si="0"/>
        <v>-774000</v>
      </c>
      <c r="H12" s="14"/>
      <c r="I12" s="7"/>
      <c r="J12" s="12" t="s">
        <v>362</v>
      </c>
      <c r="K12" s="15" t="s">
        <v>299</v>
      </c>
      <c r="L12" s="16">
        <v>2000000</v>
      </c>
      <c r="M12" s="1"/>
    </row>
    <row r="13" spans="1:13">
      <c r="A13" s="12" t="s">
        <v>351</v>
      </c>
      <c r="B13" s="13">
        <v>1850000</v>
      </c>
      <c r="C13" s="13"/>
      <c r="D13" s="51">
        <f t="shared" ref="D13:D18" si="2">B13+C13</f>
        <v>1850000</v>
      </c>
      <c r="E13" s="53">
        <v>948000</v>
      </c>
      <c r="F13" s="13">
        <f t="shared" si="1"/>
        <v>902000</v>
      </c>
      <c r="G13" s="55">
        <f t="shared" si="0"/>
        <v>-948000</v>
      </c>
      <c r="H13" s="14"/>
      <c r="I13" s="7"/>
      <c r="J13" s="12" t="s">
        <v>364</v>
      </c>
      <c r="K13" s="23" t="s">
        <v>51</v>
      </c>
      <c r="L13" s="16">
        <v>1000000</v>
      </c>
      <c r="M13" s="1"/>
    </row>
    <row r="14" spans="1:13">
      <c r="A14" s="46" t="s">
        <v>352</v>
      </c>
      <c r="B14" s="47">
        <v>9350000</v>
      </c>
      <c r="C14" s="47"/>
      <c r="D14" s="51">
        <f t="shared" si="2"/>
        <v>9350000</v>
      </c>
      <c r="E14" s="53">
        <v>1219000</v>
      </c>
      <c r="F14" s="47">
        <f t="shared" si="1"/>
        <v>8131000</v>
      </c>
      <c r="G14" s="55">
        <f t="shared" si="0"/>
        <v>-1219000</v>
      </c>
      <c r="H14" s="49"/>
      <c r="I14" s="7"/>
      <c r="J14" s="12" t="s">
        <v>367</v>
      </c>
      <c r="K14" s="23" t="s">
        <v>42</v>
      </c>
      <c r="L14" s="16">
        <v>2500000</v>
      </c>
      <c r="M14" s="1"/>
    </row>
    <row r="15" spans="1:13">
      <c r="A15" s="12" t="s">
        <v>353</v>
      </c>
      <c r="B15" s="13">
        <v>8025000</v>
      </c>
      <c r="C15" s="13">
        <v>1000000</v>
      </c>
      <c r="D15" s="51">
        <f t="shared" si="2"/>
        <v>9025000</v>
      </c>
      <c r="E15" s="53">
        <v>1573000</v>
      </c>
      <c r="F15" s="13">
        <f t="shared" si="1"/>
        <v>7452000</v>
      </c>
      <c r="G15" s="55">
        <f t="shared" si="0"/>
        <v>-573000</v>
      </c>
      <c r="H15" s="22"/>
      <c r="I15" s="20"/>
      <c r="J15" s="25" t="s">
        <v>367</v>
      </c>
      <c r="K15" s="44" t="s">
        <v>368</v>
      </c>
      <c r="L15" s="45">
        <v>2900000</v>
      </c>
      <c r="M15" s="1"/>
    </row>
    <row r="16" spans="1:13">
      <c r="A16" s="12" t="s">
        <v>355</v>
      </c>
      <c r="B16" s="13">
        <v>4550000</v>
      </c>
      <c r="C16" s="13">
        <v>1900000</v>
      </c>
      <c r="D16" s="51">
        <f t="shared" si="2"/>
        <v>6450000</v>
      </c>
      <c r="E16" s="53">
        <v>1516000</v>
      </c>
      <c r="F16" s="13">
        <f t="shared" si="1"/>
        <v>4934000</v>
      </c>
      <c r="G16" s="55">
        <f t="shared" si="0"/>
        <v>384000</v>
      </c>
      <c r="H16" s="22"/>
      <c r="I16" s="24"/>
      <c r="J16" s="12" t="s">
        <v>369</v>
      </c>
      <c r="K16" s="23" t="s">
        <v>53</v>
      </c>
      <c r="L16" s="16">
        <v>5425000</v>
      </c>
      <c r="M16" s="1"/>
    </row>
    <row r="17" spans="1:13">
      <c r="A17" s="12" t="s">
        <v>356</v>
      </c>
      <c r="B17" s="13">
        <v>2150000</v>
      </c>
      <c r="C17" s="13"/>
      <c r="D17" s="51">
        <f t="shared" si="2"/>
        <v>2150000</v>
      </c>
      <c r="E17" s="53">
        <v>1874000</v>
      </c>
      <c r="F17" s="13">
        <f t="shared" si="1"/>
        <v>276000</v>
      </c>
      <c r="G17" s="55">
        <f t="shared" si="0"/>
        <v>-1874000</v>
      </c>
      <c r="H17" s="22"/>
      <c r="I17" s="24"/>
      <c r="J17" s="12" t="s">
        <v>371</v>
      </c>
      <c r="K17" s="21" t="s">
        <v>372</v>
      </c>
      <c r="L17" s="16">
        <v>18592500</v>
      </c>
      <c r="M17" s="1"/>
    </row>
    <row r="18" spans="1:13">
      <c r="A18" s="12" t="s">
        <v>357</v>
      </c>
      <c r="B18" s="13">
        <v>2500000</v>
      </c>
      <c r="C18" s="13">
        <v>450000</v>
      </c>
      <c r="D18" s="51">
        <f t="shared" si="2"/>
        <v>2950000</v>
      </c>
      <c r="E18" s="53">
        <v>1645000</v>
      </c>
      <c r="F18" s="13">
        <f t="shared" si="1"/>
        <v>1305000</v>
      </c>
      <c r="G18" s="55">
        <f t="shared" si="0"/>
        <v>-1195000</v>
      </c>
      <c r="H18" s="22"/>
      <c r="I18" s="27"/>
      <c r="J18" s="25" t="s">
        <v>375</v>
      </c>
      <c r="K18" s="28" t="s">
        <v>373</v>
      </c>
      <c r="L18" s="16">
        <v>10000000</v>
      </c>
      <c r="M18" s="1"/>
    </row>
    <row r="19" spans="1:13">
      <c r="A19" s="76" t="s">
        <v>358</v>
      </c>
      <c r="B19" s="77"/>
      <c r="C19" s="77"/>
      <c r="D19" s="77"/>
      <c r="E19" s="77"/>
      <c r="F19" s="77"/>
      <c r="G19" s="77">
        <f t="shared" si="0"/>
        <v>0</v>
      </c>
      <c r="H19" s="22"/>
      <c r="I19" s="27"/>
      <c r="J19" s="30" t="s">
        <v>371</v>
      </c>
      <c r="K19" s="21" t="s">
        <v>374</v>
      </c>
      <c r="L19" s="16">
        <v>26830000</v>
      </c>
      <c r="M19" s="1"/>
    </row>
    <row r="20" spans="1:13">
      <c r="A20" s="12" t="s">
        <v>359</v>
      </c>
      <c r="B20" s="13">
        <v>2050000</v>
      </c>
      <c r="C20" s="13">
        <v>1550000</v>
      </c>
      <c r="D20" s="51">
        <f>B20+C20</f>
        <v>3600000</v>
      </c>
      <c r="E20" s="53">
        <v>1378000</v>
      </c>
      <c r="F20" s="13">
        <f t="shared" si="1"/>
        <v>2222000</v>
      </c>
      <c r="G20" s="55">
        <f t="shared" si="0"/>
        <v>172000</v>
      </c>
      <c r="H20" s="22"/>
      <c r="I20" s="29"/>
      <c r="J20" s="25" t="s">
        <v>371</v>
      </c>
      <c r="K20" s="28" t="s">
        <v>376</v>
      </c>
      <c r="L20" s="16">
        <v>22500000</v>
      </c>
      <c r="M20" s="1"/>
    </row>
    <row r="21" spans="1:13">
      <c r="A21" s="46" t="s">
        <v>360</v>
      </c>
      <c r="B21" s="47">
        <v>1650000</v>
      </c>
      <c r="C21" s="47"/>
      <c r="D21" s="51">
        <v>1650000</v>
      </c>
      <c r="E21" s="53">
        <v>954000</v>
      </c>
      <c r="F21" s="47">
        <f t="shared" si="1"/>
        <v>696000</v>
      </c>
      <c r="G21" s="55">
        <f t="shared" si="0"/>
        <v>-954000</v>
      </c>
      <c r="H21" s="48"/>
      <c r="I21" s="27"/>
      <c r="J21" s="25" t="s">
        <v>379</v>
      </c>
      <c r="K21" s="28" t="s">
        <v>42</v>
      </c>
      <c r="L21" s="16">
        <v>5000000</v>
      </c>
      <c r="M21" s="1"/>
    </row>
    <row r="22" spans="1:13">
      <c r="A22" s="46" t="s">
        <v>361</v>
      </c>
      <c r="B22" s="47">
        <v>1900000</v>
      </c>
      <c r="C22" s="47"/>
      <c r="D22" s="51">
        <f t="shared" ref="D22:D36" si="3">B22+C22</f>
        <v>1900000</v>
      </c>
      <c r="E22" s="53">
        <v>756000</v>
      </c>
      <c r="F22" s="47">
        <f t="shared" si="1"/>
        <v>1144000</v>
      </c>
      <c r="G22" s="55">
        <f t="shared" si="0"/>
        <v>-756000</v>
      </c>
      <c r="H22" s="48"/>
      <c r="I22" s="27"/>
      <c r="J22" s="25" t="s">
        <v>380</v>
      </c>
      <c r="K22" s="28" t="s">
        <v>381</v>
      </c>
      <c r="L22" s="16">
        <v>100000</v>
      </c>
      <c r="M22" s="1"/>
    </row>
    <row r="23" spans="1:13">
      <c r="A23" s="46" t="s">
        <v>362</v>
      </c>
      <c r="B23" s="47">
        <v>16900000</v>
      </c>
      <c r="C23" s="47"/>
      <c r="D23" s="51">
        <f t="shared" si="3"/>
        <v>16900000</v>
      </c>
      <c r="E23" s="53">
        <v>2330000</v>
      </c>
      <c r="F23" s="47">
        <f t="shared" si="1"/>
        <v>14570000</v>
      </c>
      <c r="G23" s="55">
        <f t="shared" si="0"/>
        <v>-2330000</v>
      </c>
      <c r="H23" s="48"/>
      <c r="I23" s="27"/>
      <c r="J23" s="25" t="s">
        <v>380</v>
      </c>
      <c r="K23" s="28" t="s">
        <v>383</v>
      </c>
      <c r="L23" s="16">
        <v>1000000</v>
      </c>
      <c r="M23" s="1"/>
    </row>
    <row r="24" spans="1:13">
      <c r="A24" s="46" t="s">
        <v>364</v>
      </c>
      <c r="B24" s="47"/>
      <c r="C24" s="47">
        <v>250000</v>
      </c>
      <c r="D24" s="51">
        <f t="shared" si="3"/>
        <v>250000</v>
      </c>
      <c r="E24" s="53">
        <v>1438000</v>
      </c>
      <c r="F24" s="47">
        <f t="shared" si="1"/>
        <v>-1188000</v>
      </c>
      <c r="G24" s="55">
        <f t="shared" si="0"/>
        <v>-1188000</v>
      </c>
      <c r="H24" s="48"/>
      <c r="I24" s="27"/>
      <c r="J24" s="25" t="s">
        <v>384</v>
      </c>
      <c r="K24" s="28" t="s">
        <v>42</v>
      </c>
      <c r="L24" s="16">
        <v>650000</v>
      </c>
      <c r="M24" s="1"/>
    </row>
    <row r="25" spans="1:13">
      <c r="A25" s="46" t="s">
        <v>365</v>
      </c>
      <c r="B25" s="47">
        <v>5500000</v>
      </c>
      <c r="C25" s="47"/>
      <c r="D25" s="51">
        <f t="shared" si="3"/>
        <v>5500000</v>
      </c>
      <c r="E25" s="53">
        <v>1175000</v>
      </c>
      <c r="F25" s="47">
        <f t="shared" si="1"/>
        <v>4325000</v>
      </c>
      <c r="G25" s="55">
        <f t="shared" si="0"/>
        <v>-1175000</v>
      </c>
      <c r="H25" s="48"/>
      <c r="I25" s="27"/>
      <c r="J25" s="25" t="s">
        <v>385</v>
      </c>
      <c r="K25" s="28" t="s">
        <v>386</v>
      </c>
      <c r="L25" s="16">
        <v>875000</v>
      </c>
      <c r="M25" s="1"/>
    </row>
    <row r="26" spans="1:13">
      <c r="A26" s="76" t="s">
        <v>366</v>
      </c>
      <c r="B26" s="77"/>
      <c r="C26" s="77"/>
      <c r="D26" s="77">
        <f t="shared" si="3"/>
        <v>0</v>
      </c>
      <c r="E26" s="77"/>
      <c r="F26" s="77">
        <f t="shared" si="1"/>
        <v>0</v>
      </c>
      <c r="G26" s="77">
        <f t="shared" si="0"/>
        <v>0</v>
      </c>
      <c r="H26" s="48"/>
      <c r="I26" s="27"/>
      <c r="J26" s="25"/>
      <c r="K26" s="28"/>
      <c r="L26" s="16"/>
      <c r="M26" s="1"/>
    </row>
    <row r="27" spans="1:13">
      <c r="A27" s="12" t="s">
        <v>367</v>
      </c>
      <c r="B27" s="13">
        <v>9200000</v>
      </c>
      <c r="C27" s="13">
        <v>12530000</v>
      </c>
      <c r="D27" s="51">
        <f t="shared" si="3"/>
        <v>21730000</v>
      </c>
      <c r="E27" s="53">
        <v>2464000</v>
      </c>
      <c r="F27" s="13">
        <f t="shared" si="1"/>
        <v>19266000</v>
      </c>
      <c r="G27" s="55">
        <f t="shared" si="0"/>
        <v>10066000</v>
      </c>
      <c r="H27" s="14"/>
      <c r="I27" s="27"/>
      <c r="J27" s="25"/>
      <c r="K27" s="28"/>
      <c r="L27" s="16"/>
      <c r="M27" s="1"/>
    </row>
    <row r="28" spans="1:13">
      <c r="A28" s="12" t="s">
        <v>369</v>
      </c>
      <c r="B28" s="13">
        <v>16775000</v>
      </c>
      <c r="C28" s="13">
        <v>750000</v>
      </c>
      <c r="D28" s="51">
        <f t="shared" si="3"/>
        <v>17525000</v>
      </c>
      <c r="E28" s="53">
        <v>1228000</v>
      </c>
      <c r="F28" s="13">
        <f t="shared" si="1"/>
        <v>16297000</v>
      </c>
      <c r="G28" s="55">
        <f t="shared" si="0"/>
        <v>-478000</v>
      </c>
      <c r="H28" s="14"/>
      <c r="I28" s="29"/>
      <c r="J28" s="25"/>
      <c r="K28" s="28"/>
      <c r="L28" s="16"/>
      <c r="M28" s="1"/>
    </row>
    <row r="29" spans="1:13">
      <c r="A29" s="12" t="s">
        <v>370</v>
      </c>
      <c r="B29" s="13">
        <v>7550000</v>
      </c>
      <c r="C29" s="13"/>
      <c r="D29" s="51">
        <f t="shared" si="3"/>
        <v>7550000</v>
      </c>
      <c r="E29" s="53">
        <v>1203000</v>
      </c>
      <c r="F29" s="13">
        <f t="shared" si="1"/>
        <v>6347000</v>
      </c>
      <c r="G29" s="55">
        <f t="shared" si="0"/>
        <v>-1203000</v>
      </c>
      <c r="H29" s="14"/>
      <c r="I29" s="27"/>
      <c r="J29" s="25"/>
      <c r="K29" s="28"/>
      <c r="L29" s="16"/>
      <c r="M29" s="1"/>
    </row>
    <row r="30" spans="1:13">
      <c r="A30" s="12" t="s">
        <v>371</v>
      </c>
      <c r="B30" s="13">
        <v>1525000</v>
      </c>
      <c r="C30" s="13">
        <v>8600000</v>
      </c>
      <c r="D30" s="51">
        <f t="shared" si="3"/>
        <v>10125000</v>
      </c>
      <c r="E30" s="53">
        <v>1653000</v>
      </c>
      <c r="F30" s="13">
        <f t="shared" si="1"/>
        <v>8472000</v>
      </c>
      <c r="G30" s="55">
        <f t="shared" si="0"/>
        <v>6947000</v>
      </c>
      <c r="H30" s="31"/>
      <c r="I30" s="27"/>
      <c r="J30" s="25"/>
      <c r="K30" s="28"/>
      <c r="L30" s="16"/>
      <c r="M30" s="1"/>
    </row>
    <row r="31" spans="1:13">
      <c r="A31" s="12" t="s">
        <v>377</v>
      </c>
      <c r="B31" s="13">
        <v>31850000</v>
      </c>
      <c r="C31" s="13">
        <v>1750000</v>
      </c>
      <c r="D31" s="51">
        <f t="shared" si="3"/>
        <v>33600000</v>
      </c>
      <c r="E31" s="53">
        <v>6205000</v>
      </c>
      <c r="F31" s="13">
        <f t="shared" si="1"/>
        <v>27395000</v>
      </c>
      <c r="G31" s="55">
        <f t="shared" si="0"/>
        <v>-4455000</v>
      </c>
      <c r="H31" s="14"/>
      <c r="I31" s="27"/>
      <c r="J31" s="25"/>
      <c r="K31" s="28"/>
      <c r="L31" s="16"/>
      <c r="M31" s="1"/>
    </row>
    <row r="32" spans="1:13">
      <c r="A32" s="12" t="s">
        <v>375</v>
      </c>
      <c r="B32" s="13">
        <v>500000</v>
      </c>
      <c r="C32" s="13">
        <v>725000</v>
      </c>
      <c r="D32" s="51">
        <f t="shared" si="3"/>
        <v>1225000</v>
      </c>
      <c r="E32" s="53">
        <v>2440000</v>
      </c>
      <c r="F32" s="13">
        <f t="shared" si="1"/>
        <v>-1215000</v>
      </c>
      <c r="G32" s="55">
        <f t="shared" si="0"/>
        <v>-1715000</v>
      </c>
      <c r="H32" s="14"/>
      <c r="I32" s="27"/>
      <c r="J32" s="25"/>
      <c r="K32" s="28"/>
      <c r="L32" s="16"/>
      <c r="M32" s="1"/>
    </row>
    <row r="33" spans="1:13">
      <c r="A33" s="76" t="s">
        <v>378</v>
      </c>
      <c r="B33" s="77"/>
      <c r="C33" s="77"/>
      <c r="D33" s="77">
        <f t="shared" si="3"/>
        <v>0</v>
      </c>
      <c r="E33" s="77"/>
      <c r="F33" s="77">
        <f t="shared" si="1"/>
        <v>0</v>
      </c>
      <c r="G33" s="77">
        <f t="shared" si="0"/>
        <v>0</v>
      </c>
      <c r="H33" s="14"/>
      <c r="I33" s="27"/>
      <c r="J33" s="25"/>
      <c r="K33" s="28"/>
      <c r="L33" s="16"/>
      <c r="M33" s="1"/>
    </row>
    <row r="34" spans="1:13">
      <c r="A34" s="12" t="s">
        <v>379</v>
      </c>
      <c r="B34" s="13">
        <v>1250000</v>
      </c>
      <c r="C34" s="13">
        <v>9150000</v>
      </c>
      <c r="D34" s="51">
        <f t="shared" si="3"/>
        <v>10400000</v>
      </c>
      <c r="E34" s="53">
        <v>1591000</v>
      </c>
      <c r="F34" s="13">
        <f t="shared" si="1"/>
        <v>8809000</v>
      </c>
      <c r="G34" s="55">
        <f t="shared" si="0"/>
        <v>7559000</v>
      </c>
      <c r="H34" s="14"/>
      <c r="I34" s="27"/>
      <c r="J34" s="25"/>
      <c r="K34" s="28"/>
      <c r="L34" s="16"/>
      <c r="M34" s="1"/>
    </row>
    <row r="35" spans="1:13">
      <c r="A35" s="12" t="s">
        <v>380</v>
      </c>
      <c r="B35" s="13">
        <v>1500000</v>
      </c>
      <c r="C35" s="13">
        <v>4900000</v>
      </c>
      <c r="D35" s="51">
        <f t="shared" si="3"/>
        <v>6400000</v>
      </c>
      <c r="E35" s="53">
        <v>2245000</v>
      </c>
      <c r="F35" s="13">
        <f t="shared" si="1"/>
        <v>4155000</v>
      </c>
      <c r="G35" s="55">
        <f t="shared" si="0"/>
        <v>2655000</v>
      </c>
      <c r="H35" s="14"/>
      <c r="I35" s="27"/>
      <c r="J35" s="25"/>
      <c r="K35" s="28"/>
      <c r="L35" s="16"/>
      <c r="M35" s="1"/>
    </row>
    <row r="36" spans="1:13">
      <c r="A36" s="12" t="s">
        <v>382</v>
      </c>
      <c r="B36" s="13">
        <v>4400000</v>
      </c>
      <c r="C36" s="13">
        <v>450000</v>
      </c>
      <c r="D36" s="51">
        <f t="shared" si="3"/>
        <v>4850000</v>
      </c>
      <c r="E36" s="53">
        <v>1386000</v>
      </c>
      <c r="F36" s="13">
        <f t="shared" si="1"/>
        <v>3464000</v>
      </c>
      <c r="G36" s="55">
        <f t="shared" si="0"/>
        <v>-936000</v>
      </c>
      <c r="H36" s="14"/>
      <c r="I36" s="27"/>
      <c r="J36" s="25"/>
      <c r="K36" s="28"/>
      <c r="L36" s="16"/>
      <c r="M36" s="1"/>
    </row>
    <row r="37" spans="1:13">
      <c r="A37" s="12" t="s">
        <v>384</v>
      </c>
      <c r="B37" s="13">
        <v>5400000</v>
      </c>
      <c r="C37" s="13">
        <v>1450000</v>
      </c>
      <c r="D37" s="51">
        <f>B37+C37</f>
        <v>6850000</v>
      </c>
      <c r="E37" s="53">
        <v>1609000</v>
      </c>
      <c r="F37" s="13">
        <f t="shared" si="1"/>
        <v>5241000</v>
      </c>
      <c r="G37" s="55">
        <f t="shared" si="0"/>
        <v>-159000</v>
      </c>
      <c r="H37" s="14"/>
      <c r="I37" s="27"/>
      <c r="J37" s="25"/>
      <c r="K37" s="28"/>
      <c r="L37" s="16"/>
      <c r="M37" s="1"/>
    </row>
    <row r="38" spans="1:13">
      <c r="A38" s="12" t="s">
        <v>385</v>
      </c>
      <c r="B38" s="13">
        <v>2710000</v>
      </c>
      <c r="C38" s="13">
        <v>3475000</v>
      </c>
      <c r="D38" s="51">
        <f t="shared" ref="D38" si="4">B38+C38</f>
        <v>6185000</v>
      </c>
      <c r="E38" s="53">
        <v>2581000</v>
      </c>
      <c r="F38" s="13">
        <f t="shared" si="1"/>
        <v>3604000</v>
      </c>
      <c r="G38" s="55">
        <f t="shared" si="0"/>
        <v>894000</v>
      </c>
      <c r="H38" s="14"/>
      <c r="I38" s="27"/>
      <c r="J38" s="25"/>
      <c r="K38" s="28"/>
      <c r="L38" s="16"/>
      <c r="M38" s="1"/>
    </row>
    <row r="39" spans="1:13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/>
    </row>
    <row r="40" spans="1:13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</row>
    <row r="41" spans="1:13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103207500</v>
      </c>
      <c r="M41" s="1"/>
    </row>
    <row r="42" spans="1:13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</row>
    <row r="43" spans="1:13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11</v>
      </c>
      <c r="K43" s="34" t="s">
        <v>12</v>
      </c>
      <c r="L43" s="57">
        <f>B51+C51</f>
        <v>205140000</v>
      </c>
      <c r="M43" s="1"/>
    </row>
    <row r="44" spans="1:13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13</v>
      </c>
      <c r="L44" s="58">
        <v>48368000</v>
      </c>
      <c r="M44" s="1"/>
    </row>
    <row r="45" spans="1:13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14</v>
      </c>
      <c r="L45" s="58">
        <v>103207500</v>
      </c>
      <c r="M45" s="1"/>
    </row>
    <row r="46" spans="1:13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15</v>
      </c>
      <c r="L46" s="39">
        <v>151575500</v>
      </c>
      <c r="M46" s="1"/>
    </row>
    <row r="47" spans="1:13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</row>
    <row r="48" spans="1:13" ht="18">
      <c r="A48" s="12"/>
      <c r="B48" s="13"/>
      <c r="C48" s="13"/>
      <c r="D48" s="51"/>
      <c r="E48" s="53"/>
      <c r="F48" s="13"/>
      <c r="G48" s="55"/>
      <c r="H48" s="14"/>
      <c r="I48" s="27"/>
      <c r="J48" s="80" t="s">
        <v>34</v>
      </c>
      <c r="K48" s="80"/>
      <c r="L48" s="41">
        <f>L43-L46</f>
        <v>53564500</v>
      </c>
      <c r="M48" s="1"/>
    </row>
    <row r="49" spans="1:13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</row>
    <row r="50" spans="1:13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</row>
    <row r="51" spans="1:13">
      <c r="A51" s="12"/>
      <c r="B51" s="42">
        <f t="shared" ref="B51:G51" si="5">SUM(B7:B50)</f>
        <v>151635000</v>
      </c>
      <c r="C51" s="42">
        <f t="shared" si="5"/>
        <v>53505000</v>
      </c>
      <c r="D51" s="52">
        <f t="shared" si="5"/>
        <v>205140000</v>
      </c>
      <c r="E51" s="54">
        <f t="shared" si="5"/>
        <v>48368000</v>
      </c>
      <c r="F51" s="50">
        <f t="shared" si="5"/>
        <v>156772000</v>
      </c>
      <c r="G51" s="56">
        <f t="shared" si="5"/>
        <v>5137000</v>
      </c>
      <c r="H51" s="27"/>
      <c r="I51" s="2"/>
      <c r="J51" s="2"/>
      <c r="K51" s="2"/>
      <c r="L51" s="2"/>
      <c r="M51" s="1"/>
    </row>
    <row r="52" spans="1:13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3:M53"/>
  <sheetViews>
    <sheetView topLeftCell="B28" workbookViewId="0">
      <selection activeCell="K49" sqref="K49"/>
    </sheetView>
  </sheetViews>
  <sheetFormatPr defaultRowHeight="15"/>
  <cols>
    <col min="1" max="1" width="12.28515625" customWidth="1"/>
    <col min="2" max="2" width="17.7109375" customWidth="1"/>
    <col min="3" max="3" width="17.5703125" customWidth="1"/>
    <col min="4" max="4" width="18.28515625" customWidth="1"/>
    <col min="5" max="5" width="17.28515625" customWidth="1"/>
    <col min="6" max="6" width="16.7109375" customWidth="1"/>
    <col min="7" max="7" width="18.140625" customWidth="1"/>
    <col min="10" max="10" width="13" customWidth="1"/>
    <col min="11" max="11" width="34.85546875" customWidth="1"/>
    <col min="12" max="12" width="17.28515625" customWidth="1"/>
  </cols>
  <sheetData>
    <row r="3" spans="1:13">
      <c r="A3" s="81" t="s">
        <v>36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  <c r="M3" s="1"/>
    </row>
    <row r="4" spans="1:13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  <c r="M4" s="1"/>
    </row>
    <row r="5" spans="1:13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  <c r="M5" s="1"/>
    </row>
    <row r="6" spans="1:13" ht="15.75">
      <c r="A6" s="85"/>
      <c r="B6" s="8" t="s">
        <v>7</v>
      </c>
      <c r="C6" s="62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  <c r="M6" s="1"/>
    </row>
    <row r="7" spans="1:13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>
        <v>45964</v>
      </c>
      <c r="K7" s="60" t="s">
        <v>387</v>
      </c>
      <c r="L7" s="16">
        <v>500000</v>
      </c>
      <c r="M7" s="1"/>
    </row>
    <row r="8" spans="1:13">
      <c r="A8" s="12">
        <v>45962</v>
      </c>
      <c r="B8" s="13">
        <v>6100000</v>
      </c>
      <c r="C8" s="13">
        <v>250000</v>
      </c>
      <c r="D8" s="51">
        <f>B8+C8</f>
        <v>6350000</v>
      </c>
      <c r="E8" s="53">
        <v>1445000</v>
      </c>
      <c r="F8" s="13">
        <f t="shared" ref="F8:F38" si="1">D8-E8</f>
        <v>4905000</v>
      </c>
      <c r="G8" s="55">
        <f t="shared" si="0"/>
        <v>-1195000</v>
      </c>
      <c r="H8" s="14"/>
      <c r="I8" s="17"/>
      <c r="J8" s="61">
        <v>45964</v>
      </c>
      <c r="K8" s="60" t="s">
        <v>51</v>
      </c>
      <c r="L8" s="16">
        <v>500000</v>
      </c>
      <c r="M8" s="1"/>
    </row>
    <row r="9" spans="1:13">
      <c r="A9" s="46">
        <v>45963</v>
      </c>
      <c r="B9" s="47">
        <v>150000</v>
      </c>
      <c r="C9" s="47">
        <v>3200000</v>
      </c>
      <c r="D9" s="51">
        <f>B9+C9</f>
        <v>3350000</v>
      </c>
      <c r="E9" s="53">
        <v>746000</v>
      </c>
      <c r="F9" s="47">
        <f t="shared" si="1"/>
        <v>2604000</v>
      </c>
      <c r="G9" s="55">
        <f t="shared" si="0"/>
        <v>2454000</v>
      </c>
      <c r="H9" s="14"/>
      <c r="I9" s="7"/>
      <c r="J9" s="18">
        <v>45965</v>
      </c>
      <c r="K9" s="19" t="s">
        <v>42</v>
      </c>
      <c r="L9" s="16">
        <v>1000000</v>
      </c>
      <c r="M9" s="1"/>
    </row>
    <row r="10" spans="1:13">
      <c r="A10" s="12">
        <v>45964</v>
      </c>
      <c r="B10" s="13">
        <v>7500000</v>
      </c>
      <c r="C10" s="13">
        <v>8085000</v>
      </c>
      <c r="D10" s="51">
        <f>B10+C10</f>
        <v>15585000</v>
      </c>
      <c r="E10" s="53">
        <v>2024000</v>
      </c>
      <c r="F10" s="47">
        <f t="shared" si="1"/>
        <v>13561000</v>
      </c>
      <c r="G10" s="55">
        <f t="shared" si="0"/>
        <v>6061000</v>
      </c>
      <c r="H10" s="14"/>
      <c r="I10" s="20"/>
      <c r="J10" s="18">
        <v>45964</v>
      </c>
      <c r="K10" s="43" t="s">
        <v>299</v>
      </c>
      <c r="L10" s="16">
        <v>2000000</v>
      </c>
      <c r="M10" s="1"/>
    </row>
    <row r="11" spans="1:13">
      <c r="A11" s="12">
        <v>45965</v>
      </c>
      <c r="B11" s="13">
        <v>3800000</v>
      </c>
      <c r="C11" s="13">
        <v>1950000</v>
      </c>
      <c r="D11" s="51">
        <f>B11+C11</f>
        <v>5750000</v>
      </c>
      <c r="E11" s="53">
        <v>939000</v>
      </c>
      <c r="F11" s="47">
        <f t="shared" si="1"/>
        <v>4811000</v>
      </c>
      <c r="G11" s="55">
        <f t="shared" si="0"/>
        <v>1011000</v>
      </c>
      <c r="H11" s="14"/>
      <c r="I11" s="20"/>
      <c r="J11" s="12">
        <v>45966</v>
      </c>
      <c r="K11" s="19" t="s">
        <v>388</v>
      </c>
      <c r="L11" s="16">
        <v>2200000</v>
      </c>
      <c r="M11" s="1"/>
    </row>
    <row r="12" spans="1:13">
      <c r="A12" s="12">
        <v>45967</v>
      </c>
      <c r="B12" s="13">
        <v>27200000</v>
      </c>
      <c r="C12" s="47">
        <v>1150000</v>
      </c>
      <c r="D12" s="51">
        <f>B12+C12</f>
        <v>28350000</v>
      </c>
      <c r="E12" s="53">
        <v>1901000</v>
      </c>
      <c r="F12" s="13">
        <f t="shared" si="1"/>
        <v>26449000</v>
      </c>
      <c r="G12" s="55">
        <f t="shared" si="0"/>
        <v>-751000</v>
      </c>
      <c r="H12" s="14"/>
      <c r="I12" s="7"/>
      <c r="J12" s="12">
        <v>45966</v>
      </c>
      <c r="K12" s="15" t="s">
        <v>389</v>
      </c>
      <c r="L12" s="16">
        <v>195000</v>
      </c>
      <c r="M12" s="1"/>
    </row>
    <row r="13" spans="1:13">
      <c r="A13" s="12">
        <v>45967</v>
      </c>
      <c r="B13" s="13">
        <v>7250000</v>
      </c>
      <c r="C13" s="13">
        <v>200000</v>
      </c>
      <c r="D13" s="51">
        <f t="shared" ref="D13:D19" si="2">B13+C13</f>
        <v>7450000</v>
      </c>
      <c r="E13" s="53">
        <v>1626000</v>
      </c>
      <c r="F13" s="13">
        <f t="shared" si="1"/>
        <v>5824000</v>
      </c>
      <c r="G13" s="55">
        <f t="shared" si="0"/>
        <v>-1426000</v>
      </c>
      <c r="H13" s="14"/>
      <c r="I13" s="7"/>
      <c r="J13" s="12">
        <v>45971</v>
      </c>
      <c r="K13" s="23" t="s">
        <v>391</v>
      </c>
      <c r="L13" s="16">
        <v>1000000</v>
      </c>
      <c r="M13" s="1"/>
    </row>
    <row r="14" spans="1:13">
      <c r="A14" s="46">
        <v>45968</v>
      </c>
      <c r="B14" s="47">
        <v>50000</v>
      </c>
      <c r="C14" s="47">
        <v>1850000</v>
      </c>
      <c r="D14" s="51">
        <f t="shared" si="2"/>
        <v>1900000</v>
      </c>
      <c r="E14" s="53">
        <v>1715000</v>
      </c>
      <c r="F14" s="47">
        <f t="shared" si="1"/>
        <v>185000</v>
      </c>
      <c r="G14" s="55">
        <f t="shared" si="0"/>
        <v>135000</v>
      </c>
      <c r="H14" s="49"/>
      <c r="I14" s="7"/>
      <c r="J14" s="12">
        <v>45973</v>
      </c>
      <c r="K14" s="23" t="s">
        <v>176</v>
      </c>
      <c r="L14" s="16">
        <v>1051000</v>
      </c>
      <c r="M14" s="1"/>
    </row>
    <row r="15" spans="1:13">
      <c r="A15" s="12">
        <v>45969</v>
      </c>
      <c r="B15" s="13">
        <v>1250000</v>
      </c>
      <c r="C15" s="13">
        <v>4600000</v>
      </c>
      <c r="D15" s="51">
        <f t="shared" si="2"/>
        <v>5850000</v>
      </c>
      <c r="E15" s="53">
        <v>995000</v>
      </c>
      <c r="F15" s="13">
        <f t="shared" si="1"/>
        <v>4855000</v>
      </c>
      <c r="G15" s="55">
        <f t="shared" si="0"/>
        <v>3605000</v>
      </c>
      <c r="H15" s="22"/>
      <c r="I15" s="20"/>
      <c r="J15" s="25">
        <v>45974</v>
      </c>
      <c r="K15" s="44" t="s">
        <v>138</v>
      </c>
      <c r="L15" s="45">
        <v>1600000</v>
      </c>
      <c r="M15" s="1"/>
    </row>
    <row r="16" spans="1:13">
      <c r="A16" s="76">
        <v>45970</v>
      </c>
      <c r="B16" s="77"/>
      <c r="C16" s="77"/>
      <c r="D16" s="77">
        <f t="shared" si="2"/>
        <v>0</v>
      </c>
      <c r="E16" s="77"/>
      <c r="F16" s="77">
        <f t="shared" si="1"/>
        <v>0</v>
      </c>
      <c r="G16" s="77">
        <f t="shared" si="0"/>
        <v>0</v>
      </c>
      <c r="H16" s="22"/>
      <c r="I16" s="24"/>
      <c r="J16" s="12">
        <v>45979</v>
      </c>
      <c r="K16" s="23" t="s">
        <v>392</v>
      </c>
      <c r="L16" s="16">
        <v>7500000</v>
      </c>
      <c r="M16" s="1"/>
    </row>
    <row r="17" spans="1:13">
      <c r="A17" s="12">
        <v>45971</v>
      </c>
      <c r="B17" s="13">
        <v>4500000</v>
      </c>
      <c r="C17" s="13">
        <v>600000</v>
      </c>
      <c r="D17" s="51">
        <f t="shared" si="2"/>
        <v>5100000</v>
      </c>
      <c r="E17" s="53">
        <v>2515000</v>
      </c>
      <c r="F17" s="13">
        <f t="shared" si="1"/>
        <v>2585000</v>
      </c>
      <c r="G17" s="55">
        <f t="shared" si="0"/>
        <v>-1915000</v>
      </c>
      <c r="H17" s="22"/>
      <c r="I17" s="24"/>
      <c r="J17" s="12">
        <v>45979</v>
      </c>
      <c r="K17" s="21" t="s">
        <v>53</v>
      </c>
      <c r="L17" s="16">
        <v>4198500</v>
      </c>
      <c r="M17" s="1"/>
    </row>
    <row r="18" spans="1:13">
      <c r="A18" s="12">
        <v>45972</v>
      </c>
      <c r="B18" s="13">
        <v>1150000</v>
      </c>
      <c r="C18" s="13">
        <v>1000000</v>
      </c>
      <c r="D18" s="51">
        <f t="shared" si="2"/>
        <v>2150000</v>
      </c>
      <c r="E18" s="53">
        <v>1134000</v>
      </c>
      <c r="F18" s="13">
        <f t="shared" si="1"/>
        <v>1016000</v>
      </c>
      <c r="G18" s="55">
        <f t="shared" si="0"/>
        <v>-134000</v>
      </c>
      <c r="H18" s="22"/>
      <c r="I18" s="27"/>
      <c r="J18" s="25">
        <v>45980</v>
      </c>
      <c r="K18" s="28" t="s">
        <v>51</v>
      </c>
      <c r="L18" s="16">
        <v>500000</v>
      </c>
      <c r="M18" s="1"/>
    </row>
    <row r="19" spans="1:13">
      <c r="A19" s="12">
        <v>45973</v>
      </c>
      <c r="B19" s="13">
        <v>2700000</v>
      </c>
      <c r="C19" s="13">
        <v>550000</v>
      </c>
      <c r="D19" s="51">
        <f t="shared" si="2"/>
        <v>3250000</v>
      </c>
      <c r="E19" s="53">
        <v>1117000</v>
      </c>
      <c r="F19" s="13">
        <f t="shared" si="1"/>
        <v>2133000</v>
      </c>
      <c r="G19" s="55">
        <f t="shared" si="0"/>
        <v>-567000</v>
      </c>
      <c r="H19" s="22"/>
      <c r="I19" s="27"/>
      <c r="J19" s="30">
        <v>45983</v>
      </c>
      <c r="K19" s="21" t="s">
        <v>393</v>
      </c>
      <c r="L19" s="16">
        <v>4550000</v>
      </c>
      <c r="M19" s="1"/>
    </row>
    <row r="20" spans="1:13">
      <c r="A20" s="12">
        <v>45974</v>
      </c>
      <c r="B20" s="13">
        <v>250000</v>
      </c>
      <c r="C20" s="13"/>
      <c r="D20" s="51">
        <f>B20+C20</f>
        <v>250000</v>
      </c>
      <c r="E20" s="53">
        <v>1016000</v>
      </c>
      <c r="F20" s="13">
        <f t="shared" si="1"/>
        <v>-766000</v>
      </c>
      <c r="G20" s="55">
        <f t="shared" si="0"/>
        <v>-1016000</v>
      </c>
      <c r="H20" s="22"/>
      <c r="I20" s="29"/>
      <c r="J20" s="25">
        <v>45983</v>
      </c>
      <c r="K20" s="28" t="s">
        <v>394</v>
      </c>
      <c r="L20" s="16">
        <v>1800000</v>
      </c>
      <c r="M20" s="1"/>
    </row>
    <row r="21" spans="1:13">
      <c r="A21" s="46">
        <v>45975</v>
      </c>
      <c r="B21" s="47">
        <v>200000</v>
      </c>
      <c r="C21" s="47">
        <v>2650000</v>
      </c>
      <c r="D21" s="51">
        <f>B21+C21</f>
        <v>2850000</v>
      </c>
      <c r="E21" s="53">
        <v>1360000</v>
      </c>
      <c r="F21" s="47">
        <f t="shared" si="1"/>
        <v>1490000</v>
      </c>
      <c r="G21" s="55">
        <f t="shared" si="0"/>
        <v>1290000</v>
      </c>
      <c r="H21" s="48"/>
      <c r="I21" s="27"/>
      <c r="J21" s="25">
        <v>45983</v>
      </c>
      <c r="K21" s="28" t="s">
        <v>395</v>
      </c>
      <c r="L21" s="16">
        <v>10000000</v>
      </c>
      <c r="M21" s="1"/>
    </row>
    <row r="22" spans="1:13">
      <c r="A22" s="46">
        <v>45976</v>
      </c>
      <c r="B22" s="47">
        <v>2850000</v>
      </c>
      <c r="C22" s="47">
        <v>350000</v>
      </c>
      <c r="D22" s="51">
        <f t="shared" ref="D22:D36" si="3">B22+C22</f>
        <v>3200000</v>
      </c>
      <c r="E22" s="53">
        <v>948000</v>
      </c>
      <c r="F22" s="47">
        <f t="shared" si="1"/>
        <v>2252000</v>
      </c>
      <c r="G22" s="55">
        <f t="shared" si="0"/>
        <v>-598000</v>
      </c>
      <c r="H22" s="48"/>
      <c r="I22" s="27"/>
      <c r="J22" s="25">
        <v>45983</v>
      </c>
      <c r="K22" s="28" t="s">
        <v>348</v>
      </c>
      <c r="L22" s="16">
        <v>935000</v>
      </c>
      <c r="M22" s="1"/>
    </row>
    <row r="23" spans="1:13">
      <c r="A23" s="76">
        <v>45977</v>
      </c>
      <c r="B23" s="77"/>
      <c r="C23" s="77"/>
      <c r="D23" s="77">
        <f t="shared" si="3"/>
        <v>0</v>
      </c>
      <c r="E23" s="77"/>
      <c r="F23" s="77">
        <f t="shared" si="1"/>
        <v>0</v>
      </c>
      <c r="G23" s="77">
        <f t="shared" si="0"/>
        <v>0</v>
      </c>
      <c r="H23" s="48"/>
      <c r="I23" s="27"/>
      <c r="J23" s="25">
        <v>45983</v>
      </c>
      <c r="K23" s="28" t="s">
        <v>396</v>
      </c>
      <c r="L23" s="16">
        <v>1400000</v>
      </c>
      <c r="M23" s="1"/>
    </row>
    <row r="24" spans="1:13">
      <c r="A24" s="46">
        <v>45978</v>
      </c>
      <c r="B24" s="47">
        <v>3500000</v>
      </c>
      <c r="C24" s="47"/>
      <c r="D24" s="51">
        <f t="shared" si="3"/>
        <v>3500000</v>
      </c>
      <c r="E24" s="53">
        <v>1158000</v>
      </c>
      <c r="F24" s="47">
        <f t="shared" si="1"/>
        <v>2342000</v>
      </c>
      <c r="G24" s="55">
        <f t="shared" si="0"/>
        <v>-1158000</v>
      </c>
      <c r="H24" s="48"/>
      <c r="I24" s="27"/>
      <c r="J24" s="25">
        <v>45985</v>
      </c>
      <c r="K24" s="28" t="s">
        <v>95</v>
      </c>
      <c r="L24" s="16">
        <v>1000000</v>
      </c>
      <c r="M24" s="1"/>
    </row>
    <row r="25" spans="1:13">
      <c r="A25" s="46">
        <v>45979</v>
      </c>
      <c r="B25" s="47">
        <v>3550000</v>
      </c>
      <c r="C25" s="47">
        <v>200000</v>
      </c>
      <c r="D25" s="51">
        <f t="shared" si="3"/>
        <v>3750000</v>
      </c>
      <c r="E25" s="53">
        <v>1220000</v>
      </c>
      <c r="F25" s="47">
        <f t="shared" si="1"/>
        <v>2530000</v>
      </c>
      <c r="G25" s="55">
        <f t="shared" si="0"/>
        <v>-1020000</v>
      </c>
      <c r="H25" s="48"/>
      <c r="I25" s="27"/>
      <c r="J25" s="25">
        <v>45985</v>
      </c>
      <c r="K25" s="28" t="s">
        <v>116</v>
      </c>
      <c r="L25" s="16">
        <v>1000000</v>
      </c>
      <c r="M25" s="1"/>
    </row>
    <row r="26" spans="1:13">
      <c r="A26" s="46">
        <v>45980</v>
      </c>
      <c r="B26" s="47"/>
      <c r="C26" s="47">
        <v>150000</v>
      </c>
      <c r="D26" s="51">
        <f t="shared" si="3"/>
        <v>150000</v>
      </c>
      <c r="E26" s="53">
        <v>1382000</v>
      </c>
      <c r="F26" s="47">
        <f t="shared" si="1"/>
        <v>-1232000</v>
      </c>
      <c r="G26" s="55">
        <f t="shared" si="0"/>
        <v>-1232000</v>
      </c>
      <c r="H26" s="48"/>
      <c r="I26" s="27"/>
      <c r="J26" s="25">
        <v>45985</v>
      </c>
      <c r="K26" s="28" t="s">
        <v>297</v>
      </c>
      <c r="L26" s="16">
        <v>1000000</v>
      </c>
      <c r="M26" s="1"/>
    </row>
    <row r="27" spans="1:13">
      <c r="A27" s="12">
        <v>45981</v>
      </c>
      <c r="B27" s="13">
        <v>1650000</v>
      </c>
      <c r="C27" s="13">
        <v>750000</v>
      </c>
      <c r="D27" s="51">
        <f t="shared" si="3"/>
        <v>2400000</v>
      </c>
      <c r="E27" s="53">
        <v>1795000</v>
      </c>
      <c r="F27" s="13">
        <f t="shared" si="1"/>
        <v>605000</v>
      </c>
      <c r="G27" s="55">
        <f t="shared" si="0"/>
        <v>-1045000</v>
      </c>
      <c r="H27" s="14"/>
      <c r="I27" s="27"/>
      <c r="J27" s="25">
        <v>45986</v>
      </c>
      <c r="K27" s="28" t="s">
        <v>397</v>
      </c>
      <c r="L27" s="16">
        <v>31370000</v>
      </c>
      <c r="M27" s="1"/>
    </row>
    <row r="28" spans="1:13">
      <c r="A28" s="12">
        <v>45982</v>
      </c>
      <c r="B28" s="13">
        <v>13600000</v>
      </c>
      <c r="C28" s="13">
        <v>7050000</v>
      </c>
      <c r="D28" s="51">
        <f t="shared" si="3"/>
        <v>20650000</v>
      </c>
      <c r="E28" s="53">
        <v>2177000</v>
      </c>
      <c r="F28" s="13">
        <f t="shared" si="1"/>
        <v>18473000</v>
      </c>
      <c r="G28" s="55">
        <f t="shared" si="0"/>
        <v>4873000</v>
      </c>
      <c r="H28" s="14"/>
      <c r="I28" s="29"/>
      <c r="J28" s="25">
        <v>45986</v>
      </c>
      <c r="K28" s="28" t="s">
        <v>398</v>
      </c>
      <c r="L28" s="16">
        <v>3500000</v>
      </c>
      <c r="M28" s="1"/>
    </row>
    <row r="29" spans="1:13">
      <c r="A29" s="12">
        <v>45983</v>
      </c>
      <c r="B29" s="13">
        <v>4450000</v>
      </c>
      <c r="C29" s="13">
        <v>600000</v>
      </c>
      <c r="D29" s="51">
        <f t="shared" si="3"/>
        <v>5050000</v>
      </c>
      <c r="E29" s="53">
        <v>1046000</v>
      </c>
      <c r="F29" s="13">
        <f t="shared" si="1"/>
        <v>4004000</v>
      </c>
      <c r="G29" s="55">
        <f t="shared" si="0"/>
        <v>-446000</v>
      </c>
      <c r="H29" s="14"/>
      <c r="I29" s="27"/>
      <c r="J29" s="25">
        <v>45987</v>
      </c>
      <c r="K29" s="28" t="s">
        <v>399</v>
      </c>
      <c r="L29" s="16">
        <v>400000</v>
      </c>
      <c r="M29" s="1"/>
    </row>
    <row r="30" spans="1:13">
      <c r="A30" s="76">
        <v>45984</v>
      </c>
      <c r="B30" s="77"/>
      <c r="C30" s="77"/>
      <c r="D30" s="77"/>
      <c r="E30" s="77"/>
      <c r="F30" s="77"/>
      <c r="G30" s="77">
        <f t="shared" si="0"/>
        <v>0</v>
      </c>
      <c r="H30" s="31"/>
      <c r="I30" s="27"/>
      <c r="J30" s="25">
        <v>45989</v>
      </c>
      <c r="K30" s="28" t="s">
        <v>400</v>
      </c>
      <c r="L30" s="16">
        <v>35000000</v>
      </c>
      <c r="M30" s="1"/>
    </row>
    <row r="31" spans="1:13">
      <c r="A31" s="12">
        <v>45985</v>
      </c>
      <c r="B31" s="13">
        <v>12650000</v>
      </c>
      <c r="C31" s="13">
        <v>2000000</v>
      </c>
      <c r="D31" s="51">
        <f t="shared" si="3"/>
        <v>14650000</v>
      </c>
      <c r="E31" s="53">
        <v>2110000</v>
      </c>
      <c r="F31" s="13">
        <f t="shared" si="1"/>
        <v>12540000</v>
      </c>
      <c r="G31" s="55">
        <f t="shared" si="0"/>
        <v>-110000</v>
      </c>
      <c r="H31" s="14"/>
      <c r="I31" s="27"/>
      <c r="J31" s="25">
        <v>45989</v>
      </c>
      <c r="K31" s="28" t="s">
        <v>42</v>
      </c>
      <c r="L31" s="16">
        <v>7500000</v>
      </c>
      <c r="M31" s="1"/>
    </row>
    <row r="32" spans="1:13">
      <c r="A32" s="12">
        <v>45986</v>
      </c>
      <c r="B32" s="13"/>
      <c r="C32" s="13">
        <v>33050000</v>
      </c>
      <c r="D32" s="51">
        <f t="shared" si="3"/>
        <v>33050000</v>
      </c>
      <c r="E32" s="53">
        <v>4946000</v>
      </c>
      <c r="F32" s="13">
        <f t="shared" si="1"/>
        <v>28104000</v>
      </c>
      <c r="G32" s="55">
        <f t="shared" si="0"/>
        <v>28104000</v>
      </c>
      <c r="H32" s="14"/>
      <c r="I32" s="27"/>
      <c r="J32" s="25"/>
      <c r="K32" s="28"/>
      <c r="L32" s="16"/>
      <c r="M32" s="1"/>
    </row>
    <row r="33" spans="1:13">
      <c r="A33" s="12">
        <v>45987</v>
      </c>
      <c r="B33" s="13">
        <v>2175000</v>
      </c>
      <c r="C33" s="13"/>
      <c r="D33" s="51">
        <f t="shared" si="3"/>
        <v>2175000</v>
      </c>
      <c r="E33" s="53">
        <v>1368000</v>
      </c>
      <c r="F33" s="13">
        <f t="shared" si="1"/>
        <v>807000</v>
      </c>
      <c r="G33" s="55">
        <f t="shared" si="0"/>
        <v>-1368000</v>
      </c>
      <c r="H33" s="14"/>
      <c r="I33" s="27"/>
      <c r="J33" s="25"/>
      <c r="K33" s="28"/>
      <c r="L33" s="16"/>
      <c r="M33" s="1"/>
    </row>
    <row r="34" spans="1:13">
      <c r="A34" s="46">
        <v>45988</v>
      </c>
      <c r="B34" s="47"/>
      <c r="C34" s="47"/>
      <c r="D34" s="51">
        <f t="shared" si="3"/>
        <v>0</v>
      </c>
      <c r="E34" s="53">
        <v>680000</v>
      </c>
      <c r="F34" s="47">
        <f t="shared" si="1"/>
        <v>-680000</v>
      </c>
      <c r="G34" s="55">
        <f t="shared" si="0"/>
        <v>-680000</v>
      </c>
      <c r="H34" s="14"/>
      <c r="I34" s="27"/>
      <c r="J34" s="25"/>
      <c r="K34" s="28"/>
      <c r="L34" s="16"/>
      <c r="M34" s="1"/>
    </row>
    <row r="35" spans="1:13">
      <c r="A35" s="46">
        <v>45989</v>
      </c>
      <c r="B35" s="47">
        <v>8350000</v>
      </c>
      <c r="C35" s="47"/>
      <c r="D35" s="51">
        <f t="shared" si="3"/>
        <v>8350000</v>
      </c>
      <c r="E35" s="53"/>
      <c r="F35" s="47">
        <f t="shared" si="1"/>
        <v>8350000</v>
      </c>
      <c r="G35" s="55">
        <f t="shared" si="0"/>
        <v>0</v>
      </c>
      <c r="H35" s="14"/>
      <c r="I35" s="27"/>
      <c r="J35" s="25"/>
      <c r="K35" s="28"/>
      <c r="L35" s="16"/>
      <c r="M35" s="1"/>
    </row>
    <row r="36" spans="1:13">
      <c r="A36" s="12">
        <v>45990</v>
      </c>
      <c r="B36" s="13"/>
      <c r="C36" s="13">
        <v>1050000</v>
      </c>
      <c r="D36" s="51">
        <f t="shared" si="3"/>
        <v>1050000</v>
      </c>
      <c r="E36" s="53">
        <v>1572000</v>
      </c>
      <c r="F36" s="13">
        <f t="shared" si="1"/>
        <v>-522000</v>
      </c>
      <c r="G36" s="55">
        <f t="shared" si="0"/>
        <v>-522000</v>
      </c>
      <c r="H36" s="14"/>
      <c r="I36" s="27"/>
      <c r="J36" s="25"/>
      <c r="K36" s="28"/>
      <c r="L36" s="16"/>
      <c r="M36" s="1"/>
    </row>
    <row r="37" spans="1:13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  <c r="M37" s="1"/>
    </row>
    <row r="38" spans="1:13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  <c r="M38" s="1"/>
    </row>
    <row r="39" spans="1:13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/>
    </row>
    <row r="40" spans="1:13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</row>
    <row r="41" spans="1:13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121699500</v>
      </c>
      <c r="M41" s="1"/>
    </row>
    <row r="42" spans="1:13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</row>
    <row r="43" spans="1:13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11</v>
      </c>
      <c r="K43" s="34" t="s">
        <v>12</v>
      </c>
      <c r="L43" s="57">
        <f>B51+C51</f>
        <v>186160000</v>
      </c>
      <c r="M43" s="1"/>
    </row>
    <row r="44" spans="1:13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13</v>
      </c>
      <c r="L44" s="58">
        <v>38935000</v>
      </c>
      <c r="M44" s="1"/>
    </row>
    <row r="45" spans="1:13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14</v>
      </c>
      <c r="L45" s="58">
        <v>121699500</v>
      </c>
      <c r="M45" s="1"/>
    </row>
    <row r="46" spans="1:13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15</v>
      </c>
      <c r="L46" s="39">
        <v>160634500</v>
      </c>
      <c r="M46" s="1"/>
    </row>
    <row r="47" spans="1:13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</row>
    <row r="48" spans="1:13" ht="18">
      <c r="A48" s="12"/>
      <c r="B48" s="13"/>
      <c r="C48" s="13"/>
      <c r="D48" s="51"/>
      <c r="E48" s="53"/>
      <c r="F48" s="13"/>
      <c r="G48" s="55"/>
      <c r="H48" s="14"/>
      <c r="I48" s="27"/>
      <c r="J48" s="80" t="s">
        <v>37</v>
      </c>
      <c r="K48" s="80"/>
      <c r="L48" s="41">
        <f>L43-L46</f>
        <v>25525500</v>
      </c>
      <c r="M48" s="1"/>
    </row>
    <row r="49" spans="1:13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</row>
    <row r="50" spans="1:13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</row>
    <row r="51" spans="1:13">
      <c r="A51" s="12"/>
      <c r="B51" s="42">
        <f t="shared" ref="B51:G51" si="5">SUM(B7:B50)</f>
        <v>114875000</v>
      </c>
      <c r="C51" s="42">
        <f t="shared" si="5"/>
        <v>71285000</v>
      </c>
      <c r="D51" s="52">
        <f t="shared" si="5"/>
        <v>186160000</v>
      </c>
      <c r="E51" s="54">
        <f t="shared" si="5"/>
        <v>38935000</v>
      </c>
      <c r="F51" s="50">
        <f t="shared" si="5"/>
        <v>147225000</v>
      </c>
      <c r="G51" s="56">
        <f t="shared" si="5"/>
        <v>32350000</v>
      </c>
      <c r="H51" s="27"/>
      <c r="I51" s="2"/>
      <c r="J51" s="2"/>
      <c r="K51" s="2"/>
      <c r="L51" s="2"/>
      <c r="M51" s="1"/>
    </row>
    <row r="52" spans="1:13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3:M53"/>
  <sheetViews>
    <sheetView tabSelected="1" topLeftCell="D37" workbookViewId="0">
      <selection activeCell="L47" sqref="L47"/>
    </sheetView>
  </sheetViews>
  <sheetFormatPr defaultRowHeight="15"/>
  <cols>
    <col min="1" max="1" width="14.5703125" customWidth="1"/>
    <col min="2" max="2" width="19.7109375" customWidth="1"/>
    <col min="3" max="3" width="18.7109375" customWidth="1"/>
    <col min="4" max="4" width="18" customWidth="1"/>
    <col min="5" max="5" width="18.7109375" customWidth="1"/>
    <col min="6" max="6" width="21" customWidth="1"/>
    <col min="7" max="7" width="16.85546875" customWidth="1"/>
    <col min="10" max="10" width="14.7109375" customWidth="1"/>
    <col min="11" max="11" width="37.28515625" customWidth="1"/>
    <col min="12" max="12" width="16.7109375" customWidth="1"/>
  </cols>
  <sheetData>
    <row r="3" spans="1:13">
      <c r="A3" s="81" t="s">
        <v>38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  <c r="M3" s="1"/>
    </row>
    <row r="4" spans="1:13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  <c r="M4" s="1"/>
    </row>
    <row r="5" spans="1:13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  <c r="M5" s="1"/>
    </row>
    <row r="6" spans="1:13" ht="15.75">
      <c r="A6" s="85"/>
      <c r="B6" s="8" t="s">
        <v>7</v>
      </c>
      <c r="C6" s="62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  <c r="M6" s="1"/>
    </row>
    <row r="7" spans="1:13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 t="s">
        <v>401</v>
      </c>
      <c r="K7" s="60" t="s">
        <v>402</v>
      </c>
      <c r="L7" s="16">
        <v>1000000</v>
      </c>
      <c r="M7" s="1"/>
    </row>
    <row r="8" spans="1:13">
      <c r="A8" s="12" t="s">
        <v>401</v>
      </c>
      <c r="B8" s="13">
        <v>12600000</v>
      </c>
      <c r="C8" s="13">
        <v>1000000</v>
      </c>
      <c r="D8" s="51">
        <f>B8+C8</f>
        <v>13600000</v>
      </c>
      <c r="E8" s="53">
        <v>1660000</v>
      </c>
      <c r="F8" s="13">
        <f t="shared" ref="F8:F38" si="1">D8-E8</f>
        <v>11940000</v>
      </c>
      <c r="G8" s="55">
        <f t="shared" si="0"/>
        <v>-660000</v>
      </c>
      <c r="H8" s="14"/>
      <c r="I8" s="17"/>
      <c r="J8" s="61" t="s">
        <v>403</v>
      </c>
      <c r="K8" s="60" t="s">
        <v>51</v>
      </c>
      <c r="L8" s="16">
        <v>500000</v>
      </c>
      <c r="M8" s="1"/>
    </row>
    <row r="9" spans="1:13">
      <c r="A9" s="46" t="s">
        <v>404</v>
      </c>
      <c r="B9" s="47">
        <v>2350000</v>
      </c>
      <c r="C9" s="47"/>
      <c r="D9" s="51">
        <f>B9+C9</f>
        <v>2350000</v>
      </c>
      <c r="E9" s="53">
        <v>1231000</v>
      </c>
      <c r="F9" s="47">
        <f t="shared" si="1"/>
        <v>1119000</v>
      </c>
      <c r="G9" s="55">
        <f t="shared" si="0"/>
        <v>-1231000</v>
      </c>
      <c r="H9" s="14"/>
      <c r="I9" s="7"/>
      <c r="J9" s="18" t="s">
        <v>407</v>
      </c>
      <c r="K9" s="19" t="s">
        <v>299</v>
      </c>
      <c r="L9" s="16">
        <v>2000000</v>
      </c>
      <c r="M9" s="1"/>
    </row>
    <row r="10" spans="1:13">
      <c r="A10" s="12" t="s">
        <v>403</v>
      </c>
      <c r="B10" s="13">
        <v>1850000</v>
      </c>
      <c r="C10" s="13">
        <v>1350000</v>
      </c>
      <c r="D10" s="51">
        <f>B10+C10</f>
        <v>3200000</v>
      </c>
      <c r="E10" s="53">
        <v>931000</v>
      </c>
      <c r="F10" s="47">
        <f t="shared" si="1"/>
        <v>2269000</v>
      </c>
      <c r="G10" s="55">
        <f t="shared" si="0"/>
        <v>419000</v>
      </c>
      <c r="H10" s="14"/>
      <c r="I10" s="20"/>
      <c r="J10" s="18" t="s">
        <v>407</v>
      </c>
      <c r="K10" s="43" t="s">
        <v>409</v>
      </c>
      <c r="L10" s="16">
        <v>1000000</v>
      </c>
      <c r="M10" s="1"/>
    </row>
    <row r="11" spans="1:13">
      <c r="A11" s="12" t="s">
        <v>405</v>
      </c>
      <c r="B11" s="13">
        <v>300000</v>
      </c>
      <c r="C11" s="13">
        <v>2550000</v>
      </c>
      <c r="D11" s="51">
        <f>B11+C11</f>
        <v>2850000</v>
      </c>
      <c r="E11" s="53">
        <v>950000</v>
      </c>
      <c r="F11" s="47">
        <f t="shared" si="1"/>
        <v>1900000</v>
      </c>
      <c r="G11" s="55">
        <f t="shared" si="0"/>
        <v>1600000</v>
      </c>
      <c r="H11" s="14"/>
      <c r="I11" s="20"/>
      <c r="J11" s="12" t="s">
        <v>407</v>
      </c>
      <c r="K11" s="19" t="s">
        <v>410</v>
      </c>
      <c r="L11" s="16">
        <v>450000</v>
      </c>
      <c r="M11" s="1"/>
    </row>
    <row r="12" spans="1:13">
      <c r="A12" s="12" t="s">
        <v>406</v>
      </c>
      <c r="B12" s="13">
        <v>1250000</v>
      </c>
      <c r="C12" s="47"/>
      <c r="D12" s="51">
        <f>B12+C12</f>
        <v>1250000</v>
      </c>
      <c r="E12" s="53">
        <v>1325000</v>
      </c>
      <c r="F12" s="13">
        <f t="shared" si="1"/>
        <v>-75000</v>
      </c>
      <c r="G12" s="55">
        <f t="shared" si="0"/>
        <v>-1325000</v>
      </c>
      <c r="H12" s="14"/>
      <c r="I12" s="7"/>
      <c r="J12" s="12" t="s">
        <v>422</v>
      </c>
      <c r="K12" s="15" t="s">
        <v>58</v>
      </c>
      <c r="L12" s="16">
        <v>1250000</v>
      </c>
      <c r="M12" s="1"/>
    </row>
    <row r="13" spans="1:13">
      <c r="A13" s="12" t="s">
        <v>407</v>
      </c>
      <c r="B13" s="13">
        <v>12900000</v>
      </c>
      <c r="C13" s="13">
        <v>1350000</v>
      </c>
      <c r="D13" s="51">
        <f t="shared" ref="D13:D18" si="2">B13+C13</f>
        <v>14250000</v>
      </c>
      <c r="E13" s="53">
        <v>2125000</v>
      </c>
      <c r="F13" s="13">
        <f t="shared" si="1"/>
        <v>12125000</v>
      </c>
      <c r="G13" s="55">
        <f t="shared" si="0"/>
        <v>-775000</v>
      </c>
      <c r="H13" s="14"/>
      <c r="I13" s="7"/>
      <c r="J13" s="12" t="s">
        <v>424</v>
      </c>
      <c r="K13" s="23" t="s">
        <v>425</v>
      </c>
      <c r="L13" s="16">
        <v>34730000</v>
      </c>
      <c r="M13" s="1"/>
    </row>
    <row r="14" spans="1:13">
      <c r="A14" s="76" t="s">
        <v>408</v>
      </c>
      <c r="B14" s="77"/>
      <c r="C14" s="77"/>
      <c r="D14" s="77">
        <f t="shared" si="2"/>
        <v>0</v>
      </c>
      <c r="E14" s="77"/>
      <c r="F14" s="77">
        <f t="shared" si="1"/>
        <v>0</v>
      </c>
      <c r="G14" s="77"/>
      <c r="H14" s="49"/>
      <c r="I14" s="7"/>
      <c r="J14" s="12" t="s">
        <v>424</v>
      </c>
      <c r="K14" s="23" t="s">
        <v>372</v>
      </c>
      <c r="L14" s="16">
        <v>9990000</v>
      </c>
      <c r="M14" s="1"/>
    </row>
    <row r="15" spans="1:13">
      <c r="A15" s="12" t="s">
        <v>411</v>
      </c>
      <c r="B15" s="13">
        <v>3950000</v>
      </c>
      <c r="C15" s="13">
        <v>2500000</v>
      </c>
      <c r="D15" s="51">
        <f t="shared" si="2"/>
        <v>6450000</v>
      </c>
      <c r="E15" s="53">
        <v>1697000</v>
      </c>
      <c r="F15" s="13">
        <f t="shared" si="1"/>
        <v>4753000</v>
      </c>
      <c r="G15" s="55">
        <f t="shared" si="0"/>
        <v>803000</v>
      </c>
      <c r="H15" s="22"/>
      <c r="I15" s="20"/>
      <c r="J15" s="25" t="s">
        <v>424</v>
      </c>
      <c r="K15" s="44" t="s">
        <v>53</v>
      </c>
      <c r="L15" s="45">
        <v>8073000</v>
      </c>
      <c r="M15" s="1"/>
    </row>
    <row r="16" spans="1:13">
      <c r="A16" s="12" t="s">
        <v>412</v>
      </c>
      <c r="B16" s="13">
        <v>2025000</v>
      </c>
      <c r="C16" s="13">
        <v>525000</v>
      </c>
      <c r="D16" s="51">
        <f t="shared" si="2"/>
        <v>2550000</v>
      </c>
      <c r="E16" s="53">
        <v>2520000</v>
      </c>
      <c r="F16" s="13">
        <f t="shared" si="1"/>
        <v>30000</v>
      </c>
      <c r="G16" s="55">
        <f t="shared" si="0"/>
        <v>-1995000</v>
      </c>
      <c r="H16" s="22"/>
      <c r="I16" s="24"/>
      <c r="J16" s="12" t="s">
        <v>424</v>
      </c>
      <c r="K16" s="23" t="s">
        <v>426</v>
      </c>
      <c r="L16" s="16">
        <v>5800000</v>
      </c>
      <c r="M16" s="1"/>
    </row>
    <row r="17" spans="1:13">
      <c r="A17" s="12" t="s">
        <v>413</v>
      </c>
      <c r="B17" s="13">
        <v>1100000</v>
      </c>
      <c r="C17" s="13">
        <v>150000</v>
      </c>
      <c r="D17" s="51">
        <f t="shared" si="2"/>
        <v>1250000</v>
      </c>
      <c r="E17" s="53">
        <v>1070000</v>
      </c>
      <c r="F17" s="13">
        <f t="shared" si="1"/>
        <v>180000</v>
      </c>
      <c r="G17" s="55">
        <f t="shared" si="0"/>
        <v>-920000</v>
      </c>
      <c r="H17" s="22"/>
      <c r="I17" s="24"/>
      <c r="J17" s="12" t="s">
        <v>424</v>
      </c>
      <c r="K17" s="21" t="s">
        <v>40</v>
      </c>
      <c r="L17" s="16">
        <v>10000000</v>
      </c>
      <c r="M17" s="1"/>
    </row>
    <row r="18" spans="1:13">
      <c r="A18" s="12" t="s">
        <v>414</v>
      </c>
      <c r="B18" s="13">
        <v>5000000</v>
      </c>
      <c r="C18" s="13"/>
      <c r="D18" s="51">
        <f t="shared" si="2"/>
        <v>5000000</v>
      </c>
      <c r="E18" s="53">
        <v>1198000</v>
      </c>
      <c r="F18" s="13">
        <f t="shared" si="1"/>
        <v>3802000</v>
      </c>
      <c r="G18" s="55">
        <f t="shared" si="0"/>
        <v>-1198000</v>
      </c>
      <c r="H18" s="22"/>
      <c r="I18" s="27"/>
      <c r="J18" s="25" t="s">
        <v>422</v>
      </c>
      <c r="K18" s="28" t="s">
        <v>51</v>
      </c>
      <c r="L18" s="16">
        <v>500000</v>
      </c>
      <c r="M18" s="1"/>
    </row>
    <row r="19" spans="1:13">
      <c r="A19" s="12" t="s">
        <v>415</v>
      </c>
      <c r="B19" s="13">
        <v>8725000</v>
      </c>
      <c r="C19" s="13">
        <v>500000</v>
      </c>
      <c r="D19" s="51">
        <v>9225000</v>
      </c>
      <c r="E19" s="53">
        <v>1576000</v>
      </c>
      <c r="F19" s="13">
        <f t="shared" si="1"/>
        <v>7649000</v>
      </c>
      <c r="G19" s="55">
        <f t="shared" si="0"/>
        <v>-1076000</v>
      </c>
      <c r="H19" s="22"/>
      <c r="I19" s="27"/>
      <c r="J19" s="30" t="s">
        <v>424</v>
      </c>
      <c r="K19" s="21" t="s">
        <v>142</v>
      </c>
      <c r="L19" s="16">
        <v>3035000</v>
      </c>
      <c r="M19" s="1"/>
    </row>
    <row r="20" spans="1:13">
      <c r="A20" s="12" t="s">
        <v>416</v>
      </c>
      <c r="B20" s="13"/>
      <c r="C20" s="13">
        <v>9675000</v>
      </c>
      <c r="D20" s="51">
        <f>B20+C20</f>
        <v>9675000</v>
      </c>
      <c r="E20" s="53">
        <v>2137000</v>
      </c>
      <c r="F20" s="13">
        <f t="shared" si="1"/>
        <v>7538000</v>
      </c>
      <c r="G20" s="55">
        <f t="shared" si="0"/>
        <v>7538000</v>
      </c>
      <c r="H20" s="22"/>
      <c r="I20" s="29"/>
      <c r="J20" s="25" t="s">
        <v>429</v>
      </c>
      <c r="K20" s="28" t="s">
        <v>430</v>
      </c>
      <c r="L20" s="16">
        <v>1000000</v>
      </c>
      <c r="M20" s="1"/>
    </row>
    <row r="21" spans="1:13">
      <c r="A21" s="76" t="s">
        <v>417</v>
      </c>
      <c r="B21" s="77"/>
      <c r="C21" s="77"/>
      <c r="D21" s="77"/>
      <c r="E21" s="77"/>
      <c r="F21" s="77">
        <f t="shared" si="1"/>
        <v>0</v>
      </c>
      <c r="G21" s="77">
        <f t="shared" si="0"/>
        <v>0</v>
      </c>
      <c r="H21" s="48"/>
      <c r="I21" s="27"/>
      <c r="J21" s="25" t="s">
        <v>431</v>
      </c>
      <c r="K21" s="28" t="s">
        <v>432</v>
      </c>
      <c r="L21" s="16">
        <v>2500000</v>
      </c>
      <c r="M21" s="1"/>
    </row>
    <row r="22" spans="1:13">
      <c r="A22" s="46" t="s">
        <v>418</v>
      </c>
      <c r="B22" s="47"/>
      <c r="C22" s="47">
        <v>1700000</v>
      </c>
      <c r="D22" s="51">
        <f t="shared" ref="D22:D36" si="3">B22+C22</f>
        <v>1700000</v>
      </c>
      <c r="E22" s="53">
        <v>979000</v>
      </c>
      <c r="F22" s="47">
        <f t="shared" si="1"/>
        <v>721000</v>
      </c>
      <c r="G22" s="55">
        <f t="shared" si="0"/>
        <v>721000</v>
      </c>
      <c r="H22" s="48"/>
      <c r="I22" s="27"/>
      <c r="J22" s="25" t="s">
        <v>431</v>
      </c>
      <c r="K22" s="28" t="s">
        <v>433</v>
      </c>
      <c r="L22" s="16">
        <v>10000000</v>
      </c>
      <c r="M22" s="1"/>
    </row>
    <row r="23" spans="1:13">
      <c r="A23" s="46" t="s">
        <v>419</v>
      </c>
      <c r="B23" s="47">
        <v>3150000</v>
      </c>
      <c r="C23" s="47">
        <v>1450000</v>
      </c>
      <c r="D23" s="51">
        <f t="shared" si="3"/>
        <v>4600000</v>
      </c>
      <c r="E23" s="53">
        <v>1227000</v>
      </c>
      <c r="F23" s="47">
        <f t="shared" si="1"/>
        <v>3373000</v>
      </c>
      <c r="G23" s="55">
        <f t="shared" si="0"/>
        <v>223000</v>
      </c>
      <c r="H23" s="48"/>
      <c r="I23" s="27"/>
      <c r="J23" s="25" t="s">
        <v>441</v>
      </c>
      <c r="K23" s="28" t="s">
        <v>442</v>
      </c>
      <c r="L23" s="16">
        <v>190000</v>
      </c>
      <c r="M23" s="1"/>
    </row>
    <row r="24" spans="1:13">
      <c r="A24" s="46" t="s">
        <v>420</v>
      </c>
      <c r="B24" s="47">
        <v>18250000</v>
      </c>
      <c r="C24" s="47">
        <v>4000000</v>
      </c>
      <c r="D24" s="51">
        <f t="shared" si="3"/>
        <v>22250000</v>
      </c>
      <c r="E24" s="53">
        <v>1359000</v>
      </c>
      <c r="F24" s="47">
        <f t="shared" si="1"/>
        <v>20891000</v>
      </c>
      <c r="G24" s="55">
        <f t="shared" si="0"/>
        <v>2641000</v>
      </c>
      <c r="H24" s="48"/>
      <c r="I24" s="27"/>
      <c r="J24" s="25" t="s">
        <v>435</v>
      </c>
      <c r="K24" s="28" t="s">
        <v>443</v>
      </c>
      <c r="L24" s="16">
        <v>2650000</v>
      </c>
      <c r="M24" s="1"/>
    </row>
    <row r="25" spans="1:13">
      <c r="A25" s="46" t="s">
        <v>421</v>
      </c>
      <c r="B25" s="47">
        <v>1900000</v>
      </c>
      <c r="C25" s="47">
        <v>15750000</v>
      </c>
      <c r="D25" s="51">
        <f t="shared" si="3"/>
        <v>17650000</v>
      </c>
      <c r="E25" s="53">
        <v>3701000</v>
      </c>
      <c r="F25" s="47">
        <f t="shared" si="1"/>
        <v>13949000</v>
      </c>
      <c r="G25" s="55">
        <f t="shared" si="0"/>
        <v>12049000</v>
      </c>
      <c r="H25" s="48"/>
      <c r="I25" s="27"/>
      <c r="J25" s="25" t="s">
        <v>438</v>
      </c>
      <c r="K25" s="28" t="s">
        <v>374</v>
      </c>
      <c r="L25" s="16">
        <v>13500000</v>
      </c>
      <c r="M25" s="1"/>
    </row>
    <row r="26" spans="1:13">
      <c r="A26" s="46" t="s">
        <v>423</v>
      </c>
      <c r="B26" s="47">
        <v>900000</v>
      </c>
      <c r="C26" s="47">
        <v>3500000</v>
      </c>
      <c r="D26" s="51">
        <f t="shared" si="3"/>
        <v>4400000</v>
      </c>
      <c r="E26" s="53">
        <v>1304000</v>
      </c>
      <c r="F26" s="47">
        <f t="shared" si="1"/>
        <v>3096000</v>
      </c>
      <c r="G26" s="55">
        <f t="shared" si="0"/>
        <v>2196000</v>
      </c>
      <c r="H26" s="48"/>
      <c r="I26" s="27"/>
      <c r="J26" s="25" t="s">
        <v>438</v>
      </c>
      <c r="K26" s="28" t="s">
        <v>444</v>
      </c>
      <c r="L26" s="16">
        <v>1750000</v>
      </c>
      <c r="M26" s="1"/>
    </row>
    <row r="27" spans="1:13">
      <c r="A27" s="12" t="s">
        <v>424</v>
      </c>
      <c r="B27" s="13">
        <v>4400000</v>
      </c>
      <c r="C27" s="13">
        <v>10375000</v>
      </c>
      <c r="D27" s="51">
        <f t="shared" si="3"/>
        <v>14775000</v>
      </c>
      <c r="E27" s="53">
        <v>2933000</v>
      </c>
      <c r="F27" s="13">
        <f t="shared" si="1"/>
        <v>11842000</v>
      </c>
      <c r="G27" s="55">
        <f t="shared" si="0"/>
        <v>7442000</v>
      </c>
      <c r="H27" s="14"/>
      <c r="I27" s="27"/>
      <c r="J27" s="25" t="s">
        <v>438</v>
      </c>
      <c r="K27" s="28" t="s">
        <v>426</v>
      </c>
      <c r="L27" s="16">
        <v>12000000</v>
      </c>
      <c r="M27" s="1"/>
    </row>
    <row r="28" spans="1:13">
      <c r="A28" s="76" t="s">
        <v>427</v>
      </c>
      <c r="B28" s="77"/>
      <c r="C28" s="77"/>
      <c r="D28" s="77">
        <f t="shared" si="3"/>
        <v>0</v>
      </c>
      <c r="E28" s="77"/>
      <c r="F28" s="77">
        <f t="shared" si="1"/>
        <v>0</v>
      </c>
      <c r="G28" s="77">
        <f t="shared" si="0"/>
        <v>0</v>
      </c>
      <c r="H28" s="14"/>
      <c r="I28" s="29"/>
      <c r="J28" s="25" t="s">
        <v>439</v>
      </c>
      <c r="K28" s="28" t="s">
        <v>445</v>
      </c>
      <c r="L28" s="16">
        <v>600000</v>
      </c>
      <c r="M28" s="1"/>
    </row>
    <row r="29" spans="1:13">
      <c r="A29" s="12" t="s">
        <v>428</v>
      </c>
      <c r="B29" s="13">
        <v>5700000</v>
      </c>
      <c r="C29" s="13">
        <v>100000</v>
      </c>
      <c r="D29" s="51">
        <f t="shared" si="3"/>
        <v>5800000</v>
      </c>
      <c r="E29" s="53">
        <v>1116000</v>
      </c>
      <c r="F29" s="13">
        <f t="shared" si="1"/>
        <v>4684000</v>
      </c>
      <c r="G29" s="55">
        <f t="shared" si="0"/>
        <v>-1016000</v>
      </c>
      <c r="H29" s="14"/>
      <c r="I29" s="27"/>
      <c r="J29" s="25" t="s">
        <v>440</v>
      </c>
      <c r="K29" s="28" t="s">
        <v>444</v>
      </c>
      <c r="L29" s="16">
        <v>5150000</v>
      </c>
      <c r="M29" s="1"/>
    </row>
    <row r="30" spans="1:13">
      <c r="A30" s="12" t="s">
        <v>429</v>
      </c>
      <c r="B30" s="13">
        <v>9050000</v>
      </c>
      <c r="C30" s="13">
        <v>740000</v>
      </c>
      <c r="D30" s="51">
        <v>9790000</v>
      </c>
      <c r="E30" s="53">
        <v>1525000</v>
      </c>
      <c r="F30" s="13">
        <f t="shared" si="1"/>
        <v>8265000</v>
      </c>
      <c r="G30" s="55">
        <f t="shared" si="0"/>
        <v>-785000</v>
      </c>
      <c r="H30" s="31"/>
      <c r="I30" s="27"/>
      <c r="J30" s="25" t="s">
        <v>440</v>
      </c>
      <c r="K30" s="28" t="s">
        <v>42</v>
      </c>
      <c r="L30" s="16">
        <v>15000000</v>
      </c>
      <c r="M30" s="1"/>
    </row>
    <row r="31" spans="1:13">
      <c r="A31" s="12" t="s">
        <v>431</v>
      </c>
      <c r="B31" s="13">
        <v>9750000</v>
      </c>
      <c r="C31" s="13">
        <v>2950000</v>
      </c>
      <c r="D31" s="51">
        <f t="shared" si="3"/>
        <v>12700000</v>
      </c>
      <c r="E31" s="53">
        <v>1353000</v>
      </c>
      <c r="F31" s="13">
        <f t="shared" si="1"/>
        <v>11347000</v>
      </c>
      <c r="G31" s="55">
        <f t="shared" si="0"/>
        <v>1597000</v>
      </c>
      <c r="H31" s="14"/>
      <c r="I31" s="27"/>
      <c r="J31" s="25"/>
      <c r="K31" s="28"/>
      <c r="L31" s="16"/>
      <c r="M31" s="1"/>
    </row>
    <row r="32" spans="1:13">
      <c r="A32" s="12" t="s">
        <v>434</v>
      </c>
      <c r="B32" s="13">
        <v>5950000</v>
      </c>
      <c r="C32" s="13">
        <v>3300000</v>
      </c>
      <c r="D32" s="51">
        <f t="shared" si="3"/>
        <v>9250000</v>
      </c>
      <c r="E32" s="53">
        <v>1150000</v>
      </c>
      <c r="F32" s="13">
        <f t="shared" si="1"/>
        <v>8100000</v>
      </c>
      <c r="G32" s="55">
        <f t="shared" si="0"/>
        <v>2150000</v>
      </c>
      <c r="H32" s="14"/>
      <c r="I32" s="27"/>
      <c r="J32" s="25"/>
      <c r="K32" s="28"/>
      <c r="L32" s="16"/>
      <c r="M32" s="1"/>
    </row>
    <row r="33" spans="1:13">
      <c r="A33" s="12" t="s">
        <v>435</v>
      </c>
      <c r="B33" s="13">
        <v>8100000</v>
      </c>
      <c r="C33" s="13">
        <v>15650000</v>
      </c>
      <c r="D33" s="51">
        <f t="shared" si="3"/>
        <v>23750000</v>
      </c>
      <c r="E33" s="53">
        <v>3452000</v>
      </c>
      <c r="F33" s="13">
        <f t="shared" si="1"/>
        <v>20298000</v>
      </c>
      <c r="G33" s="55">
        <f t="shared" si="0"/>
        <v>12198000</v>
      </c>
      <c r="H33" s="14"/>
      <c r="I33" s="27"/>
      <c r="J33" s="25"/>
      <c r="K33" s="28"/>
      <c r="L33" s="16"/>
      <c r="M33" s="1"/>
    </row>
    <row r="34" spans="1:13">
      <c r="A34" s="12" t="s">
        <v>436</v>
      </c>
      <c r="B34" s="13">
        <v>3000000</v>
      </c>
      <c r="C34" s="13">
        <v>450000</v>
      </c>
      <c r="D34" s="51">
        <f t="shared" si="3"/>
        <v>3450000</v>
      </c>
      <c r="E34" s="53">
        <v>1436000</v>
      </c>
      <c r="F34" s="13">
        <f t="shared" si="1"/>
        <v>2014000</v>
      </c>
      <c r="G34" s="55">
        <f t="shared" si="0"/>
        <v>-986000</v>
      </c>
      <c r="H34" s="14"/>
      <c r="I34" s="27"/>
      <c r="J34" s="25"/>
      <c r="K34" s="28"/>
      <c r="L34" s="16"/>
      <c r="M34" s="1"/>
    </row>
    <row r="35" spans="1:13">
      <c r="A35" s="76" t="s">
        <v>437</v>
      </c>
      <c r="B35" s="77"/>
      <c r="C35" s="77"/>
      <c r="D35" s="77">
        <f t="shared" si="3"/>
        <v>0</v>
      </c>
      <c r="E35" s="77"/>
      <c r="F35" s="77">
        <f t="shared" si="1"/>
        <v>0</v>
      </c>
      <c r="G35" s="77">
        <f t="shared" si="0"/>
        <v>0</v>
      </c>
      <c r="H35" s="14"/>
      <c r="I35" s="27"/>
      <c r="J35" s="25"/>
      <c r="K35" s="28"/>
      <c r="L35" s="16"/>
      <c r="M35" s="1"/>
    </row>
    <row r="36" spans="1:13">
      <c r="A36" s="12" t="s">
        <v>438</v>
      </c>
      <c r="B36" s="13">
        <v>20250000</v>
      </c>
      <c r="C36" s="13">
        <v>650000</v>
      </c>
      <c r="D36" s="51">
        <f t="shared" si="3"/>
        <v>20900000</v>
      </c>
      <c r="E36" s="53">
        <v>1441000</v>
      </c>
      <c r="F36" s="13">
        <f t="shared" si="1"/>
        <v>19459000</v>
      </c>
      <c r="G36" s="55">
        <f t="shared" si="0"/>
        <v>-791000</v>
      </c>
      <c r="H36" s="14"/>
      <c r="I36" s="27"/>
      <c r="J36" s="25"/>
      <c r="K36" s="28"/>
      <c r="L36" s="16"/>
      <c r="M36" s="1"/>
    </row>
    <row r="37" spans="1:13">
      <c r="A37" s="12" t="s">
        <v>439</v>
      </c>
      <c r="B37" s="13">
        <v>3300000</v>
      </c>
      <c r="C37" s="13">
        <v>15200000</v>
      </c>
      <c r="D37" s="51">
        <f>B37+C37</f>
        <v>18500000</v>
      </c>
      <c r="E37" s="53">
        <v>3143000</v>
      </c>
      <c r="F37" s="13">
        <f t="shared" si="1"/>
        <v>15357000</v>
      </c>
      <c r="G37" s="55">
        <f t="shared" si="0"/>
        <v>12057000</v>
      </c>
      <c r="H37" s="14"/>
      <c r="I37" s="27"/>
      <c r="J37" s="25"/>
      <c r="K37" s="28"/>
      <c r="L37" s="16"/>
      <c r="M37" s="1"/>
    </row>
    <row r="38" spans="1:13">
      <c r="A38" s="12" t="s">
        <v>440</v>
      </c>
      <c r="B38" s="13">
        <v>3000000</v>
      </c>
      <c r="C38" s="13">
        <v>880000</v>
      </c>
      <c r="D38" s="51">
        <f t="shared" ref="D38" si="4">B38+C38</f>
        <v>3880000</v>
      </c>
      <c r="E38" s="53">
        <v>1343000</v>
      </c>
      <c r="F38" s="13">
        <f t="shared" si="1"/>
        <v>2537000</v>
      </c>
      <c r="G38" s="55">
        <f t="shared" si="0"/>
        <v>-463000</v>
      </c>
      <c r="H38" s="14"/>
      <c r="I38" s="27"/>
      <c r="J38" s="25"/>
      <c r="K38" s="28"/>
      <c r="L38" s="16"/>
      <c r="M38" s="1"/>
    </row>
    <row r="39" spans="1:13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/>
    </row>
    <row r="40" spans="1:13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</row>
    <row r="41" spans="1:13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142668000</v>
      </c>
      <c r="M41" s="1"/>
    </row>
    <row r="42" spans="1:13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</row>
    <row r="43" spans="1:13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11</v>
      </c>
      <c r="K43" s="34" t="s">
        <v>12</v>
      </c>
      <c r="L43" s="57">
        <f>B51+C51</f>
        <v>245045000</v>
      </c>
      <c r="M43" s="1"/>
    </row>
    <row r="44" spans="1:13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13</v>
      </c>
      <c r="L44" s="58">
        <v>45882000</v>
      </c>
      <c r="M44" s="1"/>
    </row>
    <row r="45" spans="1:13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14</v>
      </c>
      <c r="L45" s="58">
        <v>142668000</v>
      </c>
      <c r="M45" s="1"/>
    </row>
    <row r="46" spans="1:13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15</v>
      </c>
      <c r="L46" s="39">
        <v>188550000</v>
      </c>
      <c r="M46" s="1"/>
    </row>
    <row r="47" spans="1:13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</row>
    <row r="48" spans="1:13" ht="18">
      <c r="A48" s="12"/>
      <c r="B48" s="13"/>
      <c r="C48" s="13"/>
      <c r="D48" s="51"/>
      <c r="E48" s="53"/>
      <c r="F48" s="13"/>
      <c r="G48" s="55"/>
      <c r="H48" s="14"/>
      <c r="I48" s="27"/>
      <c r="J48" s="80" t="s">
        <v>39</v>
      </c>
      <c r="K48" s="80"/>
      <c r="L48" s="41">
        <f>L43-L46</f>
        <v>56495000</v>
      </c>
      <c r="M48" s="1"/>
    </row>
    <row r="49" spans="1:13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</row>
    <row r="50" spans="1:13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</row>
    <row r="51" spans="1:13">
      <c r="A51" s="12"/>
      <c r="B51" s="42">
        <f t="shared" ref="B51:G51" si="5">SUM(B7:B50)</f>
        <v>148750000</v>
      </c>
      <c r="C51" s="42">
        <f t="shared" si="5"/>
        <v>96295000</v>
      </c>
      <c r="D51" s="52">
        <f t="shared" si="5"/>
        <v>245045000</v>
      </c>
      <c r="E51" s="54">
        <f t="shared" si="5"/>
        <v>45882000</v>
      </c>
      <c r="F51" s="50">
        <f t="shared" si="5"/>
        <v>199163000</v>
      </c>
      <c r="G51" s="56">
        <f t="shared" si="5"/>
        <v>50413000</v>
      </c>
      <c r="H51" s="27"/>
      <c r="I51" s="2"/>
      <c r="J51" s="2"/>
      <c r="K51" s="2"/>
      <c r="L51" s="2"/>
      <c r="M51" s="1"/>
    </row>
    <row r="52" spans="1:13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3:AO55"/>
  <sheetViews>
    <sheetView workbookViewId="0">
      <selection activeCell="I13" sqref="I13"/>
    </sheetView>
  </sheetViews>
  <sheetFormatPr defaultRowHeight="15"/>
  <cols>
    <col min="2" max="2" width="21.28515625" customWidth="1"/>
    <col min="3" max="3" width="15.7109375" customWidth="1"/>
    <col min="4" max="4" width="18.7109375" customWidth="1"/>
    <col min="5" max="5" width="16.85546875" customWidth="1"/>
    <col min="6" max="6" width="17.7109375" customWidth="1"/>
    <col min="7" max="7" width="14.140625" customWidth="1"/>
    <col min="11" max="11" width="36.140625" customWidth="1"/>
    <col min="12" max="12" width="15.28515625" customWidth="1"/>
  </cols>
  <sheetData>
    <row r="3" spans="1:41">
      <c r="A3" s="81" t="s">
        <v>390</v>
      </c>
      <c r="B3" s="82"/>
      <c r="C3" s="82"/>
      <c r="D3" s="82"/>
      <c r="E3" s="8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83"/>
      <c r="B4" s="83"/>
      <c r="C4" s="83"/>
      <c r="D4" s="83"/>
      <c r="E4" s="83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5.75">
      <c r="A5" s="84" t="s">
        <v>0</v>
      </c>
      <c r="B5" s="86" t="s">
        <v>1</v>
      </c>
      <c r="C5" s="87"/>
      <c r="D5" s="88" t="s">
        <v>2</v>
      </c>
      <c r="E5" s="78" t="s">
        <v>3</v>
      </c>
      <c r="F5" s="88" t="s">
        <v>4</v>
      </c>
      <c r="G5" s="78" t="s">
        <v>5</v>
      </c>
      <c r="H5" s="3"/>
      <c r="I5" s="4"/>
      <c r="J5" s="5" t="s">
        <v>6</v>
      </c>
      <c r="K5" s="6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5.75">
      <c r="A6" s="85"/>
      <c r="B6" s="8" t="s">
        <v>7</v>
      </c>
      <c r="C6" s="75" t="s">
        <v>8</v>
      </c>
      <c r="D6" s="89"/>
      <c r="E6" s="79"/>
      <c r="F6" s="89"/>
      <c r="G6" s="79"/>
      <c r="H6" s="3"/>
      <c r="I6" s="4"/>
      <c r="J6" s="9" t="s">
        <v>0</v>
      </c>
      <c r="K6" s="10" t="s">
        <v>9</v>
      </c>
      <c r="L6" s="11" t="s">
        <v>10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46"/>
      <c r="B7" s="47"/>
      <c r="C7" s="47"/>
      <c r="D7" s="51"/>
      <c r="E7" s="53"/>
      <c r="F7" s="47"/>
      <c r="G7" s="55">
        <f t="shared" ref="G7:G38" si="0">C7-E7</f>
        <v>0</v>
      </c>
      <c r="H7" s="48"/>
      <c r="I7" s="7"/>
      <c r="J7" s="61"/>
      <c r="K7" s="60"/>
      <c r="L7" s="1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2"/>
      <c r="B8" s="13"/>
      <c r="C8" s="13"/>
      <c r="D8" s="51">
        <f>B8+C8</f>
        <v>0</v>
      </c>
      <c r="E8" s="53"/>
      <c r="F8" s="13">
        <f t="shared" ref="F8:F38" si="1">D8-E8</f>
        <v>0</v>
      </c>
      <c r="G8" s="55">
        <f t="shared" si="0"/>
        <v>0</v>
      </c>
      <c r="H8" s="14"/>
      <c r="I8" s="17"/>
      <c r="J8" s="61"/>
      <c r="K8" s="60"/>
      <c r="L8" s="1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46"/>
      <c r="B9" s="47"/>
      <c r="C9" s="47"/>
      <c r="D9" s="51">
        <f>B9+C9</f>
        <v>0</v>
      </c>
      <c r="E9" s="53"/>
      <c r="F9" s="47">
        <f t="shared" si="1"/>
        <v>0</v>
      </c>
      <c r="G9" s="55">
        <f t="shared" si="0"/>
        <v>0</v>
      </c>
      <c r="H9" s="14"/>
      <c r="I9" s="7"/>
      <c r="J9" s="18"/>
      <c r="K9" s="19"/>
      <c r="L9" s="1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2"/>
      <c r="B10" s="13"/>
      <c r="C10" s="13"/>
      <c r="D10" s="51">
        <f>B10+C10</f>
        <v>0</v>
      </c>
      <c r="E10" s="53"/>
      <c r="F10" s="47">
        <f t="shared" si="1"/>
        <v>0</v>
      </c>
      <c r="G10" s="55">
        <f t="shared" si="0"/>
        <v>0</v>
      </c>
      <c r="H10" s="14"/>
      <c r="I10" s="20"/>
      <c r="J10" s="18"/>
      <c r="K10" s="43"/>
      <c r="L10" s="1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2"/>
      <c r="B11" s="13"/>
      <c r="C11" s="13"/>
      <c r="D11" s="51">
        <f>B11+C11</f>
        <v>0</v>
      </c>
      <c r="E11" s="53"/>
      <c r="F11" s="47">
        <f t="shared" si="1"/>
        <v>0</v>
      </c>
      <c r="G11" s="55">
        <f t="shared" si="0"/>
        <v>0</v>
      </c>
      <c r="H11" s="14"/>
      <c r="I11" s="20"/>
      <c r="J11" s="12"/>
      <c r="K11" s="19"/>
      <c r="L11" s="1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2"/>
      <c r="B12" s="13"/>
      <c r="C12" s="47"/>
      <c r="D12" s="51">
        <f>B12+C12</f>
        <v>0</v>
      </c>
      <c r="E12" s="53"/>
      <c r="F12" s="13">
        <f t="shared" si="1"/>
        <v>0</v>
      </c>
      <c r="G12" s="55">
        <f t="shared" si="0"/>
        <v>0</v>
      </c>
      <c r="H12" s="14"/>
      <c r="I12" s="7"/>
      <c r="J12" s="12"/>
      <c r="K12" s="15"/>
      <c r="L12" s="1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2"/>
      <c r="B13" s="13"/>
      <c r="C13" s="13"/>
      <c r="D13" s="51">
        <f t="shared" ref="D13:D19" si="2">B13+C13</f>
        <v>0</v>
      </c>
      <c r="E13" s="53"/>
      <c r="F13" s="13">
        <f t="shared" si="1"/>
        <v>0</v>
      </c>
      <c r="G13" s="55">
        <f t="shared" si="0"/>
        <v>0</v>
      </c>
      <c r="H13" s="14"/>
      <c r="I13" s="7"/>
      <c r="J13" s="12"/>
      <c r="K13" s="23"/>
      <c r="L13" s="1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46"/>
      <c r="B14" s="47"/>
      <c r="C14" s="47"/>
      <c r="D14" s="51">
        <f t="shared" si="2"/>
        <v>0</v>
      </c>
      <c r="E14" s="53"/>
      <c r="F14" s="47">
        <f t="shared" si="1"/>
        <v>0</v>
      </c>
      <c r="G14" s="55">
        <f t="shared" si="0"/>
        <v>0</v>
      </c>
      <c r="H14" s="49"/>
      <c r="I14" s="7"/>
      <c r="J14" s="12"/>
      <c r="K14" s="23"/>
      <c r="L14" s="1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2"/>
      <c r="B15" s="13"/>
      <c r="C15" s="13"/>
      <c r="D15" s="51">
        <f t="shared" si="2"/>
        <v>0</v>
      </c>
      <c r="E15" s="53"/>
      <c r="F15" s="13">
        <f t="shared" si="1"/>
        <v>0</v>
      </c>
      <c r="G15" s="55">
        <f t="shared" si="0"/>
        <v>0</v>
      </c>
      <c r="H15" s="22"/>
      <c r="I15" s="20"/>
      <c r="J15" s="25"/>
      <c r="K15" s="44"/>
      <c r="L15" s="4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2"/>
      <c r="B16" s="13"/>
      <c r="C16" s="13"/>
      <c r="D16" s="51">
        <f t="shared" si="2"/>
        <v>0</v>
      </c>
      <c r="E16" s="53"/>
      <c r="F16" s="13">
        <f t="shared" si="1"/>
        <v>0</v>
      </c>
      <c r="G16" s="55">
        <f t="shared" si="0"/>
        <v>0</v>
      </c>
      <c r="H16" s="22"/>
      <c r="I16" s="24"/>
      <c r="J16" s="12"/>
      <c r="K16" s="23"/>
      <c r="L16" s="1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 s="12"/>
      <c r="B17" s="13"/>
      <c r="C17" s="13"/>
      <c r="D17" s="51">
        <f t="shared" si="2"/>
        <v>0</v>
      </c>
      <c r="E17" s="53"/>
      <c r="F17" s="13">
        <f t="shared" si="1"/>
        <v>0</v>
      </c>
      <c r="G17" s="55">
        <f t="shared" si="0"/>
        <v>0</v>
      </c>
      <c r="H17" s="22"/>
      <c r="I17" s="24"/>
      <c r="J17" s="12"/>
      <c r="K17" s="21"/>
      <c r="L17" s="1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2"/>
      <c r="B18" s="13"/>
      <c r="C18" s="13"/>
      <c r="D18" s="51">
        <f t="shared" si="2"/>
        <v>0</v>
      </c>
      <c r="E18" s="53"/>
      <c r="F18" s="13">
        <f t="shared" si="1"/>
        <v>0</v>
      </c>
      <c r="G18" s="55">
        <f t="shared" si="0"/>
        <v>0</v>
      </c>
      <c r="H18" s="22"/>
      <c r="I18" s="27"/>
      <c r="J18" s="25"/>
      <c r="K18" s="28"/>
      <c r="L18" s="1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2"/>
      <c r="B19" s="13"/>
      <c r="C19" s="13"/>
      <c r="D19" s="51">
        <f t="shared" si="2"/>
        <v>0</v>
      </c>
      <c r="E19" s="53"/>
      <c r="F19" s="13">
        <f t="shared" si="1"/>
        <v>0</v>
      </c>
      <c r="G19" s="55">
        <f t="shared" si="0"/>
        <v>0</v>
      </c>
      <c r="H19" s="22"/>
      <c r="I19" s="27"/>
      <c r="J19" s="30"/>
      <c r="K19" s="21"/>
      <c r="L19" s="1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2"/>
      <c r="B20" s="13"/>
      <c r="C20" s="13"/>
      <c r="D20" s="51">
        <f>B20+C20</f>
        <v>0</v>
      </c>
      <c r="E20" s="53"/>
      <c r="F20" s="13">
        <f t="shared" si="1"/>
        <v>0</v>
      </c>
      <c r="G20" s="55">
        <f t="shared" si="0"/>
        <v>0</v>
      </c>
      <c r="H20" s="22"/>
      <c r="I20" s="29"/>
      <c r="J20" s="25"/>
      <c r="K20" s="28"/>
      <c r="L20" s="1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46"/>
      <c r="B21" s="47"/>
      <c r="C21" s="47"/>
      <c r="D21" s="51"/>
      <c r="E21" s="53"/>
      <c r="F21" s="47">
        <f t="shared" si="1"/>
        <v>0</v>
      </c>
      <c r="G21" s="55">
        <f t="shared" si="0"/>
        <v>0</v>
      </c>
      <c r="H21" s="48"/>
      <c r="I21" s="27"/>
      <c r="J21" s="25"/>
      <c r="K21" s="28"/>
      <c r="L21" s="1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46"/>
      <c r="B22" s="47"/>
      <c r="C22" s="47"/>
      <c r="D22" s="51">
        <f t="shared" ref="D22:D36" si="3">B22+C22</f>
        <v>0</v>
      </c>
      <c r="E22" s="53"/>
      <c r="F22" s="47">
        <f t="shared" si="1"/>
        <v>0</v>
      </c>
      <c r="G22" s="55">
        <f t="shared" si="0"/>
        <v>0</v>
      </c>
      <c r="H22" s="48"/>
      <c r="I22" s="27"/>
      <c r="J22" s="25"/>
      <c r="K22" s="28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46"/>
      <c r="B23" s="47"/>
      <c r="C23" s="47"/>
      <c r="D23" s="51">
        <f t="shared" si="3"/>
        <v>0</v>
      </c>
      <c r="E23" s="53"/>
      <c r="F23" s="47">
        <f t="shared" si="1"/>
        <v>0</v>
      </c>
      <c r="G23" s="55">
        <f t="shared" si="0"/>
        <v>0</v>
      </c>
      <c r="H23" s="48"/>
      <c r="I23" s="27"/>
      <c r="J23" s="25"/>
      <c r="K23" s="28"/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46"/>
      <c r="B24" s="47"/>
      <c r="C24" s="47"/>
      <c r="D24" s="51">
        <f t="shared" si="3"/>
        <v>0</v>
      </c>
      <c r="E24" s="53"/>
      <c r="F24" s="47">
        <f t="shared" si="1"/>
        <v>0</v>
      </c>
      <c r="G24" s="55">
        <f t="shared" si="0"/>
        <v>0</v>
      </c>
      <c r="H24" s="48"/>
      <c r="I24" s="27"/>
      <c r="J24" s="25"/>
      <c r="K24" s="28"/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46"/>
      <c r="B25" s="47"/>
      <c r="C25" s="47"/>
      <c r="D25" s="51">
        <f t="shared" si="3"/>
        <v>0</v>
      </c>
      <c r="E25" s="53"/>
      <c r="F25" s="47">
        <f t="shared" si="1"/>
        <v>0</v>
      </c>
      <c r="G25" s="55">
        <f t="shared" si="0"/>
        <v>0</v>
      </c>
      <c r="H25" s="48"/>
      <c r="I25" s="27"/>
      <c r="J25" s="25"/>
      <c r="K25" s="28"/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46"/>
      <c r="B26" s="47"/>
      <c r="C26" s="47"/>
      <c r="D26" s="51">
        <f t="shared" si="3"/>
        <v>0</v>
      </c>
      <c r="E26" s="53"/>
      <c r="F26" s="47">
        <f t="shared" si="1"/>
        <v>0</v>
      </c>
      <c r="G26" s="55">
        <f t="shared" si="0"/>
        <v>0</v>
      </c>
      <c r="H26" s="48"/>
      <c r="I26" s="27"/>
      <c r="J26" s="25"/>
      <c r="K26" s="28"/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2"/>
      <c r="B27" s="13"/>
      <c r="C27" s="13"/>
      <c r="D27" s="51">
        <f t="shared" si="3"/>
        <v>0</v>
      </c>
      <c r="E27" s="53"/>
      <c r="F27" s="13">
        <f t="shared" si="1"/>
        <v>0</v>
      </c>
      <c r="G27" s="55">
        <f t="shared" si="0"/>
        <v>0</v>
      </c>
      <c r="H27" s="14"/>
      <c r="I27" s="27"/>
      <c r="J27" s="25"/>
      <c r="K27" s="28"/>
      <c r="L27" s="1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2"/>
      <c r="B28" s="13"/>
      <c r="C28" s="13"/>
      <c r="D28" s="51">
        <f t="shared" si="3"/>
        <v>0</v>
      </c>
      <c r="E28" s="53"/>
      <c r="F28" s="13">
        <f t="shared" si="1"/>
        <v>0</v>
      </c>
      <c r="G28" s="55">
        <f t="shared" si="0"/>
        <v>0</v>
      </c>
      <c r="H28" s="14"/>
      <c r="I28" s="29"/>
      <c r="J28" s="25"/>
      <c r="K28" s="28"/>
      <c r="L28" s="1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2"/>
      <c r="B29" s="13"/>
      <c r="C29" s="13"/>
      <c r="D29" s="51">
        <f t="shared" si="3"/>
        <v>0</v>
      </c>
      <c r="E29" s="53"/>
      <c r="F29" s="13">
        <f t="shared" si="1"/>
        <v>0</v>
      </c>
      <c r="G29" s="55">
        <f t="shared" si="0"/>
        <v>0</v>
      </c>
      <c r="H29" s="14"/>
      <c r="I29" s="27"/>
      <c r="J29" s="25"/>
      <c r="K29" s="28"/>
      <c r="L29" s="1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2"/>
      <c r="B30" s="13"/>
      <c r="C30" s="13"/>
      <c r="D30" s="51">
        <f t="shared" si="3"/>
        <v>0</v>
      </c>
      <c r="E30" s="53"/>
      <c r="F30" s="13">
        <f t="shared" si="1"/>
        <v>0</v>
      </c>
      <c r="G30" s="55">
        <f t="shared" si="0"/>
        <v>0</v>
      </c>
      <c r="H30" s="31"/>
      <c r="I30" s="27"/>
      <c r="J30" s="25"/>
      <c r="K30" s="28"/>
      <c r="L30" s="1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2"/>
      <c r="B31" s="13"/>
      <c r="C31" s="13"/>
      <c r="D31" s="51">
        <f t="shared" si="3"/>
        <v>0</v>
      </c>
      <c r="E31" s="53"/>
      <c r="F31" s="13">
        <f t="shared" si="1"/>
        <v>0</v>
      </c>
      <c r="G31" s="55">
        <f t="shared" si="0"/>
        <v>0</v>
      </c>
      <c r="H31" s="14"/>
      <c r="I31" s="27"/>
      <c r="J31" s="25"/>
      <c r="K31" s="28"/>
      <c r="L31" s="1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2"/>
      <c r="B32" s="13"/>
      <c r="C32" s="13"/>
      <c r="D32" s="51">
        <f t="shared" si="3"/>
        <v>0</v>
      </c>
      <c r="E32" s="53"/>
      <c r="F32" s="13">
        <f t="shared" si="1"/>
        <v>0</v>
      </c>
      <c r="G32" s="55">
        <f t="shared" si="0"/>
        <v>0</v>
      </c>
      <c r="H32" s="14"/>
      <c r="I32" s="27"/>
      <c r="J32" s="25"/>
      <c r="K32" s="28"/>
      <c r="L32" s="1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2"/>
      <c r="B33" s="13"/>
      <c r="C33" s="13"/>
      <c r="D33" s="51">
        <f t="shared" si="3"/>
        <v>0</v>
      </c>
      <c r="E33" s="53"/>
      <c r="F33" s="13">
        <f t="shared" si="1"/>
        <v>0</v>
      </c>
      <c r="G33" s="55">
        <f t="shared" si="0"/>
        <v>0</v>
      </c>
      <c r="H33" s="14"/>
      <c r="I33" s="27"/>
      <c r="J33" s="25"/>
      <c r="K33" s="28"/>
      <c r="L33" s="1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2"/>
      <c r="B34" s="13"/>
      <c r="C34" s="13"/>
      <c r="D34" s="51">
        <f t="shared" si="3"/>
        <v>0</v>
      </c>
      <c r="E34" s="53"/>
      <c r="F34" s="13">
        <f t="shared" si="1"/>
        <v>0</v>
      </c>
      <c r="G34" s="55">
        <f t="shared" si="0"/>
        <v>0</v>
      </c>
      <c r="H34" s="14"/>
      <c r="I34" s="27"/>
      <c r="J34" s="25"/>
      <c r="K34" s="28"/>
      <c r="L34" s="1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2"/>
      <c r="B35" s="13"/>
      <c r="C35" s="13"/>
      <c r="D35" s="51">
        <f t="shared" si="3"/>
        <v>0</v>
      </c>
      <c r="E35" s="53"/>
      <c r="F35" s="13">
        <f t="shared" si="1"/>
        <v>0</v>
      </c>
      <c r="G35" s="55">
        <f t="shared" si="0"/>
        <v>0</v>
      </c>
      <c r="H35" s="14"/>
      <c r="I35" s="27"/>
      <c r="J35" s="25"/>
      <c r="K35" s="28"/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2"/>
      <c r="B36" s="13"/>
      <c r="C36" s="13"/>
      <c r="D36" s="51">
        <f t="shared" si="3"/>
        <v>0</v>
      </c>
      <c r="E36" s="53"/>
      <c r="F36" s="13">
        <f t="shared" si="1"/>
        <v>0</v>
      </c>
      <c r="G36" s="55">
        <f t="shared" si="0"/>
        <v>0</v>
      </c>
      <c r="H36" s="14"/>
      <c r="I36" s="27"/>
      <c r="J36" s="25"/>
      <c r="K36" s="28"/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2"/>
      <c r="B37" s="13"/>
      <c r="C37" s="13"/>
      <c r="D37" s="51">
        <f>B37+C37</f>
        <v>0</v>
      </c>
      <c r="E37" s="53"/>
      <c r="F37" s="13">
        <f t="shared" si="1"/>
        <v>0</v>
      </c>
      <c r="G37" s="55">
        <f t="shared" si="0"/>
        <v>0</v>
      </c>
      <c r="H37" s="14"/>
      <c r="I37" s="27"/>
      <c r="J37" s="25"/>
      <c r="K37" s="28"/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2"/>
      <c r="B38" s="13"/>
      <c r="C38" s="13"/>
      <c r="D38" s="51">
        <f t="shared" ref="D38" si="4">B38+C38</f>
        <v>0</v>
      </c>
      <c r="E38" s="53"/>
      <c r="F38" s="13">
        <f t="shared" si="1"/>
        <v>0</v>
      </c>
      <c r="G38" s="55">
        <f t="shared" si="0"/>
        <v>0</v>
      </c>
      <c r="H38" s="14"/>
      <c r="I38" s="27"/>
      <c r="J38" s="25"/>
      <c r="K38" s="28"/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2"/>
      <c r="B39" s="13"/>
      <c r="C39" s="13"/>
      <c r="D39" s="51"/>
      <c r="E39" s="53"/>
      <c r="F39" s="13"/>
      <c r="G39" s="55"/>
      <c r="H39" s="14"/>
      <c r="I39" s="27"/>
      <c r="J39" s="25"/>
      <c r="K39" s="28"/>
      <c r="L39" s="1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46"/>
      <c r="B40" s="47"/>
      <c r="C40" s="47"/>
      <c r="D40" s="51"/>
      <c r="E40" s="53"/>
      <c r="F40" s="47"/>
      <c r="G40" s="55"/>
      <c r="H40" s="48"/>
      <c r="I40" s="27"/>
      <c r="J40" s="25"/>
      <c r="K40" s="28"/>
      <c r="L40" s="1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2"/>
      <c r="B41" s="13"/>
      <c r="C41" s="13"/>
      <c r="D41" s="51"/>
      <c r="E41" s="53"/>
      <c r="F41" s="13"/>
      <c r="G41" s="55"/>
      <c r="H41" s="14"/>
      <c r="I41" s="27"/>
      <c r="J41" s="32"/>
      <c r="K41" s="21"/>
      <c r="L41" s="59">
        <f>SUM(L7:L40)</f>
        <v>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2"/>
      <c r="B42" s="13"/>
      <c r="C42" s="13"/>
      <c r="D42" s="51"/>
      <c r="E42" s="53"/>
      <c r="F42" s="13"/>
      <c r="G42" s="55"/>
      <c r="H42" s="14"/>
      <c r="I42" s="27"/>
      <c r="J42" s="26"/>
      <c r="K42" s="2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5.75">
      <c r="A43" s="12"/>
      <c r="B43" s="13"/>
      <c r="C43" s="13"/>
      <c r="D43" s="51"/>
      <c r="E43" s="53"/>
      <c r="F43" s="13"/>
      <c r="G43" s="55"/>
      <c r="H43" s="14"/>
      <c r="I43" s="27"/>
      <c r="J43" s="33" t="s">
        <v>11</v>
      </c>
      <c r="K43" s="34" t="s">
        <v>12</v>
      </c>
      <c r="L43" s="57">
        <f>B51+C51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.75">
      <c r="A44" s="12"/>
      <c r="B44" s="13"/>
      <c r="C44" s="13"/>
      <c r="D44" s="51"/>
      <c r="E44" s="53"/>
      <c r="F44" s="13"/>
      <c r="G44" s="55"/>
      <c r="H44" s="14"/>
      <c r="I44" s="27"/>
      <c r="J44" s="37"/>
      <c r="K44" s="38" t="s">
        <v>13</v>
      </c>
      <c r="L44" s="5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>
      <c r="A45" s="12"/>
      <c r="B45" s="13"/>
      <c r="C45" s="13"/>
      <c r="D45" s="51"/>
      <c r="E45" s="53"/>
      <c r="F45" s="13"/>
      <c r="G45" s="55"/>
      <c r="H45" s="14"/>
      <c r="I45" s="36"/>
      <c r="J45" s="37"/>
      <c r="K45" s="38" t="s">
        <v>14</v>
      </c>
      <c r="L45" s="5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.75">
      <c r="A46" s="12"/>
      <c r="B46" s="13"/>
      <c r="C46" s="13"/>
      <c r="D46" s="51"/>
      <c r="E46" s="53"/>
      <c r="F46" s="13"/>
      <c r="G46" s="55"/>
      <c r="H46" s="14"/>
      <c r="I46" s="27"/>
      <c r="J46" s="37"/>
      <c r="K46" s="38" t="s">
        <v>15</v>
      </c>
      <c r="L46" s="3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.75">
      <c r="A47" s="46"/>
      <c r="B47" s="47"/>
      <c r="C47" s="47"/>
      <c r="D47" s="51"/>
      <c r="E47" s="53"/>
      <c r="F47" s="47"/>
      <c r="G47" s="55"/>
      <c r="H47" s="48"/>
      <c r="I47" s="27"/>
      <c r="J47" s="37"/>
      <c r="K47" s="40"/>
      <c r="L47" s="3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8">
      <c r="A48" s="12"/>
      <c r="B48" s="13"/>
      <c r="C48" s="13"/>
      <c r="D48" s="51"/>
      <c r="E48" s="53"/>
      <c r="F48" s="13"/>
      <c r="G48" s="55"/>
      <c r="H48" s="14"/>
      <c r="I48" s="27"/>
      <c r="J48" s="80" t="s">
        <v>39</v>
      </c>
      <c r="K48" s="80"/>
      <c r="L48" s="41">
        <f>L43-L46</f>
        <v>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2"/>
      <c r="B49" s="13"/>
      <c r="C49" s="13"/>
      <c r="D49" s="51"/>
      <c r="E49" s="53"/>
      <c r="F49" s="13"/>
      <c r="G49" s="55"/>
      <c r="H49" s="14"/>
      <c r="I49" s="27"/>
      <c r="J49" s="27"/>
      <c r="K49" s="27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2"/>
      <c r="B50" s="13"/>
      <c r="C50" s="13"/>
      <c r="D50" s="51"/>
      <c r="E50" s="53"/>
      <c r="F50" s="13"/>
      <c r="G50" s="55"/>
      <c r="H50" s="14"/>
      <c r="I50" s="2"/>
      <c r="J50" s="2"/>
      <c r="K50" s="2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2"/>
      <c r="B51" s="42">
        <f t="shared" ref="B51:G51" si="5">SUM(B7:B50)</f>
        <v>0</v>
      </c>
      <c r="C51" s="42">
        <f t="shared" si="5"/>
        <v>0</v>
      </c>
      <c r="D51" s="52">
        <f t="shared" si="5"/>
        <v>0</v>
      </c>
      <c r="E51" s="54">
        <f t="shared" si="5"/>
        <v>0</v>
      </c>
      <c r="F51" s="50">
        <f t="shared" si="5"/>
        <v>0</v>
      </c>
      <c r="G51" s="56">
        <f t="shared" si="5"/>
        <v>0</v>
      </c>
      <c r="H51" s="27"/>
      <c r="I51" s="2"/>
      <c r="J51" s="2"/>
      <c r="K51" s="2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2"/>
      <c r="B52" s="2"/>
      <c r="C52" s="2"/>
      <c r="D52" s="63"/>
      <c r="E52" s="2"/>
      <c r="F52" s="2"/>
      <c r="G52" s="2"/>
      <c r="H52" s="27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</sheetData>
  <mergeCells count="8">
    <mergeCell ref="G5:G6"/>
    <mergeCell ref="J48:K48"/>
    <mergeCell ref="A3:E4"/>
    <mergeCell ref="A5:A6"/>
    <mergeCell ref="B5:C5"/>
    <mergeCell ref="D5:D6"/>
    <mergeCell ref="E5:E6"/>
    <mergeCell ref="F5:F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2" sqref="B2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  <vt:lpstr>Sheet9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2024-11-07T03:12:47Z</dcterms:created>
  <dcterms:modified xsi:type="dcterms:W3CDTF">2025-12-31T10:24:44Z</dcterms:modified>
</cp:coreProperties>
</file>