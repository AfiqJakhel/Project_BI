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9210" firstSheet="2" activeTab="6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  <sheet name="Sheet10" sheetId="13" r:id="rId13"/>
  </sheets>
  <calcPr calcId="124519"/>
</workbook>
</file>

<file path=xl/calcChain.xml><?xml version="1.0" encoding="utf-8"?>
<calcChain xmlns="http://schemas.openxmlformats.org/spreadsheetml/2006/main">
  <c r="N27" i="11"/>
  <c r="N25" i="12"/>
</calcChain>
</file>

<file path=xl/sharedStrings.xml><?xml version="1.0" encoding="utf-8"?>
<sst xmlns="http://schemas.openxmlformats.org/spreadsheetml/2006/main" count="2327" uniqueCount="693">
  <si>
    <t>TGL MASUK</t>
  </si>
  <si>
    <t>NAMA BARANG</t>
  </si>
  <si>
    <t>SUPLIER</t>
  </si>
  <si>
    <t>QTY</t>
  </si>
  <si>
    <t>SAT</t>
  </si>
  <si>
    <t>HARGA/PCS/SET</t>
  </si>
  <si>
    <t>JUMLAH</t>
  </si>
  <si>
    <t>TOTAL FAKTUR</t>
  </si>
  <si>
    <t>KET</t>
  </si>
  <si>
    <t>NO</t>
  </si>
  <si>
    <t>TGL BARANG MASUK</t>
  </si>
  <si>
    <t>NAMA SALES/ SUPLIER</t>
  </si>
  <si>
    <t>JUMLAH BON</t>
  </si>
  <si>
    <t>JANUARI</t>
  </si>
  <si>
    <t>FEBRUARI</t>
  </si>
  <si>
    <t>JUNI</t>
  </si>
  <si>
    <t>MARET</t>
  </si>
  <si>
    <t>JULI</t>
  </si>
  <si>
    <t>IRWAN</t>
  </si>
  <si>
    <t>GIRO TGL 30/5/25</t>
  </si>
  <si>
    <t>6-DES</t>
  </si>
  <si>
    <t>Rp 8,205,000</t>
  </si>
  <si>
    <t>14-DES</t>
  </si>
  <si>
    <t>VICTORY GOLD</t>
  </si>
  <si>
    <t>16-DES</t>
  </si>
  <si>
    <t>25-DES</t>
  </si>
  <si>
    <t>27-DES</t>
  </si>
  <si>
    <t>KDP BRIO</t>
  </si>
  <si>
    <t>SET</t>
  </si>
  <si>
    <t>KDP X PANDER</t>
  </si>
  <si>
    <t>Rp 2,225,000</t>
  </si>
  <si>
    <t>SPOILER BRIO MERAH</t>
  </si>
  <si>
    <t>Rp 680,000</t>
  </si>
  <si>
    <t>MEI</t>
  </si>
  <si>
    <t>AGUSTUS</t>
  </si>
  <si>
    <t>SEPTEMBER</t>
  </si>
  <si>
    <t>OKTOBER</t>
  </si>
  <si>
    <t>NOVEMBER</t>
  </si>
  <si>
    <t>DESEMBER</t>
  </si>
  <si>
    <t>APRIL</t>
  </si>
  <si>
    <r>
      <t>KF CPF 1 BLACKSECURITY 60</t>
    </r>
    <r>
      <rPr>
        <strike/>
        <sz val="11"/>
        <color theme="1"/>
        <rFont val="Calibri"/>
        <family val="2"/>
        <scheme val="minor"/>
      </rPr>
      <t>%</t>
    </r>
  </si>
  <si>
    <t>JKI</t>
  </si>
  <si>
    <t>ROL</t>
  </si>
  <si>
    <t>Rp 9,990,000</t>
  </si>
  <si>
    <t>KF WB 80%</t>
  </si>
  <si>
    <t>Rp 10,500,000</t>
  </si>
  <si>
    <t>KARPET 7D WRV</t>
  </si>
  <si>
    <t>OTOPROJEC</t>
  </si>
  <si>
    <t>juni</t>
  </si>
  <si>
    <t>TA INJECTION AN HILUX</t>
  </si>
  <si>
    <t>TA CALYA</t>
  </si>
  <si>
    <t>TOWING CALYA ARB</t>
  </si>
  <si>
    <t>KARET LUMPUR CALYA</t>
  </si>
  <si>
    <t>Rp 3,770,000</t>
  </si>
  <si>
    <t>PLANG DPN PAJERO</t>
  </si>
  <si>
    <t>PLANG BELAKANG PAJERO</t>
  </si>
  <si>
    <t>PLANG DEPAN FORTUNER</t>
  </si>
  <si>
    <t>PLANG BLKG FORTUNER</t>
  </si>
  <si>
    <t>DIFUSER</t>
  </si>
  <si>
    <t>KARPET 7D FORTUNER</t>
  </si>
  <si>
    <t>Rp 1,949,250</t>
  </si>
  <si>
    <t>GIRO TGL 30/6/24</t>
  </si>
  <si>
    <t>SARUNG JOK AGYA HTM</t>
  </si>
  <si>
    <t>SARUNG JOK RUSH HTM</t>
  </si>
  <si>
    <t>SARUNG JOK AVANZA HITAM</t>
  </si>
  <si>
    <t>Rp 6,750,000</t>
  </si>
  <si>
    <t>KF ILLUSION 40%</t>
  </si>
  <si>
    <t>KF ILLUSIN 60%</t>
  </si>
  <si>
    <t>KF ILLUSIN 80%</t>
  </si>
  <si>
    <t>SARUNG STIR</t>
  </si>
  <si>
    <t>Rp 8,400,000</t>
  </si>
  <si>
    <t>WIPER 14</t>
  </si>
  <si>
    <t>WIPER 16</t>
  </si>
  <si>
    <t>WIPER 20</t>
  </si>
  <si>
    <t>WIPER 22</t>
  </si>
  <si>
    <t>KLAKSON GALAXY</t>
  </si>
  <si>
    <r>
      <t>KF 3M 80</t>
    </r>
    <r>
      <rPr>
        <strike/>
        <u/>
        <sz val="11"/>
        <color theme="1"/>
        <rFont val="Calibri"/>
        <family val="2"/>
        <scheme val="minor"/>
      </rPr>
      <t>%</t>
    </r>
  </si>
  <si>
    <t>ENGINE HOOD MOLDING PAJERO HTM</t>
  </si>
  <si>
    <t>ENGINE HOOD MOLDING FORTUNER CHROME</t>
  </si>
  <si>
    <t>TALANG AIR BRV 22</t>
  </si>
  <si>
    <t>TALANG AIR WRV 22</t>
  </si>
  <si>
    <t>TALANG AIR HRV 22</t>
  </si>
  <si>
    <t>SILPLATE SAMPING AGYA 23 GR SPORT</t>
  </si>
  <si>
    <t>SILPLATE SAMPING AGYA 23 GR NON LED</t>
  </si>
  <si>
    <t>Rp 7,340,000</t>
  </si>
  <si>
    <t>WIPER 24</t>
  </si>
  <si>
    <t>KARPET 7D FORTUNER 21</t>
  </si>
  <si>
    <t>KARPET 7D VRELOZ 22</t>
  </si>
  <si>
    <t>Rp 3,898,500</t>
  </si>
  <si>
    <t>SARUNG JOK AN INNOVA V HTM</t>
  </si>
  <si>
    <t>Rp 1,500,000</t>
  </si>
  <si>
    <t>TALANG AIR BRV'22</t>
  </si>
  <si>
    <t>TALANG AIR WRV'22</t>
  </si>
  <si>
    <t>COVER HANDLE RAIZE HTM</t>
  </si>
  <si>
    <t>SILICON KUNCI</t>
  </si>
  <si>
    <t>RELAY KLAKSON</t>
  </si>
  <si>
    <t>LOGO H</t>
  </si>
  <si>
    <t>GARNISH DPN CALYA</t>
  </si>
  <si>
    <t>SILPLATE SAMPING RUSH'18 NON LED GR</t>
  </si>
  <si>
    <t>Rp 4,235,000</t>
  </si>
  <si>
    <t>SILPLATE SAMPING INNOVA'18 NON LED GR</t>
  </si>
  <si>
    <t>TV ANDROID 9' 4+64 GB</t>
  </si>
  <si>
    <t>Rp 5,000,000</t>
  </si>
  <si>
    <t>KDP CALYA</t>
  </si>
  <si>
    <t>KDP PAJERO</t>
  </si>
  <si>
    <t>KDP INNOVA</t>
  </si>
  <si>
    <t>KDP HRV'24</t>
  </si>
  <si>
    <t>KDP BRV'24</t>
  </si>
  <si>
    <t>GARNISH BLKG CALYA'19</t>
  </si>
  <si>
    <t>Rp 175,000</t>
  </si>
  <si>
    <t>Rp 170,000</t>
  </si>
  <si>
    <t>Rp 140,000</t>
  </si>
  <si>
    <t>Rp 8,150,000</t>
  </si>
  <si>
    <t>PERMATA AUTO ACCESSORIES JKT/ORCA</t>
  </si>
  <si>
    <t>TALANG AIR HRV'22</t>
  </si>
  <si>
    <t>TALANG AIR BRIO</t>
  </si>
  <si>
    <t>Rp 1,400,000</t>
  </si>
  <si>
    <t>SARUNG JOK CALYA HTM,HTM RED,HTM CREAM</t>
  </si>
  <si>
    <t>SARUNG JOK AVANZA E HTM</t>
  </si>
  <si>
    <t>Ro 6,000,000</t>
  </si>
  <si>
    <t>GIRO TGL 31/5/25</t>
  </si>
  <si>
    <t>HILUX'22 REVO ROLLER LID</t>
  </si>
  <si>
    <t>Rp 9,500,000</t>
  </si>
  <si>
    <t>HANDLE BRV HTM'22</t>
  </si>
  <si>
    <t>OUTHER BRIO HTM</t>
  </si>
  <si>
    <t>TANK COVER HTM</t>
  </si>
  <si>
    <t>Rp 1,850,000</t>
  </si>
  <si>
    <t>Rp 1,724,250</t>
  </si>
  <si>
    <t>3-MARET</t>
  </si>
  <si>
    <r>
      <t>KF 3M 80</t>
    </r>
    <r>
      <rPr>
        <strike/>
        <sz val="11"/>
        <color theme="1"/>
        <rFont val="Calibri"/>
        <family val="2"/>
        <scheme val="minor"/>
      </rPr>
      <t>%</t>
    </r>
  </si>
  <si>
    <t>BG YAN</t>
  </si>
  <si>
    <t>SPOILER BRIO PUTIH</t>
  </si>
  <si>
    <t>LEM TB</t>
  </si>
  <si>
    <t>Rp 1,964,000</t>
  </si>
  <si>
    <t>KF WB 60%</t>
  </si>
  <si>
    <t>10-MARET</t>
  </si>
  <si>
    <t xml:space="preserve">DOOR LOCK HILUX </t>
  </si>
  <si>
    <t>OVER VENDER HILUX</t>
  </si>
  <si>
    <t>ROOLBAR HILUX</t>
  </si>
  <si>
    <t>DRL INNOVA ZENIX</t>
  </si>
  <si>
    <t>GRILL HILUX GR TYT</t>
  </si>
  <si>
    <t>KARPET MI 120X9 M HTM</t>
  </si>
  <si>
    <t>Rp 10,850,000</t>
  </si>
  <si>
    <t>Rp 12,840,000</t>
  </si>
  <si>
    <t>Rp 10,000,000</t>
  </si>
  <si>
    <t>GIRO TGL 31/7/25</t>
  </si>
  <si>
    <t>17-MARET</t>
  </si>
  <si>
    <t>KARPET 7D H CRETA</t>
  </si>
  <si>
    <t>KARPET  7D HILUX</t>
  </si>
  <si>
    <t>Rp 5,596,886</t>
  </si>
  <si>
    <t>22-MARET</t>
  </si>
  <si>
    <t xml:space="preserve">HILYX REVO'16 ROLLBAR </t>
  </si>
  <si>
    <t>Rp 4,500,000</t>
  </si>
  <si>
    <t>HILUX'16 ROLLID W/ROLBAR</t>
  </si>
  <si>
    <t>HILUX'24 GRIL GR TYT</t>
  </si>
  <si>
    <t>23-MARET</t>
  </si>
  <si>
    <t>BODY KIT BRIO CRYSTAL BLACK PEARL</t>
  </si>
  <si>
    <t>JSL</t>
  </si>
  <si>
    <t>BODY KIT BRIO TAFFETA WHITE</t>
  </si>
  <si>
    <t>BODY KIT BRIO RALLYE RED</t>
  </si>
  <si>
    <t>BODY KIT BRIO LIME</t>
  </si>
  <si>
    <t>Rp 7,500,000</t>
  </si>
  <si>
    <t>24-MARET</t>
  </si>
  <si>
    <t>25-MARET</t>
  </si>
  <si>
    <t>SUBWOFER</t>
  </si>
  <si>
    <t>KDP RUSH</t>
  </si>
  <si>
    <t>KDP BRV</t>
  </si>
  <si>
    <t>KDP AVANZA</t>
  </si>
  <si>
    <t>TANDUK OVERLAND RUSH/TERIOS</t>
  </si>
  <si>
    <t>TANDUK OVERLAND FORTUNER</t>
  </si>
  <si>
    <t>TOWING BAR PAJERO</t>
  </si>
  <si>
    <t>Rp 12,350,000</t>
  </si>
  <si>
    <t>Rp 1,550,000</t>
  </si>
  <si>
    <t>VENTE</t>
  </si>
  <si>
    <t>26-MARET</t>
  </si>
  <si>
    <t>GRIL BRIO RS</t>
  </si>
  <si>
    <t>FOG LAMP BRIO</t>
  </si>
  <si>
    <t>Rp 3,600,000</t>
  </si>
  <si>
    <t>GARNISH DPNRUSH'18 HTN</t>
  </si>
  <si>
    <t>TOWING BAR FORTUNER</t>
  </si>
  <si>
    <t>TOWING BAR RUSH/TERIOS</t>
  </si>
  <si>
    <t>OUTHER INNOVA GR HTM</t>
  </si>
  <si>
    <t>TANK COVER INNOVA HTM</t>
  </si>
  <si>
    <t>TANK COVER FORTUNER HTM</t>
  </si>
  <si>
    <t>TANK COVER CALYA HTM</t>
  </si>
  <si>
    <t>GARNISH DPN INNOVA HTM</t>
  </si>
  <si>
    <t>GARNISH BLKG INNOVA HTM</t>
  </si>
  <si>
    <t>Rp 8,105,000</t>
  </si>
  <si>
    <t>SPOILER BRIO'18 HTM</t>
  </si>
  <si>
    <t>DIFUSER BRIO'23</t>
  </si>
  <si>
    <t>TANDUK OVERLAND RUSH/TERIOS'18 GR</t>
  </si>
  <si>
    <t>KACA FILM 3M 60%</t>
  </si>
  <si>
    <t>LUNAS</t>
  </si>
  <si>
    <t>GARNISH PN AN RUSH HTM</t>
  </si>
  <si>
    <t>SILPLATE SPG BRIO'23 NON LED</t>
  </si>
  <si>
    <t>TALANG AIR BRIO'18</t>
  </si>
  <si>
    <t>S ET</t>
  </si>
  <si>
    <t xml:space="preserve">TALANG AIR PAJERO </t>
  </si>
  <si>
    <t>TOWING ARB CALYA</t>
  </si>
  <si>
    <t>OUTHER CALYA HTM</t>
  </si>
  <si>
    <t>KACA FILM 3MORI</t>
  </si>
  <si>
    <t>Rp 7,415,000</t>
  </si>
  <si>
    <t>Rp7,415,000</t>
  </si>
  <si>
    <t>SPOILER BRIO RED</t>
  </si>
  <si>
    <t>Rp 6,970,000</t>
  </si>
  <si>
    <t>TANK COVER BRIO</t>
  </si>
  <si>
    <t>SARUNG JOK HILUX DC HITAM</t>
  </si>
  <si>
    <t>RAFELLO</t>
  </si>
  <si>
    <t>Rp 1,300,000</t>
  </si>
  <si>
    <t xml:space="preserve">TV ORCA 9' </t>
  </si>
  <si>
    <t>ORCA</t>
  </si>
  <si>
    <t>Rp 3,800,000</t>
  </si>
  <si>
    <t>TF TGL 24/4/25</t>
  </si>
  <si>
    <t>SARUNG JOK MBTECHINNOVA G</t>
  </si>
  <si>
    <t>Rp 2,300,000</t>
  </si>
  <si>
    <t>BALANCE ARM PUTIH PAJERO</t>
  </si>
  <si>
    <t>Rp 2,200,000</t>
  </si>
  <si>
    <t>SILPLATE SPG BRIO'23 LED</t>
  </si>
  <si>
    <t>SARUNG JOK AVZ E HTM</t>
  </si>
  <si>
    <t>SARUNG JOK AVZ G HTM</t>
  </si>
  <si>
    <t xml:space="preserve">SARUNG JOKINNOVA V HTM </t>
  </si>
  <si>
    <t>Rp 10,600,000</t>
  </si>
  <si>
    <t>5-MEI</t>
  </si>
  <si>
    <t>SARUNG JOK MBTECHCALYA</t>
  </si>
  <si>
    <t>Rp 1,950,000</t>
  </si>
  <si>
    <t>6-MEI</t>
  </si>
  <si>
    <t>KF CPF1 BLACKSECURITY</t>
  </si>
  <si>
    <r>
      <t>KF AG 40</t>
    </r>
    <r>
      <rPr>
        <strike/>
        <sz val="11"/>
        <color theme="1"/>
        <rFont val="Calibri"/>
        <family val="2"/>
        <scheme val="minor"/>
      </rPr>
      <t>%</t>
    </r>
  </si>
  <si>
    <r>
      <t>KF AG 60</t>
    </r>
    <r>
      <rPr>
        <strike/>
        <sz val="11"/>
        <color theme="1"/>
        <rFont val="Calibri"/>
        <family val="2"/>
        <scheme val="minor"/>
      </rPr>
      <t>%</t>
    </r>
  </si>
  <si>
    <t>KF AG 80%</t>
  </si>
  <si>
    <t>KF AG PREMIUM AG 80%</t>
  </si>
  <si>
    <t>KF 3M 60%</t>
  </si>
  <si>
    <t>9-MEI</t>
  </si>
  <si>
    <t>TOA LANDUN</t>
  </si>
  <si>
    <t>Rp 4,700,000</t>
  </si>
  <si>
    <t>12-MEI</t>
  </si>
  <si>
    <t>KF 3M 40%</t>
  </si>
  <si>
    <r>
      <t>KF 3M 80</t>
    </r>
    <r>
      <rPr>
        <strike/>
        <sz val="11"/>
        <rFont val="Calibri"/>
        <family val="2"/>
        <scheme val="minor"/>
      </rPr>
      <t>%</t>
    </r>
  </si>
  <si>
    <t>Rp 2,600,000</t>
  </si>
  <si>
    <t>Rp 1,750,000</t>
  </si>
  <si>
    <t>Rp 3,000,000</t>
  </si>
  <si>
    <t>Rp[ 6,100,000</t>
  </si>
  <si>
    <t>19-MEI</t>
  </si>
  <si>
    <t>BALANCE ARM PAJERO PUTIH</t>
  </si>
  <si>
    <t>MOTOR SPION INNOVA ORI0</t>
  </si>
  <si>
    <t>KO AKHON</t>
  </si>
  <si>
    <t>KF CPF 1 STANDAR 60%</t>
  </si>
  <si>
    <t>VICTORU GOLD</t>
  </si>
  <si>
    <t>GIRO TGL 30/8/25</t>
  </si>
  <si>
    <t>GIRO TGL 30/7/25</t>
  </si>
  <si>
    <t>TF TGL 22/5/25</t>
  </si>
  <si>
    <t>Rp 3,500,000</t>
  </si>
  <si>
    <t>GIRO TGL 30/9/25</t>
  </si>
  <si>
    <t>23-MEI</t>
  </si>
  <si>
    <t>TANDUK OVERLAND PAJERO'16</t>
  </si>
  <si>
    <t>TOWING BAR PAJERO'16</t>
  </si>
  <si>
    <t>27-MEI</t>
  </si>
  <si>
    <t>SARUNG JOK MBTECH AVANZA G</t>
  </si>
  <si>
    <t xml:space="preserve">SARUNG JOK RUSH </t>
  </si>
  <si>
    <t>Rp 4,800,000</t>
  </si>
  <si>
    <t>TF TGL 28/5/25</t>
  </si>
  <si>
    <t>Rp 63,080,000</t>
  </si>
  <si>
    <t>Rp 49,161,886</t>
  </si>
  <si>
    <t>WINCOS</t>
  </si>
  <si>
    <t>6-JUNI</t>
  </si>
  <si>
    <t>TV ANDROID 10' 4+64 GB</t>
  </si>
  <si>
    <t>TV ANDROID9' 4+64 GB</t>
  </si>
  <si>
    <t>Rp 7,250,000</t>
  </si>
  <si>
    <t>5-JUNI</t>
  </si>
  <si>
    <t>ORCA/YUSUF</t>
  </si>
  <si>
    <t>9-JUNI</t>
  </si>
  <si>
    <t>KARPET MI 2B H GREY</t>
  </si>
  <si>
    <t>MR.BOS</t>
  </si>
  <si>
    <t>KARPET MI 3B H GREY</t>
  </si>
  <si>
    <t>Rp 4,475,000</t>
  </si>
  <si>
    <t>PLANG BLKG PAJERO</t>
  </si>
  <si>
    <t>Rp 5,200,000</t>
  </si>
  <si>
    <t>11-JUNI</t>
  </si>
  <si>
    <t>OUTHER AVANZA'22 HTM</t>
  </si>
  <si>
    <t xml:space="preserve">TALANG AIR CALYA </t>
  </si>
  <si>
    <t>HANDLE AN AVANZA HTM</t>
  </si>
  <si>
    <t>ANTENA SIRIP HIU HTM POLOS</t>
  </si>
  <si>
    <t>ANTENA SIRIP HIU PUTIH</t>
  </si>
  <si>
    <t>TURBO TIMER INNOA'16</t>
  </si>
  <si>
    <t>Rp 3,300,000</t>
  </si>
  <si>
    <t>KARPET MI 2B HITAM</t>
  </si>
  <si>
    <t>KARPET MI 3B HITAM</t>
  </si>
  <si>
    <t>Rp 3,955,000</t>
  </si>
  <si>
    <t>13-JUNI</t>
  </si>
  <si>
    <t>Rp 820,000</t>
  </si>
  <si>
    <t xml:space="preserve">CROSSBAR </t>
  </si>
  <si>
    <t>CROSSBAR UNIVERSAL</t>
  </si>
  <si>
    <t>GRIL HILUX RANGGA</t>
  </si>
  <si>
    <t>FENDER RANGGA</t>
  </si>
  <si>
    <t>SILPLATE SAMPING RANGGA</t>
  </si>
  <si>
    <t>Rp 7,950,000</t>
  </si>
  <si>
    <t>17-JUNI</t>
  </si>
  <si>
    <t xml:space="preserve">SARUNG JOK CALYA </t>
  </si>
  <si>
    <t>Rp 5,325,000</t>
  </si>
  <si>
    <t>TF TGL 19/6/25</t>
  </si>
  <si>
    <t>18-JUNI</t>
  </si>
  <si>
    <t>GARNISH LAMPU BLKG RUSH</t>
  </si>
  <si>
    <t>LEM 3M</t>
  </si>
  <si>
    <t>DIPULANGKAN</t>
  </si>
  <si>
    <t>Rp 775,000</t>
  </si>
  <si>
    <t>18-juni</t>
  </si>
  <si>
    <t>TF TGL 24/6/25</t>
  </si>
  <si>
    <t>24-JUNI</t>
  </si>
  <si>
    <t>26-JUNI</t>
  </si>
  <si>
    <t>KARPET 7D LUXELINER</t>
  </si>
  <si>
    <t>HANDLE INNOVA HTM</t>
  </si>
  <si>
    <t>KLAKSON PIA</t>
  </si>
  <si>
    <t>SILPLATESAMPING INNOVA LED</t>
  </si>
  <si>
    <t>SILPLATESAMPING RAIZE  NON LED</t>
  </si>
  <si>
    <t>PLANG BLKG RUSH</t>
  </si>
  <si>
    <t>PLANG DEPAN RUSH OVERLAND</t>
  </si>
  <si>
    <t>GARNISH DPN BRIO HTM</t>
  </si>
  <si>
    <t>GARNISH BLKG BRIO HTM</t>
  </si>
  <si>
    <t>HANDLE BRIO HTM</t>
  </si>
  <si>
    <t>TUTUP TENKI BRIO</t>
  </si>
  <si>
    <t>TALANG AIR HILUX DC INJECTION</t>
  </si>
  <si>
    <t>24-juni</t>
  </si>
  <si>
    <t>Rp 12,675,000</t>
  </si>
  <si>
    <t>Rp 2,324,250</t>
  </si>
  <si>
    <t>28-JUNI</t>
  </si>
  <si>
    <t>OVER FENDER HILUX</t>
  </si>
  <si>
    <t>KAMERA</t>
  </si>
  <si>
    <t>Rp 2,080,000</t>
  </si>
  <si>
    <t>TANDUK OVERALND FORTUNER GR</t>
  </si>
  <si>
    <t>Rp 3,200,000</t>
  </si>
  <si>
    <t>Rp 54,187,750</t>
  </si>
  <si>
    <t>GIRO TGL 31/10/25</t>
  </si>
  <si>
    <t>TF TGL 4/7/25</t>
  </si>
  <si>
    <t>TF TGL 7/7/25</t>
  </si>
  <si>
    <t>7-JULI</t>
  </si>
  <si>
    <t>KF CPF 1 BLACK SECURITY 60%</t>
  </si>
  <si>
    <t>RAK BAGASI</t>
  </si>
  <si>
    <t>Rp 1,800,000</t>
  </si>
  <si>
    <t>HILUX ROLLER LID</t>
  </si>
  <si>
    <t>HILUX REVO ROOLBAR</t>
  </si>
  <si>
    <t>10-JULI</t>
  </si>
  <si>
    <t>PLANG BELAKANG FORTUNER</t>
  </si>
  <si>
    <t>Rp 2,400,000</t>
  </si>
  <si>
    <t>JANUARI 2026</t>
  </si>
  <si>
    <t>FEBRUARI 2026</t>
  </si>
  <si>
    <t>MARET 2026</t>
  </si>
  <si>
    <t>12-JULI</t>
  </si>
  <si>
    <t>ROOF RAIL X PANDER</t>
  </si>
  <si>
    <t>Rp 1,805.230</t>
  </si>
  <si>
    <t>14-JULI</t>
  </si>
  <si>
    <t>OVER FENDER HILUX'20</t>
  </si>
  <si>
    <t>16-JULI</t>
  </si>
  <si>
    <t>GARNISH DPN CALYA HTM</t>
  </si>
  <si>
    <t>GARNISH BLKG CALYA HTM</t>
  </si>
  <si>
    <t>GARNISH DPN AGYA'23 HTM</t>
  </si>
  <si>
    <t>GARNISH BLKG AGYA HTM</t>
  </si>
  <si>
    <t>DOBLETIPE 3M</t>
  </si>
  <si>
    <t>SILPLATE SAMPIING RAIZE CARBON</t>
  </si>
  <si>
    <t>SILPLATE SAMPIING AVANZA'22</t>
  </si>
  <si>
    <t>Rp 4,220,000</t>
  </si>
  <si>
    <t>18-JULI</t>
  </si>
  <si>
    <t>HILUX ROLL BAR</t>
  </si>
  <si>
    <t>HILUX REVO ROLLER LED</t>
  </si>
  <si>
    <t>Rp 6,500,000</t>
  </si>
  <si>
    <t>18-juli</t>
  </si>
  <si>
    <t>Rp 1,650,000</t>
  </si>
  <si>
    <t>22-JULI</t>
  </si>
  <si>
    <t>HILUX'22 GR FENDER</t>
  </si>
  <si>
    <t>24-JULI</t>
  </si>
  <si>
    <t>KF NITRO 60%</t>
  </si>
  <si>
    <t>1-JULI</t>
  </si>
  <si>
    <t>Rp 60,900,000</t>
  </si>
  <si>
    <t>26-JULI</t>
  </si>
  <si>
    <t>COVER HANDLE HRV'22 HTM</t>
  </si>
  <si>
    <t>GARNISH DPN BRIO'22 HTM</t>
  </si>
  <si>
    <t>GARNISH BLKG BRIO'22 HTM</t>
  </si>
  <si>
    <t>Rp 1,410,000</t>
  </si>
  <si>
    <t>29-JULI</t>
  </si>
  <si>
    <t>SARUNG JOK MBTECH INNOVA</t>
  </si>
  <si>
    <t>OUTHER INNOVA'18 HTM</t>
  </si>
  <si>
    <t>Rp 4,725,000</t>
  </si>
  <si>
    <t>27-JULI</t>
  </si>
  <si>
    <t>DIFUSER BRIO</t>
  </si>
  <si>
    <t>Rp 3,493,000</t>
  </si>
  <si>
    <t>TF TGL 31/7/25</t>
  </si>
  <si>
    <t>GIRO TGL 30/11/25</t>
  </si>
  <si>
    <t>1-AGUSTUS</t>
  </si>
  <si>
    <t>RETRAC SPION LIPAT</t>
  </si>
  <si>
    <t>Rp 375.000</t>
  </si>
  <si>
    <t>4-AGUSTUS</t>
  </si>
  <si>
    <t>TALANG AIR CRETA</t>
  </si>
  <si>
    <t>Rp 2,050,000</t>
  </si>
  <si>
    <t>5-AGUSTUS</t>
  </si>
  <si>
    <t>ROLLBAR HAMMER HILUX</t>
  </si>
  <si>
    <t>KAMERA MUNDUR</t>
  </si>
  <si>
    <t>TITIP</t>
  </si>
  <si>
    <t>9-AGUSTUS</t>
  </si>
  <si>
    <t>KF CPF 1 BLACKSECURITY</t>
  </si>
  <si>
    <r>
      <t>KF MADICO 60</t>
    </r>
    <r>
      <rPr>
        <strike/>
        <sz val="11"/>
        <color theme="1"/>
        <rFont val="Calibri"/>
        <family val="2"/>
        <scheme val="minor"/>
      </rPr>
      <t>%</t>
    </r>
  </si>
  <si>
    <t>KF MADICO 80%</t>
  </si>
  <si>
    <t>Rp 21,000,000</t>
  </si>
  <si>
    <t>WINCOS/MADICO</t>
  </si>
  <si>
    <t>SEP,OKT</t>
  </si>
  <si>
    <t>SARUNG JOK CALYA HTM</t>
  </si>
  <si>
    <t>KDP CRETA</t>
  </si>
  <si>
    <t>KDP HILUX</t>
  </si>
  <si>
    <t>SARUNG JO MBTECH AVANZA</t>
  </si>
  <si>
    <t>KDP AN BRIO HTM</t>
  </si>
  <si>
    <t>KDP AGYA</t>
  </si>
  <si>
    <t>Ro 12,650,000</t>
  </si>
  <si>
    <t>11-AGUSTUS</t>
  </si>
  <si>
    <t>CROSBAR UNIVERSAL</t>
  </si>
  <si>
    <t>Rp 1,350,000</t>
  </si>
  <si>
    <t>TV ANDROID VENTE 9' 4/64</t>
  </si>
  <si>
    <t>14-AGUSTUS</t>
  </si>
  <si>
    <t>Rp 838,600</t>
  </si>
  <si>
    <t>TUTUP BAN SERAP FORTUNER</t>
  </si>
  <si>
    <t>TUTUP BAN SERAP PAJERO</t>
  </si>
  <si>
    <t>Rp 839,900</t>
  </si>
  <si>
    <t>15-AGUSTUS</t>
  </si>
  <si>
    <t>KARPET 7D INNOVA</t>
  </si>
  <si>
    <t>KARPET 7D HILUX</t>
  </si>
  <si>
    <t>Rp 3,748,500</t>
  </si>
  <si>
    <t>16-AGUSTUS</t>
  </si>
  <si>
    <t>KF WINCOS 80%</t>
  </si>
  <si>
    <t>ERIK</t>
  </si>
  <si>
    <t>Rp 12,000,000</t>
  </si>
  <si>
    <t>KF BLACK SECURITY 40%</t>
  </si>
  <si>
    <t>FEBRUARY</t>
  </si>
  <si>
    <t>COVER BAN FORTUNER</t>
  </si>
  <si>
    <t xml:space="preserve">HANDLE AGYA </t>
  </si>
  <si>
    <t>OUTHERAGYA</t>
  </si>
  <si>
    <t>TANK COVERAGYA</t>
  </si>
  <si>
    <t>Rp 2,875,000</t>
  </si>
  <si>
    <t>18-AGUSTUS</t>
  </si>
  <si>
    <t>KF 3M 80%</t>
  </si>
  <si>
    <t>22-AGUSTUS</t>
  </si>
  <si>
    <t>COVER BANINNOVA REBON</t>
  </si>
  <si>
    <t>DOUBLE TIP 3M MERAH 10MM X5M</t>
  </si>
  <si>
    <t>RP 2,735,000</t>
  </si>
  <si>
    <t>26-AGUSTUS</t>
  </si>
  <si>
    <t>TALANG AIR L300</t>
  </si>
  <si>
    <t>TALANG AIR PAJERO INJECTION</t>
  </si>
  <si>
    <t>TALANG AIR RANGGA INJECTION</t>
  </si>
  <si>
    <t>TALANG AIR HILUX DC</t>
  </si>
  <si>
    <t>PALANG BLKG MCC FORTUNER</t>
  </si>
  <si>
    <t>Rp 5,675,000</t>
  </si>
  <si>
    <t>25-AGUSTUS</t>
  </si>
  <si>
    <t>NI RAM</t>
  </si>
  <si>
    <t>Rp58,933,230</t>
  </si>
  <si>
    <t>25-OKTOBER</t>
  </si>
  <si>
    <t>29-AGUSTUS</t>
  </si>
  <si>
    <t>28-AGUSTUS</t>
  </si>
  <si>
    <t>TF TGL 31/8/25</t>
  </si>
  <si>
    <t>Rp 1,600,000</t>
  </si>
  <si>
    <t>Rp 66,807,500</t>
  </si>
  <si>
    <t>HANDLE HILUX'16</t>
  </si>
  <si>
    <t>LEM 3M 8X30</t>
  </si>
  <si>
    <t>LEM 3M 10X5</t>
  </si>
  <si>
    <t>Rp 1,507,500</t>
  </si>
  <si>
    <t>TALANG AIR GRAND MAX</t>
  </si>
  <si>
    <t>MR.BOSS</t>
  </si>
  <si>
    <t>Rp 325,000</t>
  </si>
  <si>
    <t>KF APEF 40%</t>
  </si>
  <si>
    <t>Rp 750,000</t>
  </si>
  <si>
    <t>TURBO TIMER</t>
  </si>
  <si>
    <t>HERMAN</t>
  </si>
  <si>
    <t>TOWING INNOVA'16</t>
  </si>
  <si>
    <t>TOWING VELOZ'22</t>
  </si>
  <si>
    <t>SPOILER CALYA GR HTM</t>
  </si>
  <si>
    <t>TOWING BAR FORTUNER'16</t>
  </si>
  <si>
    <t>TANDUK OVERLAND FORTUNER'18</t>
  </si>
  <si>
    <t>Rp 3,505,000</t>
  </si>
  <si>
    <t>FOOTSTEP INNOVA</t>
  </si>
  <si>
    <t>Rp 2,500,000</t>
  </si>
  <si>
    <t>FENDER HILUX'16</t>
  </si>
  <si>
    <t>VENDER PAJERO'21</t>
  </si>
  <si>
    <t>FOG LAMP[ PREDATOR</t>
  </si>
  <si>
    <t>YUSUF</t>
  </si>
  <si>
    <t>Rp 3,400,000</t>
  </si>
  <si>
    <t>BRACKET PLAT UNIVERSAL</t>
  </si>
  <si>
    <t>Rp 120,000</t>
  </si>
  <si>
    <t>TANDUK OVERLAND PAJERO'18</t>
  </si>
  <si>
    <t>GARNISH DPN HRV'22 HTM</t>
  </si>
  <si>
    <t>GARNISH BLKG HRV'22 HTM</t>
  </si>
  <si>
    <t>OUTHER PAJERO HTN</t>
  </si>
  <si>
    <t>TANK COVER BRV HTM</t>
  </si>
  <si>
    <t>TANK COVER HILUX'22</t>
  </si>
  <si>
    <t>Rp 8,545,000</t>
  </si>
  <si>
    <t>KARPET MI 3 BARIS HITAM</t>
  </si>
  <si>
    <t>Rp 1,560,000</t>
  </si>
  <si>
    <t>BODy MOLDING RANGGA</t>
  </si>
  <si>
    <t>KARPET 7D INNOVA'21</t>
  </si>
  <si>
    <t>Rp 4,198,500</t>
  </si>
  <si>
    <t>GARNISH DPN INNOVA'16 HTM</t>
  </si>
  <si>
    <t>GARNISH BLKG INNOVA'16 HTM</t>
  </si>
  <si>
    <t>SILPLATE SAMPING PAJERO'16</t>
  </si>
  <si>
    <t>SILPLATE SAMPING PAJERO'16 KOMB PLASTIK</t>
  </si>
  <si>
    <t>Rp 2,250,000</t>
  </si>
  <si>
    <t>KDP DESTINATOR HTM</t>
  </si>
  <si>
    <t>SILPLATE SAMPING PAJERO LED</t>
  </si>
  <si>
    <t>SARUNG JOK INNOVA G HTM</t>
  </si>
  <si>
    <t>SARUNG JOK G NEW AVANZA HTM</t>
  </si>
  <si>
    <t>TF TGL 25/5/25</t>
  </si>
  <si>
    <t>KDP N INNOVA</t>
  </si>
  <si>
    <t>TALANG AIR DESTINATOR</t>
  </si>
  <si>
    <t>Rp 3,050,000</t>
  </si>
  <si>
    <t>1-OKT</t>
  </si>
  <si>
    <t>TANDUK OVERLAND FORTUNER'16 GR</t>
  </si>
  <si>
    <t>PCS</t>
  </si>
  <si>
    <t>COVER SPION AN PAJERO HITAM</t>
  </si>
  <si>
    <t>TOWING ARB RUSGH'18</t>
  </si>
  <si>
    <t>Rp 5,100,000</t>
  </si>
  <si>
    <t>2-OKT</t>
  </si>
  <si>
    <t>PLANG DPN CALYA RHINO'23</t>
  </si>
  <si>
    <t>PEGASUS</t>
  </si>
  <si>
    <t>PLANG BLKG CALYA RHINO</t>
  </si>
  <si>
    <t>2=OKT</t>
  </si>
  <si>
    <t>7-OKT</t>
  </si>
  <si>
    <t>CALY'A'23 BUMPER DPN ARMOR</t>
  </si>
  <si>
    <t>Rp 900,000</t>
  </si>
  <si>
    <t>13-OKT</t>
  </si>
  <si>
    <t>COVER BAN SERAP PAJERO</t>
  </si>
  <si>
    <t>Rp 1,675,800</t>
  </si>
  <si>
    <t>KARPET 7D INNOVA HTM</t>
  </si>
  <si>
    <t>Rp 4,198,5100</t>
  </si>
  <si>
    <t>17-OKT</t>
  </si>
  <si>
    <t>KF 3M</t>
  </si>
  <si>
    <t>HANDLE INNOVA  HITAM</t>
  </si>
  <si>
    <t>OUTHER INNOVA HTM</t>
  </si>
  <si>
    <t>SPOILER AGYA'23 HTM</t>
  </si>
  <si>
    <t>ALARM</t>
  </si>
  <si>
    <t>SILPLATE SAMPING FORTUNER LAMPU</t>
  </si>
  <si>
    <t>SILPLATE SAMPING FORTUNER NON LED</t>
  </si>
  <si>
    <t>SILPLATE SAMPING AGYA</t>
  </si>
  <si>
    <t>Rp 7,700,000</t>
  </si>
  <si>
    <t>TF TGL 21/10/25</t>
  </si>
  <si>
    <t>Rp 6,382,500</t>
  </si>
  <si>
    <t>Rp 2,220,000</t>
  </si>
  <si>
    <t>TF TGL 23/10/25</t>
  </si>
  <si>
    <t>TF TGL 29/10/25</t>
  </si>
  <si>
    <t>Rp 58,998,500    / di;luar vente</t>
  </si>
  <si>
    <t>25-OKT</t>
  </si>
  <si>
    <t>SARUNG JOK AN PAJERO</t>
  </si>
  <si>
    <t>27-OKT</t>
  </si>
  <si>
    <t>BALANCE ARM</t>
  </si>
  <si>
    <t>28-OKT</t>
  </si>
  <si>
    <t>KARPET MI 2B HTM</t>
  </si>
  <si>
    <t>KARPET MI 3B HTM</t>
  </si>
  <si>
    <t>Ro 7,390,000</t>
  </si>
  <si>
    <t>BUMPER BLKG AN HILUX REVO</t>
  </si>
  <si>
    <t>29-OKT</t>
  </si>
  <si>
    <t>Rp 3,750,000</t>
  </si>
  <si>
    <t>TALANG AIR  INJECTION AN HILUX</t>
  </si>
  <si>
    <r>
      <t>KF 3M 60</t>
    </r>
    <r>
      <rPr>
        <strike/>
        <sz val="11"/>
        <rFont val="Calibri"/>
        <family val="2"/>
        <scheme val="minor"/>
      </rPr>
      <t>%</t>
    </r>
  </si>
  <si>
    <t>SILPLATE SAMPING INNOVA'16 LED</t>
  </si>
  <si>
    <t>SILPLATE SAMPING INNOVA NON LED</t>
  </si>
  <si>
    <t>SILPLATESAMPING AGYA '23 GR NON LED</t>
  </si>
  <si>
    <t>TALANG AIR INJECTION AN PAJERO</t>
  </si>
  <si>
    <t>TALANG AIR INJECTION HRV'22</t>
  </si>
  <si>
    <t>TALANG AIR INJECTION HILUX RANGGA</t>
  </si>
  <si>
    <t>DOUBLE TIP 20M</t>
  </si>
  <si>
    <t>DOUBLE TIP 10MM</t>
  </si>
  <si>
    <t>Rp 6,805,000</t>
  </si>
  <si>
    <t>PLAT NO</t>
  </si>
  <si>
    <t>TANK COVER PAJERO HTM</t>
  </si>
  <si>
    <t>TALANG AIR CANTER</t>
  </si>
  <si>
    <t xml:space="preserve">ROLLED LID AN HILUX </t>
  </si>
  <si>
    <t>Rp 12,295,000</t>
  </si>
  <si>
    <t>31-OKT</t>
  </si>
  <si>
    <t>KARPET 7D PAJERO</t>
  </si>
  <si>
    <t>SILPLATE SAMPING FORTUNER LED</t>
  </si>
  <si>
    <t>GRILL HILUX ROCCO</t>
  </si>
  <si>
    <t>TANK COVER AGYA'23</t>
  </si>
  <si>
    <t>OUTHER AGYS'23</t>
  </si>
  <si>
    <t>TANK COVER FORTUNER</t>
  </si>
  <si>
    <t>HANDLE AN RUSH HTM</t>
  </si>
  <si>
    <t>TANK COVER RUSH HTM</t>
  </si>
  <si>
    <t>OUTHER RUSH HTM</t>
  </si>
  <si>
    <t>Rp 4,955,000</t>
  </si>
  <si>
    <t xml:space="preserve">KDP HRV </t>
  </si>
  <si>
    <t>TOWING BAR  PAJERO</t>
  </si>
  <si>
    <t>COVER HANDLE  BRIO      HTM</t>
  </si>
  <si>
    <t>SPOILER BRIO LIME</t>
  </si>
  <si>
    <t>SPOILER BRIO HTM</t>
  </si>
  <si>
    <t>Rp 9,455,000</t>
  </si>
  <si>
    <t xml:space="preserve"> </t>
  </si>
  <si>
    <t>BRECKET HONDA</t>
  </si>
  <si>
    <t>Rp 110,000</t>
  </si>
  <si>
    <t>KDP HRV</t>
  </si>
  <si>
    <t>Rp 875,000</t>
  </si>
  <si>
    <t>2-okt</t>
  </si>
  <si>
    <t>GIRO TGL 31/12/25</t>
  </si>
  <si>
    <t>GIRO TGL  31/1/26</t>
  </si>
  <si>
    <t>GIRO TGL  28/2/25</t>
  </si>
  <si>
    <t>GIRO TGL 28/2/25</t>
  </si>
  <si>
    <t>GIRO TGL 31/3/26</t>
  </si>
  <si>
    <t>TDK DIAMBIL</t>
  </si>
  <si>
    <r>
      <t xml:space="preserve">KF AG 40 </t>
    </r>
    <r>
      <rPr>
        <strike/>
        <sz val="11"/>
        <color theme="1"/>
        <rFont val="Calibri"/>
        <family val="2"/>
        <scheme val="minor"/>
      </rPr>
      <t>%</t>
    </r>
  </si>
  <si>
    <t>KF AC 60%</t>
  </si>
  <si>
    <t>Rp 4,440,000</t>
  </si>
  <si>
    <t>jki</t>
  </si>
  <si>
    <t>KDP RAIZE</t>
  </si>
  <si>
    <t>KDP WRV</t>
  </si>
  <si>
    <t>KDP MOBILIO</t>
  </si>
  <si>
    <t>TF TGL 18/11/25</t>
  </si>
  <si>
    <t>RETRACTABLE BRIO'20</t>
  </si>
  <si>
    <t>DOOR LOCK HILUX  REVO</t>
  </si>
  <si>
    <t>Rp 2,650,000</t>
  </si>
  <si>
    <t>TF TGL 22/11/25</t>
  </si>
  <si>
    <t>Rp 2,900,000</t>
  </si>
  <si>
    <t>KARPET 7D PAJERO'2016</t>
  </si>
  <si>
    <t>Rp 2,099,250</t>
  </si>
  <si>
    <t>KARPET 7D DESTINATOR</t>
  </si>
  <si>
    <t>ROOL BAR HILUX</t>
  </si>
  <si>
    <t>Rp 7,000,000</t>
  </si>
  <si>
    <t>Rp 69,193,550</t>
  </si>
  <si>
    <t>Rp 68,057,750</t>
  </si>
  <si>
    <t>.</t>
  </si>
  <si>
    <t>2-DES</t>
  </si>
  <si>
    <t>2-DESE</t>
  </si>
  <si>
    <t xml:space="preserve">HANDLE DESTINATOR </t>
  </si>
  <si>
    <t>TANK COVER DESTINATOR</t>
  </si>
  <si>
    <t>SILPLATE SAMPING DESTINATOR TIPE S</t>
  </si>
  <si>
    <t>SILPLATE SAMPING DESTINATOR TIPE SLP</t>
  </si>
  <si>
    <t>TA HILUX</t>
  </si>
  <si>
    <t>Rp 1,860,000</t>
  </si>
  <si>
    <t>3-DES</t>
  </si>
  <si>
    <t>8-DES</t>
  </si>
  <si>
    <t>OUTHER DESTINATOR HTM</t>
  </si>
  <si>
    <t>EMBLEM KAP MESIN DESTINATOR</t>
  </si>
  <si>
    <t>Rp 1,92,0,000</t>
  </si>
  <si>
    <t>ROLLER LED HILUX REVO</t>
  </si>
  <si>
    <t>Rp 11,000,000</t>
  </si>
  <si>
    <t>9-DES</t>
  </si>
  <si>
    <t>7-AGUSTUS</t>
  </si>
  <si>
    <t>10-DES</t>
  </si>
  <si>
    <t>ANTENA SIRIP HIU HITAM</t>
  </si>
  <si>
    <t>TURBO TIMER FORTUNER'21</t>
  </si>
  <si>
    <t>Rp 1,525,000</t>
  </si>
  <si>
    <t>11-DES</t>
  </si>
  <si>
    <t>OVER FENDER HILUX GR</t>
  </si>
  <si>
    <t>13-DES</t>
  </si>
  <si>
    <t>GARNISH DPN PAJERO '21 BAWAH HITAM</t>
  </si>
  <si>
    <t>GARNISH DPN PAJERO '21 ATAS HITAM</t>
  </si>
  <si>
    <t>HANDLE PAJERO'21 HTM</t>
  </si>
  <si>
    <t>OUTHER PAJERO'16 HTM</t>
  </si>
  <si>
    <t>GARNIH BLKG PAJERO;21 HTM</t>
  </si>
  <si>
    <t>Rp 3,125,000</t>
  </si>
  <si>
    <t>KF AG 40</t>
  </si>
  <si>
    <t>KF AG 60</t>
  </si>
  <si>
    <t>KF AG 0</t>
  </si>
  <si>
    <t>18-DES</t>
  </si>
  <si>
    <t>Rp 5,600,000</t>
  </si>
  <si>
    <t>TOWING DPN RUSH ARB</t>
  </si>
  <si>
    <t>TOWING BLKG FULL BODY PAJERO ARB</t>
  </si>
  <si>
    <t>TOWING DPN CALYA ARB</t>
  </si>
  <si>
    <t>Rp 3,220,000</t>
  </si>
  <si>
    <t>TF TGL 20/12/25</t>
  </si>
  <si>
    <t>TF TGL 20/22/25</t>
  </si>
  <si>
    <t>TF TGL 20/12/22</t>
  </si>
  <si>
    <t>22-DES</t>
  </si>
  <si>
    <t>TALANG AIR BYD ATTO 1</t>
  </si>
  <si>
    <t>Rp 2,000,000</t>
  </si>
  <si>
    <t>20-DES</t>
  </si>
  <si>
    <t>OVER FENDER HILUX GR SC</t>
  </si>
  <si>
    <t>Rp 1,100,000</t>
  </si>
  <si>
    <t>KF CPF 1 BLACK SECURITY 60</t>
  </si>
  <si>
    <t>TF TGL 24/12/25</t>
  </si>
  <si>
    <t>SARUNG JOK INNOVA ZENIX MBTECH</t>
  </si>
  <si>
    <t>Rp 8,700,000</t>
  </si>
  <si>
    <t>TF TGL 29/12/25</t>
  </si>
  <si>
    <t>29-DES</t>
  </si>
  <si>
    <t>ANDROID DYNAMN 9' RAM 4</t>
  </si>
  <si>
    <t>SARUNG JOK AN HILUX 2025 HITAM</t>
  </si>
  <si>
    <t>Rp 8,600,000</t>
  </si>
  <si>
    <t>30-SES</t>
  </si>
  <si>
    <t>SARUNG JOK HILUX DC HTM</t>
  </si>
  <si>
    <t>30-DES</t>
  </si>
  <si>
    <t>SARUNG JOK YARIS CROSS SERAT CAMAROO</t>
  </si>
  <si>
    <t>SARUNG JOK RAIZE SERAT CAMARO</t>
  </si>
  <si>
    <t>24-DES</t>
  </si>
  <si>
    <t>mei</t>
  </si>
  <si>
    <t>TF TGL 27/1/26</t>
  </si>
  <si>
    <t>MR BOSS</t>
  </si>
  <si>
    <t>TF TGL 13/2/26</t>
  </si>
  <si>
    <t>Rp 72,724,000</t>
  </si>
  <si>
    <t>TF TGL 12/11/25</t>
  </si>
  <si>
    <t>GIRO TGL 30/4/26</t>
  </si>
  <si>
    <t>TF TGL 23/2/26</t>
  </si>
  <si>
    <t>TF TGL 26/2/23</t>
  </si>
  <si>
    <t>TF TGL 26/2/26</t>
  </si>
  <si>
    <t>TF TGL 5/3/26</t>
  </si>
</sst>
</file>

<file path=xl/styles.xml><?xml version="1.0" encoding="utf-8"?>
<styleSheet xmlns="http://schemas.openxmlformats.org/spreadsheetml/2006/main">
  <numFmts count="3">
    <numFmt numFmtId="164" formatCode="_-&quot;£&quot;* #,##0_-;\-&quot;£&quot;* #,##0_-;_-&quot;£&quot;* &quot;-&quot;_-;_-@_-"/>
    <numFmt numFmtId="165" formatCode="_(&quot;Rp&quot;* #,##0_);_(&quot;Rp&quot;* \(#,##0\);_(&quot;Rp&quot;* &quot;-&quot;_);_(@_)"/>
    <numFmt numFmtId="166" formatCode="_-[$Rp-421]* #,##0_ ;_-[$Rp-421]* \-#,##0\ ;_-[$Rp-421]* &quot;-&quot;_ ;_-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trike/>
      <u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166" fontId="0" fillId="0" borderId="1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16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/>
    <xf numFmtId="1" fontId="2" fillId="2" borderId="1" xfId="0" quotePrefix="1" applyNumberFormat="1" applyFont="1" applyFill="1" applyBorder="1" applyAlignment="1">
      <alignment vertical="center"/>
    </xf>
    <xf numFmtId="1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/>
    <xf numFmtId="0" fontId="2" fillId="0" borderId="0" xfId="0" applyFont="1" applyAlignment="1"/>
    <xf numFmtId="1" fontId="2" fillId="0" borderId="1" xfId="0" quotePrefix="1" applyNumberFormat="1" applyFont="1" applyBorder="1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/>
    <xf numFmtId="0" fontId="2" fillId="0" borderId="1" xfId="0" applyFont="1" applyBorder="1"/>
    <xf numFmtId="166" fontId="2" fillId="0" borderId="1" xfId="0" applyNumberFormat="1" applyFont="1" applyFill="1" applyBorder="1"/>
    <xf numFmtId="0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/>
    <xf numFmtId="16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2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16" fontId="2" fillId="0" borderId="2" xfId="0" applyNumberFormat="1" applyFont="1" applyBorder="1"/>
    <xf numFmtId="0" fontId="0" fillId="2" borderId="1" xfId="0" applyFill="1" applyBorder="1"/>
    <xf numFmtId="166" fontId="0" fillId="0" borderId="2" xfId="0" applyNumberFormat="1" applyBorder="1"/>
    <xf numFmtId="166" fontId="0" fillId="0" borderId="3" xfId="0" applyNumberFormat="1" applyBorder="1" applyAlignment="1">
      <alignment vertical="center"/>
    </xf>
    <xf numFmtId="166" fontId="0" fillId="0" borderId="6" xfId="0" applyNumberFormat="1" applyBorder="1" applyAlignment="1">
      <alignment vertical="center"/>
    </xf>
    <xf numFmtId="165" fontId="0" fillId="0" borderId="4" xfId="1" applyNumberFormat="1" applyFont="1" applyBorder="1" applyAlignment="1">
      <alignment horizontal="center" vertical="center" wrapText="1"/>
    </xf>
    <xf numFmtId="166" fontId="0" fillId="0" borderId="5" xfId="0" applyNumberFormat="1" applyBorder="1" applyAlignment="1">
      <alignment vertical="center"/>
    </xf>
    <xf numFmtId="1" fontId="2" fillId="3" borderId="1" xfId="0" quotePrefix="1" applyNumberFormat="1" applyFont="1" applyFill="1" applyBorder="1" applyAlignment="1">
      <alignment vertical="center"/>
    </xf>
    <xf numFmtId="16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/>
    <xf numFmtId="0" fontId="2" fillId="3" borderId="1" xfId="0" applyFont="1" applyFill="1" applyBorder="1" applyAlignment="1">
      <alignment horizontal="right"/>
    </xf>
    <xf numFmtId="166" fontId="0" fillId="0" borderId="7" xfId="0" applyNumberFormat="1" applyBorder="1" applyAlignment="1">
      <alignment vertical="center"/>
    </xf>
    <xf numFmtId="166" fontId="0" fillId="0" borderId="9" xfId="0" applyNumberFormat="1" applyBorder="1" applyAlignment="1">
      <alignment vertical="center"/>
    </xf>
    <xf numFmtId="166" fontId="0" fillId="2" borderId="7" xfId="0" applyNumberFormat="1" applyFill="1" applyBorder="1" applyAlignment="1">
      <alignment vertical="center"/>
    </xf>
    <xf numFmtId="166" fontId="0" fillId="2" borderId="8" xfId="0" applyNumberFormat="1" applyFill="1" applyBorder="1" applyAlignment="1">
      <alignment vertical="center"/>
    </xf>
    <xf numFmtId="166" fontId="2" fillId="0" borderId="2" xfId="0" applyNumberFormat="1" applyFont="1" applyBorder="1"/>
    <xf numFmtId="0" fontId="2" fillId="0" borderId="3" xfId="0" applyFont="1" applyBorder="1" applyAlignment="1">
      <alignment horizontal="center"/>
    </xf>
    <xf numFmtId="166" fontId="2" fillId="0" borderId="8" xfId="0" applyNumberFormat="1" applyFont="1" applyBorder="1"/>
    <xf numFmtId="0" fontId="2" fillId="0" borderId="3" xfId="0" applyFont="1" applyBorder="1"/>
    <xf numFmtId="166" fontId="2" fillId="0" borderId="9" xfId="0" applyNumberFormat="1" applyFont="1" applyBorder="1"/>
    <xf numFmtId="166" fontId="2" fillId="0" borderId="7" xfId="0" applyNumberFormat="1" applyFont="1" applyBorder="1"/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2" fillId="3" borderId="1" xfId="1" applyNumberFormat="1" applyFont="1" applyFill="1" applyBorder="1" applyAlignment="1"/>
    <xf numFmtId="0" fontId="0" fillId="3" borderId="1" xfId="0" applyFill="1" applyBorder="1"/>
    <xf numFmtId="166" fontId="2" fillId="0" borderId="10" xfId="0" applyNumberFormat="1" applyFont="1" applyBorder="1"/>
    <xf numFmtId="1" fontId="2" fillId="4" borderId="1" xfId="0" quotePrefix="1" applyNumberFormat="1" applyFont="1" applyFill="1" applyBorder="1" applyAlignment="1">
      <alignment vertical="center"/>
    </xf>
    <xf numFmtId="16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6" fontId="2" fillId="4" borderId="1" xfId="0" applyNumberFormat="1" applyFont="1" applyFill="1" applyBorder="1"/>
    <xf numFmtId="0" fontId="0" fillId="4" borderId="1" xfId="0" applyFill="1" applyBorder="1"/>
    <xf numFmtId="165" fontId="2" fillId="4" borderId="1" xfId="1" applyNumberFormat="1" applyFont="1" applyFill="1" applyBorder="1" applyAlignment="1"/>
    <xf numFmtId="0" fontId="2" fillId="4" borderId="1" xfId="0" applyFont="1" applyFill="1" applyBorder="1" applyAlignment="1">
      <alignment horizontal="right"/>
    </xf>
    <xf numFmtId="1" fontId="2" fillId="5" borderId="1" xfId="0" quotePrefix="1" applyNumberFormat="1" applyFont="1" applyFill="1" applyBorder="1" applyAlignment="1">
      <alignment vertical="center"/>
    </xf>
    <xf numFmtId="16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5" fontId="2" fillId="5" borderId="1" xfId="1" applyNumberFormat="1" applyFont="1" applyFill="1" applyBorder="1" applyAlignment="1"/>
    <xf numFmtId="0" fontId="0" fillId="5" borderId="1" xfId="0" applyFill="1" applyBorder="1"/>
    <xf numFmtId="166" fontId="4" fillId="0" borderId="11" xfId="0" applyNumberFormat="1" applyFont="1" applyBorder="1"/>
    <xf numFmtId="166" fontId="4" fillId="0" borderId="12" xfId="0" applyNumberFormat="1" applyFont="1" applyBorder="1"/>
    <xf numFmtId="0" fontId="0" fillId="0" borderId="3" xfId="0" applyBorder="1"/>
    <xf numFmtId="166" fontId="4" fillId="0" borderId="13" xfId="0" applyNumberFormat="1" applyFont="1" applyBorder="1"/>
    <xf numFmtId="166" fontId="0" fillId="0" borderId="5" xfId="0" applyNumberFormat="1" applyBorder="1"/>
    <xf numFmtId="166" fontId="0" fillId="0" borderId="9" xfId="0" applyNumberFormat="1" applyBorder="1"/>
    <xf numFmtId="166" fontId="0" fillId="0" borderId="8" xfId="0" applyNumberFormat="1" applyBorder="1"/>
    <xf numFmtId="166" fontId="0" fillId="0" borderId="7" xfId="0" applyNumberFormat="1" applyBorder="1"/>
    <xf numFmtId="166" fontId="0" fillId="2" borderId="7" xfId="0" applyNumberFormat="1" applyFill="1" applyBorder="1"/>
    <xf numFmtId="166" fontId="0" fillId="2" borderId="9" xfId="0" applyNumberFormat="1" applyFill="1" applyBorder="1"/>
    <xf numFmtId="166" fontId="0" fillId="2" borderId="8" xfId="0" applyNumberFormat="1" applyFill="1" applyBorder="1"/>
    <xf numFmtId="3" fontId="0" fillId="0" borderId="1" xfId="0" applyNumberFormat="1" applyBorder="1" applyAlignment="1">
      <alignment horizontal="center"/>
    </xf>
    <xf numFmtId="166" fontId="2" fillId="0" borderId="5" xfId="0" applyNumberFormat="1" applyFont="1" applyBorder="1"/>
    <xf numFmtId="166" fontId="0" fillId="2" borderId="9" xfId="0" applyNumberFormat="1" applyFill="1" applyBorder="1" applyAlignment="1">
      <alignment vertical="center"/>
    </xf>
    <xf numFmtId="166" fontId="2" fillId="0" borderId="11" xfId="0" applyNumberFormat="1" applyFont="1" applyBorder="1"/>
    <xf numFmtId="166" fontId="2" fillId="0" borderId="13" xfId="0" applyNumberFormat="1" applyFont="1" applyBorder="1"/>
    <xf numFmtId="166" fontId="0" fillId="0" borderId="8" xfId="0" applyNumberFormat="1" applyBorder="1" applyAlignment="1">
      <alignment vertical="center"/>
    </xf>
    <xf numFmtId="1" fontId="2" fillId="6" borderId="1" xfId="0" quotePrefix="1" applyNumberFormat="1" applyFont="1" applyFill="1" applyBorder="1" applyAlignment="1">
      <alignment vertical="center"/>
    </xf>
    <xf numFmtId="16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6" fontId="2" fillId="6" borderId="1" xfId="0" applyNumberFormat="1" applyFont="1" applyFill="1" applyBorder="1"/>
    <xf numFmtId="0" fontId="0" fillId="6" borderId="1" xfId="0" applyFill="1" applyBorder="1"/>
    <xf numFmtId="1" fontId="2" fillId="7" borderId="1" xfId="0" quotePrefix="1" applyNumberFormat="1" applyFont="1" applyFill="1" applyBorder="1" applyAlignment="1">
      <alignment vertical="center"/>
    </xf>
    <xf numFmtId="16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5" fontId="2" fillId="7" borderId="1" xfId="1" applyNumberFormat="1" applyFont="1" applyFill="1" applyBorder="1" applyAlignment="1"/>
    <xf numFmtId="0" fontId="0" fillId="7" borderId="1" xfId="0" applyFill="1" applyBorder="1"/>
    <xf numFmtId="166" fontId="2" fillId="7" borderId="1" xfId="0" applyNumberFormat="1" applyFont="1" applyFill="1" applyBorder="1"/>
    <xf numFmtId="1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right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2" fillId="0" borderId="6" xfId="0" applyNumberFormat="1" applyFont="1" applyBorder="1"/>
    <xf numFmtId="1" fontId="2" fillId="8" borderId="1" xfId="0" quotePrefix="1" applyNumberFormat="1" applyFont="1" applyFill="1" applyBorder="1" applyAlignment="1">
      <alignment vertical="center"/>
    </xf>
    <xf numFmtId="16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6" fontId="2" fillId="8" borderId="1" xfId="0" applyNumberFormat="1" applyFont="1" applyFill="1" applyBorder="1"/>
    <xf numFmtId="0" fontId="2" fillId="8" borderId="1" xfId="0" applyFont="1" applyFill="1" applyBorder="1" applyAlignment="1">
      <alignment horizontal="right"/>
    </xf>
    <xf numFmtId="1" fontId="2" fillId="9" borderId="1" xfId="0" quotePrefix="1" applyNumberFormat="1" applyFont="1" applyFill="1" applyBorder="1" applyAlignment="1">
      <alignment vertical="center"/>
    </xf>
    <xf numFmtId="0" fontId="0" fillId="9" borderId="1" xfId="0" applyFill="1" applyBorder="1"/>
    <xf numFmtId="16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6" fontId="2" fillId="9" borderId="1" xfId="0" applyNumberFormat="1" applyFont="1" applyFill="1" applyBorder="1"/>
    <xf numFmtId="1" fontId="2" fillId="10" borderId="1" xfId="0" quotePrefix="1" applyNumberFormat="1" applyFont="1" applyFill="1" applyBorder="1" applyAlignment="1">
      <alignment vertical="center"/>
    </xf>
    <xf numFmtId="16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6" fontId="2" fillId="10" borderId="1" xfId="0" applyNumberFormat="1" applyFont="1" applyFill="1" applyBorder="1"/>
    <xf numFmtId="0" fontId="2" fillId="10" borderId="1" xfId="0" applyFont="1" applyFill="1" applyBorder="1" applyAlignment="1">
      <alignment horizontal="right"/>
    </xf>
    <xf numFmtId="16" fontId="0" fillId="10" borderId="1" xfId="0" applyNumberFormat="1" applyFill="1" applyBorder="1"/>
    <xf numFmtId="0" fontId="0" fillId="10" borderId="1" xfId="0" applyFill="1" applyBorder="1"/>
    <xf numFmtId="1" fontId="2" fillId="11" borderId="1" xfId="0" quotePrefix="1" applyNumberFormat="1" applyFont="1" applyFill="1" applyBorder="1" applyAlignment="1">
      <alignment vertical="center"/>
    </xf>
    <xf numFmtId="16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66" fontId="2" fillId="11" borderId="1" xfId="0" applyNumberFormat="1" applyFont="1" applyFill="1" applyBorder="1"/>
    <xf numFmtId="0" fontId="2" fillId="11" borderId="1" xfId="0" applyFont="1" applyFill="1" applyBorder="1" applyAlignment="1">
      <alignment horizontal="right"/>
    </xf>
    <xf numFmtId="16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1" fontId="2" fillId="12" borderId="1" xfId="0" quotePrefix="1" applyNumberFormat="1" applyFont="1" applyFill="1" applyBorder="1" applyAlignment="1">
      <alignment vertical="center"/>
    </xf>
    <xf numFmtId="16" fontId="2" fillId="12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66" fontId="2" fillId="12" borderId="1" xfId="0" applyNumberFormat="1" applyFont="1" applyFill="1" applyBorder="1"/>
    <xf numFmtId="0" fontId="0" fillId="12" borderId="1" xfId="0" applyFill="1" applyBorder="1"/>
    <xf numFmtId="0" fontId="2" fillId="12" borderId="1" xfId="0" applyFont="1" applyFill="1" applyBorder="1" applyAlignment="1">
      <alignment horizontal="right"/>
    </xf>
    <xf numFmtId="16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6" fontId="2" fillId="0" borderId="4" xfId="0" applyNumberFormat="1" applyFont="1" applyBorder="1"/>
    <xf numFmtId="0" fontId="2" fillId="3" borderId="1" xfId="0" applyFont="1" applyFill="1" applyBorder="1"/>
    <xf numFmtId="0" fontId="2" fillId="3" borderId="1" xfId="0" applyNumberFormat="1" applyFont="1" applyFill="1" applyBorder="1" applyAlignment="1">
      <alignment horizontal="center"/>
    </xf>
    <xf numFmtId="166" fontId="2" fillId="3" borderId="2" xfId="0" applyNumberFormat="1" applyFont="1" applyFill="1" applyBorder="1"/>
    <xf numFmtId="166" fontId="2" fillId="3" borderId="9" xfId="0" applyNumberFormat="1" applyFont="1" applyFill="1" applyBorder="1"/>
    <xf numFmtId="166" fontId="0" fillId="0" borderId="6" xfId="0" applyNumberFormat="1" applyBorder="1"/>
    <xf numFmtId="166" fontId="0" fillId="0" borderId="11" xfId="0" applyNumberFormat="1" applyBorder="1"/>
    <xf numFmtId="166" fontId="0" fillId="0" borderId="14" xfId="0" applyNumberFormat="1" applyBorder="1"/>
    <xf numFmtId="1" fontId="2" fillId="13" borderId="1" xfId="0" quotePrefix="1" applyNumberFormat="1" applyFont="1" applyFill="1" applyBorder="1" applyAlignment="1">
      <alignment vertical="center"/>
    </xf>
    <xf numFmtId="16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66" fontId="2" fillId="13" borderId="1" xfId="0" applyNumberFormat="1" applyFont="1" applyFill="1" applyBorder="1"/>
    <xf numFmtId="0" fontId="2" fillId="13" borderId="1" xfId="0" applyFont="1" applyFill="1" applyBorder="1" applyAlignment="1">
      <alignment horizontal="right"/>
    </xf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165" fontId="2" fillId="11" borderId="1" xfId="1" applyNumberFormat="1" applyFont="1" applyFill="1" applyBorder="1" applyAlignment="1"/>
    <xf numFmtId="1" fontId="2" fillId="14" borderId="1" xfId="0" quotePrefix="1" applyNumberFormat="1" applyFont="1" applyFill="1" applyBorder="1" applyAlignment="1">
      <alignment vertical="center"/>
    </xf>
    <xf numFmtId="16" fontId="2" fillId="14" borderId="1" xfId="0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166" fontId="2" fillId="14" borderId="1" xfId="0" applyNumberFormat="1" applyFont="1" applyFill="1" applyBorder="1"/>
    <xf numFmtId="0" fontId="2" fillId="14" borderId="1" xfId="0" applyFont="1" applyFill="1" applyBorder="1" applyAlignment="1">
      <alignment horizontal="right"/>
    </xf>
    <xf numFmtId="165" fontId="2" fillId="14" borderId="1" xfId="1" applyNumberFormat="1" applyFont="1" applyFill="1" applyBorder="1" applyAlignment="1"/>
    <xf numFmtId="0" fontId="0" fillId="14" borderId="1" xfId="0" applyFill="1" applyBorder="1"/>
    <xf numFmtId="1" fontId="2" fillId="15" borderId="1" xfId="0" quotePrefix="1" applyNumberFormat="1" applyFont="1" applyFill="1" applyBorder="1" applyAlignment="1">
      <alignment vertical="center"/>
    </xf>
    <xf numFmtId="16" fontId="2" fillId="15" borderId="1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165" fontId="2" fillId="15" borderId="1" xfId="1" applyNumberFormat="1" applyFont="1" applyFill="1" applyBorder="1" applyAlignment="1"/>
    <xf numFmtId="0" fontId="0" fillId="15" borderId="1" xfId="0" applyFill="1" applyBorder="1"/>
    <xf numFmtId="16" fontId="0" fillId="2" borderId="1" xfId="0" applyNumberFormat="1" applyFill="1" applyBorder="1"/>
    <xf numFmtId="17" fontId="0" fillId="0" borderId="0" xfId="0" applyNumberFormat="1"/>
    <xf numFmtId="166" fontId="0" fillId="0" borderId="4" xfId="0" applyNumberFormat="1" applyBorder="1" applyAlignment="1">
      <alignment vertical="center"/>
    </xf>
    <xf numFmtId="1" fontId="2" fillId="16" borderId="1" xfId="0" quotePrefix="1" applyNumberFormat="1" applyFont="1" applyFill="1" applyBorder="1" applyAlignment="1">
      <alignment vertical="center"/>
    </xf>
    <xf numFmtId="16" fontId="2" fillId="16" borderId="1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166" fontId="2" fillId="16" borderId="1" xfId="0" applyNumberFormat="1" applyFont="1" applyFill="1" applyBorder="1"/>
    <xf numFmtId="0" fontId="2" fillId="16" borderId="1" xfId="0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vertical="center"/>
    </xf>
    <xf numFmtId="0" fontId="0" fillId="15" borderId="1" xfId="0" applyFill="1" applyBorder="1" applyAlignment="1">
      <alignment horizontal="center"/>
    </xf>
    <xf numFmtId="166" fontId="2" fillId="15" borderId="1" xfId="0" applyNumberFormat="1" applyFont="1" applyFill="1" applyBorder="1"/>
    <xf numFmtId="0" fontId="2" fillId="15" borderId="1" xfId="0" applyFont="1" applyFill="1" applyBorder="1" applyAlignment="1">
      <alignment horizontal="right"/>
    </xf>
    <xf numFmtId="166" fontId="0" fillId="3" borderId="1" xfId="0" applyNumberFormat="1" applyFill="1" applyBorder="1"/>
    <xf numFmtId="166" fontId="0" fillId="3" borderId="2" xfId="0" applyNumberFormat="1" applyFill="1" applyBorder="1"/>
    <xf numFmtId="166" fontId="0" fillId="3" borderId="3" xfId="0" applyNumberFormat="1" applyFill="1" applyBorder="1" applyAlignment="1">
      <alignment vertical="center"/>
    </xf>
    <xf numFmtId="166" fontId="0" fillId="3" borderId="8" xfId="0" applyNumberFormat="1" applyFill="1" applyBorder="1" applyAlignment="1">
      <alignment vertical="center"/>
    </xf>
    <xf numFmtId="166" fontId="2" fillId="0" borderId="8" xfId="0" applyNumberFormat="1" applyFont="1" applyBorder="1" applyAlignment="1">
      <alignment horizontal="center"/>
    </xf>
    <xf numFmtId="1" fontId="2" fillId="17" borderId="1" xfId="0" quotePrefix="1" applyNumberFormat="1" applyFont="1" applyFill="1" applyBorder="1" applyAlignment="1">
      <alignment vertical="center"/>
    </xf>
    <xf numFmtId="16" fontId="2" fillId="17" borderId="1" xfId="0" applyNumberFormat="1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166" fontId="2" fillId="17" borderId="1" xfId="0" applyNumberFormat="1" applyFont="1" applyFill="1" applyBorder="1"/>
    <xf numFmtId="0" fontId="2" fillId="17" borderId="1" xfId="0" applyFont="1" applyFill="1" applyBorder="1" applyAlignment="1">
      <alignment horizontal="right"/>
    </xf>
    <xf numFmtId="0" fontId="0" fillId="17" borderId="1" xfId="0" applyFill="1" applyBorder="1"/>
    <xf numFmtId="16" fontId="2" fillId="10" borderId="1" xfId="0" applyNumberFormat="1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1" fontId="2" fillId="3" borderId="1" xfId="0" quotePrefix="1" applyNumberFormat="1" applyFont="1" applyFill="1" applyBorder="1" applyAlignment="1">
      <alignment horizontal="center" vertical="center"/>
    </xf>
    <xf numFmtId="1" fontId="2" fillId="18" borderId="1" xfId="0" quotePrefix="1" applyNumberFormat="1" applyFont="1" applyFill="1" applyBorder="1" applyAlignment="1">
      <alignment vertical="center"/>
    </xf>
    <xf numFmtId="16" fontId="2" fillId="18" borderId="1" xfId="0" applyNumberFormat="1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166" fontId="2" fillId="18" borderId="1" xfId="0" applyNumberFormat="1" applyFont="1" applyFill="1" applyBorder="1"/>
    <xf numFmtId="0" fontId="2" fillId="18" borderId="1" xfId="0" applyFont="1" applyFill="1" applyBorder="1" applyAlignment="1">
      <alignment horizontal="right"/>
    </xf>
    <xf numFmtId="0" fontId="0" fillId="2" borderId="0" xfId="0" applyFill="1"/>
    <xf numFmtId="166" fontId="2" fillId="0" borderId="7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7" fillId="0" borderId="7" xfId="0" applyNumberFormat="1" applyFont="1" applyBorder="1"/>
    <xf numFmtId="166" fontId="7" fillId="0" borderId="9" xfId="0" applyNumberFormat="1" applyFont="1" applyBorder="1"/>
    <xf numFmtId="166" fontId="7" fillId="0" borderId="8" xfId="0" applyNumberFormat="1" applyFont="1" applyBorder="1"/>
    <xf numFmtId="0" fontId="0" fillId="9" borderId="1" xfId="0" applyFill="1" applyBorder="1" applyAlignment="1">
      <alignment horizontal="right"/>
    </xf>
    <xf numFmtId="166" fontId="0" fillId="0" borderId="0" xfId="0" applyNumberFormat="1"/>
    <xf numFmtId="16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0" fillId="2" borderId="1" xfId="0" applyNumberFormat="1" applyFill="1" applyBorder="1"/>
    <xf numFmtId="166" fontId="0" fillId="2" borderId="2" xfId="0" applyNumberFormat="1" applyFill="1" applyBorder="1"/>
    <xf numFmtId="166" fontId="0" fillId="2" borderId="3" xfId="0" applyNumberFormat="1" applyFill="1" applyBorder="1" applyAlignment="1">
      <alignment vertical="center"/>
    </xf>
    <xf numFmtId="0" fontId="0" fillId="16" borderId="1" xfId="0" applyFill="1" applyBorder="1"/>
    <xf numFmtId="3" fontId="0" fillId="12" borderId="1" xfId="0" applyNumberFormat="1" applyFill="1" applyBorder="1" applyAlignment="1">
      <alignment horizontal="right"/>
    </xf>
    <xf numFmtId="0" fontId="2" fillId="19" borderId="1" xfId="0" applyFont="1" applyFill="1" applyBorder="1" applyAlignment="1">
      <alignment horizontal="right"/>
    </xf>
    <xf numFmtId="1" fontId="2" fillId="20" borderId="1" xfId="0" quotePrefix="1" applyNumberFormat="1" applyFont="1" applyFill="1" applyBorder="1" applyAlignment="1">
      <alignment vertical="center"/>
    </xf>
    <xf numFmtId="16" fontId="2" fillId="20" borderId="1" xfId="0" applyNumberFormat="1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166" fontId="2" fillId="20" borderId="1" xfId="0" applyNumberFormat="1" applyFont="1" applyFill="1" applyBorder="1"/>
    <xf numFmtId="0" fontId="2" fillId="20" borderId="1" xfId="0" applyFon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3" fontId="2" fillId="12" borderId="1" xfId="0" applyNumberFormat="1" applyFont="1" applyFill="1" applyBorder="1" applyAlignment="1">
      <alignment horizontal="right"/>
    </xf>
    <xf numFmtId="1" fontId="2" fillId="21" borderId="1" xfId="0" quotePrefix="1" applyNumberFormat="1" applyFont="1" applyFill="1" applyBorder="1" applyAlignment="1">
      <alignment vertical="center"/>
    </xf>
    <xf numFmtId="16" fontId="2" fillId="21" borderId="1" xfId="0" applyNumberFormat="1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166" fontId="2" fillId="21" borderId="1" xfId="0" applyNumberFormat="1" applyFont="1" applyFill="1" applyBorder="1"/>
    <xf numFmtId="0" fontId="2" fillId="21" borderId="1" xfId="0" applyFont="1" applyFill="1" applyBorder="1" applyAlignment="1">
      <alignment horizontal="right"/>
    </xf>
    <xf numFmtId="1" fontId="2" fillId="22" borderId="1" xfId="0" quotePrefix="1" applyNumberFormat="1" applyFont="1" applyFill="1" applyBorder="1" applyAlignment="1">
      <alignment vertical="center"/>
    </xf>
    <xf numFmtId="16" fontId="2" fillId="22" borderId="1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right"/>
    </xf>
    <xf numFmtId="3" fontId="0" fillId="0" borderId="1" xfId="1" applyNumberFormat="1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3" borderId="1" xfId="1" applyNumberFormat="1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center"/>
    </xf>
    <xf numFmtId="3" fontId="2" fillId="7" borderId="1" xfId="1" applyNumberFormat="1" applyFont="1" applyFill="1" applyBorder="1" applyAlignment="1">
      <alignment horizontal="center"/>
    </xf>
    <xf numFmtId="3" fontId="2" fillId="22" borderId="1" xfId="0" applyNumberFormat="1" applyFont="1" applyFill="1" applyBorder="1" applyAlignment="1">
      <alignment horizontal="center"/>
    </xf>
    <xf numFmtId="3" fontId="2" fillId="17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17" borderId="1" xfId="0" applyNumberFormat="1" applyFill="1" applyBorder="1" applyAlignment="1">
      <alignment horizontal="center"/>
    </xf>
    <xf numFmtId="3" fontId="2" fillId="10" borderId="1" xfId="1" applyNumberFormat="1" applyFont="1" applyFill="1" applyBorder="1" applyAlignment="1">
      <alignment horizontal="center"/>
    </xf>
    <xf numFmtId="3" fontId="2" fillId="16" borderId="1" xfId="0" applyNumberFormat="1" applyFont="1" applyFill="1" applyBorder="1" applyAlignment="1">
      <alignment horizontal="center"/>
    </xf>
    <xf numFmtId="3" fontId="2" fillId="12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right"/>
    </xf>
  </cellXfs>
  <cellStyles count="2">
    <cellStyle name="Currency [0] 2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O63"/>
  <sheetViews>
    <sheetView topLeftCell="A34" workbookViewId="0">
      <selection activeCell="M21" sqref="M21"/>
    </sheetView>
  </sheetViews>
  <sheetFormatPr defaultRowHeight="15"/>
  <cols>
    <col min="1" max="1" width="9" customWidth="1"/>
    <col min="2" max="2" width="41.5703125" bestFit="1" customWidth="1"/>
    <col min="3" max="3" width="14.28515625" customWidth="1"/>
    <col min="5" max="5" width="12.7109375" customWidth="1"/>
    <col min="6" max="6" width="19.140625" customWidth="1"/>
    <col min="7" max="7" width="18.5703125" customWidth="1"/>
    <col min="8" max="8" width="18.42578125" customWidth="1"/>
    <col min="9" max="9" width="17.140625" customWidth="1"/>
    <col min="12" max="12" width="11.28515625" customWidth="1"/>
    <col min="13" max="13" width="13.85546875" customWidth="1"/>
    <col min="14" max="14" width="15.7109375" customWidth="1"/>
    <col min="15" max="15" width="16" customWidth="1"/>
  </cols>
  <sheetData>
    <row r="3" spans="1:15">
      <c r="A3" s="1" t="s">
        <v>13</v>
      </c>
      <c r="B3" s="1"/>
      <c r="C3" s="1" t="s">
        <v>13</v>
      </c>
      <c r="D3" s="1"/>
      <c r="E3" s="1"/>
      <c r="F3" s="1"/>
      <c r="G3" s="1"/>
      <c r="H3" s="1"/>
      <c r="I3" s="1"/>
      <c r="J3" s="1"/>
      <c r="K3" s="1" t="s">
        <v>33</v>
      </c>
      <c r="L3" s="1"/>
      <c r="M3" s="1"/>
      <c r="N3" s="1"/>
      <c r="O3" s="1"/>
    </row>
    <row r="4" spans="1:15" ht="45.75" thickBot="1">
      <c r="A4" s="10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43" t="s">
        <v>7</v>
      </c>
      <c r="I4" s="4" t="s">
        <v>8</v>
      </c>
      <c r="J4" s="1"/>
      <c r="K4" s="7" t="s">
        <v>9</v>
      </c>
      <c r="L4" s="8" t="s">
        <v>10</v>
      </c>
      <c r="M4" s="3" t="s">
        <v>11</v>
      </c>
      <c r="N4" s="6" t="s">
        <v>12</v>
      </c>
      <c r="O4" s="4" t="s">
        <v>8</v>
      </c>
    </row>
    <row r="5" spans="1:15">
      <c r="A5" s="9">
        <v>45659</v>
      </c>
      <c r="B5" s="10" t="s">
        <v>27</v>
      </c>
      <c r="C5" s="11" t="s">
        <v>18</v>
      </c>
      <c r="D5" s="11">
        <v>10</v>
      </c>
      <c r="E5" s="11" t="s">
        <v>28</v>
      </c>
      <c r="F5" s="12">
        <v>170000</v>
      </c>
      <c r="G5" s="40">
        <v>1700000</v>
      </c>
      <c r="H5" s="50" t="s">
        <v>30</v>
      </c>
      <c r="I5" s="41"/>
      <c r="J5" s="14"/>
      <c r="K5" s="45">
        <v>1</v>
      </c>
      <c r="L5" s="46">
        <v>45612</v>
      </c>
      <c r="M5" s="47" t="s">
        <v>18</v>
      </c>
      <c r="N5" s="48">
        <v>8000000</v>
      </c>
      <c r="O5" s="49" t="s">
        <v>19</v>
      </c>
    </row>
    <row r="6" spans="1:15" ht="15.75" thickBot="1">
      <c r="A6" s="10"/>
      <c r="B6" s="10" t="s">
        <v>29</v>
      </c>
      <c r="C6" s="11" t="s">
        <v>18</v>
      </c>
      <c r="D6" s="11">
        <v>3</v>
      </c>
      <c r="E6" s="11" t="s">
        <v>28</v>
      </c>
      <c r="F6" s="12">
        <v>175000</v>
      </c>
      <c r="G6" s="40">
        <v>525000</v>
      </c>
      <c r="H6" s="51"/>
      <c r="I6" s="41" t="s">
        <v>15</v>
      </c>
      <c r="J6" s="17"/>
      <c r="K6" s="45">
        <v>2</v>
      </c>
      <c r="L6" s="60" t="s">
        <v>20</v>
      </c>
      <c r="M6" s="61" t="s">
        <v>18</v>
      </c>
      <c r="N6" s="61" t="s">
        <v>21</v>
      </c>
      <c r="O6" s="61" t="s">
        <v>19</v>
      </c>
    </row>
    <row r="7" spans="1:15">
      <c r="A7" s="9">
        <v>45659</v>
      </c>
      <c r="B7" s="10" t="s">
        <v>52</v>
      </c>
      <c r="C7" s="11" t="s">
        <v>18</v>
      </c>
      <c r="D7" s="11">
        <v>3</v>
      </c>
      <c r="E7" s="11" t="s">
        <v>28</v>
      </c>
      <c r="F7" s="12">
        <v>90000</v>
      </c>
      <c r="G7" s="40">
        <v>270000</v>
      </c>
      <c r="H7" s="52" t="s">
        <v>32</v>
      </c>
      <c r="I7" s="41" t="s">
        <v>15</v>
      </c>
      <c r="J7" s="22"/>
      <c r="K7" s="45">
        <v>3</v>
      </c>
      <c r="L7" s="46" t="s">
        <v>22</v>
      </c>
      <c r="M7" s="47" t="s">
        <v>18</v>
      </c>
      <c r="N7" s="62">
        <v>500000</v>
      </c>
      <c r="O7" s="63" t="s">
        <v>19</v>
      </c>
    </row>
    <row r="8" spans="1:15" ht="15.75" thickBot="1">
      <c r="A8" s="10"/>
      <c r="B8" s="10" t="s">
        <v>31</v>
      </c>
      <c r="C8" s="11" t="s">
        <v>18</v>
      </c>
      <c r="D8" s="11">
        <v>1</v>
      </c>
      <c r="E8" s="11" t="s">
        <v>28</v>
      </c>
      <c r="F8" s="12">
        <v>410000</v>
      </c>
      <c r="G8" s="40">
        <v>410000</v>
      </c>
      <c r="H8" s="53"/>
      <c r="I8" s="41"/>
      <c r="J8" s="25"/>
      <c r="K8" s="65">
        <v>4</v>
      </c>
      <c r="L8" s="66" t="s">
        <v>22</v>
      </c>
      <c r="M8" s="67" t="s">
        <v>23</v>
      </c>
      <c r="N8" s="68">
        <v>7000000</v>
      </c>
      <c r="O8" s="69" t="s">
        <v>120</v>
      </c>
    </row>
    <row r="9" spans="1:15" ht="15.75" thickBot="1">
      <c r="A9" s="9">
        <v>45661</v>
      </c>
      <c r="B9" s="10" t="s">
        <v>40</v>
      </c>
      <c r="C9" s="11" t="s">
        <v>41</v>
      </c>
      <c r="D9" s="11">
        <v>1</v>
      </c>
      <c r="E9" s="11" t="s">
        <v>42</v>
      </c>
      <c r="F9" s="12">
        <v>9990000</v>
      </c>
      <c r="G9" s="40">
        <v>9990000</v>
      </c>
      <c r="H9" s="42" t="s">
        <v>43</v>
      </c>
      <c r="I9" s="41" t="s">
        <v>48</v>
      </c>
      <c r="J9" s="25"/>
      <c r="K9" s="45">
        <v>5</v>
      </c>
      <c r="L9" s="46" t="s">
        <v>24</v>
      </c>
      <c r="M9" s="47" t="s">
        <v>18</v>
      </c>
      <c r="N9" s="48">
        <v>3475000</v>
      </c>
      <c r="O9" s="63" t="s">
        <v>19</v>
      </c>
    </row>
    <row r="10" spans="1:15" ht="15.75" thickBot="1">
      <c r="A10" s="31">
        <v>45661</v>
      </c>
      <c r="B10" s="10" t="s">
        <v>44</v>
      </c>
      <c r="C10" s="11" t="s">
        <v>18</v>
      </c>
      <c r="D10" s="11">
        <v>1</v>
      </c>
      <c r="E10" s="11" t="s">
        <v>42</v>
      </c>
      <c r="F10" s="12">
        <v>10500000</v>
      </c>
      <c r="G10" s="40">
        <v>10500000</v>
      </c>
      <c r="H10" s="42" t="s">
        <v>45</v>
      </c>
      <c r="I10" s="41" t="s">
        <v>33</v>
      </c>
      <c r="J10" s="25"/>
      <c r="K10" s="45">
        <v>6</v>
      </c>
      <c r="L10" s="46" t="s">
        <v>25</v>
      </c>
      <c r="M10" s="47" t="s">
        <v>18</v>
      </c>
      <c r="N10" s="48">
        <v>3685000</v>
      </c>
      <c r="O10" s="63" t="s">
        <v>19</v>
      </c>
    </row>
    <row r="11" spans="1:15" ht="15.75" thickBot="1">
      <c r="A11" s="31">
        <v>45663</v>
      </c>
      <c r="B11" s="10" t="s">
        <v>46</v>
      </c>
      <c r="C11" s="11" t="s">
        <v>47</v>
      </c>
      <c r="D11" s="11">
        <v>1</v>
      </c>
      <c r="E11" s="11" t="s">
        <v>28</v>
      </c>
      <c r="F11" s="12">
        <v>1724250</v>
      </c>
      <c r="G11" s="40">
        <v>1724250</v>
      </c>
      <c r="H11" s="50" t="s">
        <v>127</v>
      </c>
      <c r="I11" s="41" t="s">
        <v>16</v>
      </c>
      <c r="J11" s="25"/>
      <c r="K11" s="65">
        <v>7</v>
      </c>
      <c r="L11" s="66" t="s">
        <v>26</v>
      </c>
      <c r="M11" s="67" t="s">
        <v>23</v>
      </c>
      <c r="N11" s="70">
        <v>2200000</v>
      </c>
      <c r="O11" s="71" t="s">
        <v>120</v>
      </c>
    </row>
    <row r="12" spans="1:15">
      <c r="A12" s="31">
        <v>45664</v>
      </c>
      <c r="B12" s="28" t="s">
        <v>49</v>
      </c>
      <c r="C12" s="11" t="s">
        <v>18</v>
      </c>
      <c r="D12" s="30">
        <v>5</v>
      </c>
      <c r="E12" s="11" t="s">
        <v>28</v>
      </c>
      <c r="F12" s="12">
        <v>240000</v>
      </c>
      <c r="G12" s="40">
        <v>1200000</v>
      </c>
      <c r="H12" s="50"/>
      <c r="I12" s="41"/>
      <c r="J12" s="25"/>
      <c r="K12" s="45">
        <v>8</v>
      </c>
      <c r="L12" s="46">
        <v>45661</v>
      </c>
      <c r="M12" s="47" t="s">
        <v>18</v>
      </c>
      <c r="N12" s="48">
        <v>10500000</v>
      </c>
      <c r="O12" s="49" t="s">
        <v>19</v>
      </c>
    </row>
    <row r="13" spans="1:15">
      <c r="A13" s="28"/>
      <c r="B13" s="28" t="s">
        <v>50</v>
      </c>
      <c r="C13" s="11" t="s">
        <v>18</v>
      </c>
      <c r="D13" s="30">
        <v>10</v>
      </c>
      <c r="E13" s="11" t="s">
        <v>28</v>
      </c>
      <c r="F13" s="12">
        <v>80000</v>
      </c>
      <c r="G13" s="40">
        <v>800000</v>
      </c>
      <c r="H13" s="51" t="s">
        <v>53</v>
      </c>
      <c r="I13" s="41" t="s">
        <v>15</v>
      </c>
      <c r="J13" s="25"/>
      <c r="K13" s="99">
        <v>9</v>
      </c>
      <c r="L13" s="100" t="s">
        <v>146</v>
      </c>
      <c r="M13" s="101" t="s">
        <v>47</v>
      </c>
      <c r="N13" s="104">
        <v>5596886</v>
      </c>
      <c r="O13" s="107" t="s">
        <v>260</v>
      </c>
    </row>
    <row r="14" spans="1:15">
      <c r="A14" s="31"/>
      <c r="B14" s="28" t="s">
        <v>51</v>
      </c>
      <c r="C14" s="11" t="s">
        <v>18</v>
      </c>
      <c r="D14" s="30">
        <v>4</v>
      </c>
      <c r="E14" s="11" t="s">
        <v>28</v>
      </c>
      <c r="F14" s="27">
        <v>375000</v>
      </c>
      <c r="G14" s="54">
        <v>1500000</v>
      </c>
      <c r="H14" s="51"/>
      <c r="I14" s="41"/>
      <c r="J14" s="25"/>
      <c r="K14" s="18">
        <v>10</v>
      </c>
      <c r="L14" s="173"/>
      <c r="M14" s="39"/>
      <c r="N14" s="39"/>
      <c r="O14" s="39"/>
    </row>
    <row r="15" spans="1:15" ht="15.75" thickBot="1">
      <c r="A15" s="28"/>
      <c r="B15" s="28" t="s">
        <v>52</v>
      </c>
      <c r="C15" s="26" t="s">
        <v>18</v>
      </c>
      <c r="D15" s="30">
        <v>3</v>
      </c>
      <c r="E15" s="30" t="s">
        <v>28</v>
      </c>
      <c r="F15" s="27">
        <v>90000</v>
      </c>
      <c r="G15" s="54">
        <v>270000</v>
      </c>
      <c r="H15" s="58"/>
      <c r="I15" s="55"/>
      <c r="J15" s="25"/>
      <c r="K15" s="18">
        <v>11</v>
      </c>
      <c r="L15" s="15"/>
      <c r="M15" s="16"/>
      <c r="N15" s="29"/>
      <c r="O15" s="36"/>
    </row>
    <row r="16" spans="1:15">
      <c r="A16" s="31">
        <v>45664</v>
      </c>
      <c r="B16" s="28" t="s">
        <v>54</v>
      </c>
      <c r="C16" s="26" t="s">
        <v>18</v>
      </c>
      <c r="D16" s="30">
        <v>2</v>
      </c>
      <c r="E16" s="30" t="s">
        <v>28</v>
      </c>
      <c r="F16" s="27">
        <v>1600000</v>
      </c>
      <c r="G16" s="54">
        <v>3200000</v>
      </c>
      <c r="H16" s="59"/>
      <c r="I16" s="57"/>
      <c r="J16" s="25"/>
      <c r="K16" s="23">
        <v>12</v>
      </c>
      <c r="L16" s="15"/>
      <c r="M16" s="16"/>
      <c r="N16" s="29"/>
      <c r="O16" s="35"/>
    </row>
    <row r="17" spans="1:15">
      <c r="A17" s="28"/>
      <c r="B17" s="28" t="s">
        <v>55</v>
      </c>
      <c r="C17" s="26" t="s">
        <v>18</v>
      </c>
      <c r="D17" s="30">
        <v>2</v>
      </c>
      <c r="E17" s="30" t="s">
        <v>28</v>
      </c>
      <c r="F17" s="27">
        <v>1200000</v>
      </c>
      <c r="G17" s="54">
        <v>2400000</v>
      </c>
      <c r="H17" s="58"/>
      <c r="I17" s="57"/>
      <c r="J17" s="25"/>
      <c r="K17" s="18">
        <v>13</v>
      </c>
      <c r="L17" s="24"/>
      <c r="M17" s="26"/>
      <c r="N17" s="27"/>
      <c r="O17" s="35"/>
    </row>
    <row r="18" spans="1:15">
      <c r="A18" s="38"/>
      <c r="B18" s="28" t="s">
        <v>56</v>
      </c>
      <c r="C18" s="26" t="s">
        <v>18</v>
      </c>
      <c r="D18" s="30">
        <v>2</v>
      </c>
      <c r="E18" s="30" t="s">
        <v>28</v>
      </c>
      <c r="F18" s="27">
        <v>1600000</v>
      </c>
      <c r="G18" s="54">
        <v>3200000</v>
      </c>
      <c r="H18" s="58" t="s">
        <v>143</v>
      </c>
      <c r="I18" s="57"/>
      <c r="J18" s="25"/>
      <c r="K18" s="18">
        <v>14</v>
      </c>
      <c r="L18" s="24"/>
      <c r="M18" s="26"/>
      <c r="N18" s="27"/>
      <c r="O18" s="35"/>
    </row>
    <row r="19" spans="1:15" ht="15.75" thickBot="1">
      <c r="A19" s="31"/>
      <c r="B19" s="28" t="s">
        <v>57</v>
      </c>
      <c r="C19" s="26" t="s">
        <v>18</v>
      </c>
      <c r="D19" s="30">
        <v>2</v>
      </c>
      <c r="E19" s="30" t="s">
        <v>28</v>
      </c>
      <c r="F19" s="27">
        <v>1200000</v>
      </c>
      <c r="G19" s="54">
        <v>2400000</v>
      </c>
      <c r="H19" s="56"/>
      <c r="I19" s="57" t="s">
        <v>15</v>
      </c>
      <c r="J19" s="25"/>
      <c r="K19" s="23">
        <v>15</v>
      </c>
      <c r="L19" s="24"/>
      <c r="M19" s="26"/>
      <c r="N19" s="27"/>
      <c r="O19" s="37"/>
    </row>
    <row r="20" spans="1:15" ht="15.75" thickBot="1">
      <c r="A20" s="28"/>
      <c r="B20" s="28" t="s">
        <v>58</v>
      </c>
      <c r="C20" s="26" t="s">
        <v>18</v>
      </c>
      <c r="D20" s="30">
        <v>4</v>
      </c>
      <c r="E20" s="30" t="s">
        <v>28</v>
      </c>
      <c r="F20" s="27">
        <v>410000</v>
      </c>
      <c r="G20" s="27">
        <v>1640000</v>
      </c>
      <c r="H20" s="64"/>
      <c r="I20" s="28"/>
      <c r="J20" s="25"/>
      <c r="K20" s="18">
        <v>16</v>
      </c>
      <c r="L20" s="32"/>
      <c r="M20" s="11"/>
      <c r="N20" s="27"/>
      <c r="O20" s="35"/>
    </row>
    <row r="21" spans="1:15" ht="15.75" thickBot="1">
      <c r="A21" s="31">
        <v>45667</v>
      </c>
      <c r="B21" s="28" t="s">
        <v>59</v>
      </c>
      <c r="C21" s="26" t="s">
        <v>47</v>
      </c>
      <c r="D21" s="30">
        <v>1</v>
      </c>
      <c r="E21" s="30" t="s">
        <v>28</v>
      </c>
      <c r="F21" s="27">
        <v>1949250</v>
      </c>
      <c r="G21" s="54">
        <v>1949250</v>
      </c>
      <c r="H21" s="59" t="s">
        <v>60</v>
      </c>
      <c r="I21" s="57" t="s">
        <v>16</v>
      </c>
      <c r="J21" s="25"/>
      <c r="K21" s="18">
        <v>17</v>
      </c>
      <c r="L21" s="24"/>
      <c r="M21" s="26"/>
      <c r="N21" s="27"/>
      <c r="O21" s="35"/>
    </row>
    <row r="22" spans="1:15">
      <c r="A22" s="31">
        <v>45667</v>
      </c>
      <c r="B22" s="28" t="s">
        <v>63</v>
      </c>
      <c r="C22" s="26" t="s">
        <v>18</v>
      </c>
      <c r="D22" s="30">
        <v>3</v>
      </c>
      <c r="E22" s="30" t="s">
        <v>28</v>
      </c>
      <c r="F22" s="27">
        <v>750000</v>
      </c>
      <c r="G22" s="54">
        <v>2250000</v>
      </c>
      <c r="H22" s="59"/>
      <c r="I22" s="57"/>
      <c r="J22" s="25"/>
      <c r="K22" s="23">
        <v>18</v>
      </c>
      <c r="L22" s="24"/>
      <c r="M22" s="26"/>
      <c r="N22" s="27"/>
      <c r="O22" s="35"/>
    </row>
    <row r="23" spans="1:15">
      <c r="A23" s="28"/>
      <c r="B23" s="28" t="s">
        <v>62</v>
      </c>
      <c r="C23" s="26" t="s">
        <v>18</v>
      </c>
      <c r="D23" s="30">
        <v>2</v>
      </c>
      <c r="E23" s="30" t="s">
        <v>28</v>
      </c>
      <c r="F23" s="27">
        <v>650000</v>
      </c>
      <c r="G23" s="54">
        <v>1300000</v>
      </c>
      <c r="H23" s="58"/>
      <c r="I23" s="57" t="s">
        <v>15</v>
      </c>
      <c r="J23" s="25"/>
      <c r="K23" s="18">
        <v>19</v>
      </c>
      <c r="L23" s="24"/>
      <c r="M23" s="26"/>
      <c r="N23" s="27"/>
      <c r="O23" s="35"/>
    </row>
    <row r="24" spans="1:15">
      <c r="A24" s="28"/>
      <c r="B24" s="28" t="s">
        <v>64</v>
      </c>
      <c r="C24" s="26" t="s">
        <v>18</v>
      </c>
      <c r="D24" s="30">
        <v>2</v>
      </c>
      <c r="E24" s="30" t="s">
        <v>28</v>
      </c>
      <c r="F24" s="27">
        <v>750000</v>
      </c>
      <c r="G24" s="54">
        <v>1500000</v>
      </c>
      <c r="H24" s="58" t="s">
        <v>65</v>
      </c>
      <c r="I24" s="57"/>
      <c r="J24" s="25"/>
      <c r="K24" s="28"/>
      <c r="L24" s="24"/>
      <c r="M24" s="26"/>
      <c r="N24" s="27"/>
      <c r="O24" s="28"/>
    </row>
    <row r="25" spans="1:15" ht="15.75" thickBot="1">
      <c r="A25" s="28"/>
      <c r="B25" s="28" t="s">
        <v>27</v>
      </c>
      <c r="C25" s="26" t="s">
        <v>18</v>
      </c>
      <c r="D25" s="30">
        <v>10</v>
      </c>
      <c r="E25" s="30" t="s">
        <v>28</v>
      </c>
      <c r="F25" s="27">
        <v>170000</v>
      </c>
      <c r="G25" s="54">
        <v>1700000</v>
      </c>
      <c r="H25" s="58"/>
      <c r="I25" s="57"/>
      <c r="J25" s="25"/>
      <c r="K25" s="25"/>
      <c r="L25" s="33"/>
      <c r="M25" s="33"/>
      <c r="N25" s="25"/>
      <c r="O25" s="1"/>
    </row>
    <row r="26" spans="1:15">
      <c r="A26" s="31">
        <v>45671</v>
      </c>
      <c r="B26" s="28" t="s">
        <v>66</v>
      </c>
      <c r="C26" s="26" t="s">
        <v>18</v>
      </c>
      <c r="D26" s="30">
        <v>1</v>
      </c>
      <c r="E26" s="30" t="s">
        <v>42</v>
      </c>
      <c r="F26" s="27">
        <v>1200000</v>
      </c>
      <c r="G26" s="54">
        <v>1200000</v>
      </c>
      <c r="H26" s="77"/>
      <c r="I26" s="57"/>
      <c r="J26" s="25"/>
      <c r="K26" s="25"/>
      <c r="L26" s="33"/>
      <c r="M26" s="33"/>
      <c r="N26" s="34"/>
      <c r="O26" s="1"/>
    </row>
    <row r="27" spans="1:15">
      <c r="A27" s="28"/>
      <c r="B27" s="28" t="s">
        <v>67</v>
      </c>
      <c r="C27" s="26" t="s">
        <v>18</v>
      </c>
      <c r="D27" s="30">
        <v>1</v>
      </c>
      <c r="E27" s="30" t="s">
        <v>42</v>
      </c>
      <c r="F27" s="27">
        <v>2100000</v>
      </c>
      <c r="G27" s="54">
        <v>2100000</v>
      </c>
      <c r="H27" s="78" t="s">
        <v>70</v>
      </c>
      <c r="I27" s="57" t="s">
        <v>17</v>
      </c>
      <c r="J27" s="25"/>
      <c r="K27" s="25"/>
      <c r="L27" s="33"/>
      <c r="M27" s="33"/>
      <c r="N27" s="25" t="s">
        <v>262</v>
      </c>
      <c r="O27" s="1"/>
    </row>
    <row r="28" spans="1:15">
      <c r="A28" s="28"/>
      <c r="B28" s="28" t="s">
        <v>68</v>
      </c>
      <c r="C28" s="26" t="s">
        <v>18</v>
      </c>
      <c r="D28" s="30">
        <v>1</v>
      </c>
      <c r="E28" s="30" t="s">
        <v>42</v>
      </c>
      <c r="F28" s="27">
        <v>2100000</v>
      </c>
      <c r="G28" s="54">
        <v>2100000</v>
      </c>
      <c r="H28" s="78"/>
      <c r="I28" s="57"/>
      <c r="J28" s="25"/>
      <c r="K28" s="25"/>
      <c r="L28" s="33"/>
      <c r="M28" s="33"/>
      <c r="N28" s="25"/>
      <c r="O28" s="1"/>
    </row>
    <row r="29" spans="1:15" ht="15.75" thickBot="1">
      <c r="A29" s="31"/>
      <c r="B29" s="28" t="s">
        <v>69</v>
      </c>
      <c r="C29" s="26" t="s">
        <v>18</v>
      </c>
      <c r="D29" s="30">
        <v>30</v>
      </c>
      <c r="E29" s="30" t="s">
        <v>28</v>
      </c>
      <c r="F29" s="27">
        <v>100000</v>
      </c>
      <c r="G29" s="54">
        <v>3000000</v>
      </c>
      <c r="H29" s="80"/>
      <c r="I29" s="57"/>
      <c r="J29" s="25"/>
      <c r="K29" s="25"/>
      <c r="L29" s="33"/>
      <c r="M29" s="33"/>
      <c r="N29" s="25"/>
      <c r="O29" s="1"/>
    </row>
    <row r="30" spans="1:15">
      <c r="A30" s="31">
        <v>45674</v>
      </c>
      <c r="B30" s="28" t="s">
        <v>71</v>
      </c>
      <c r="C30" s="26" t="s">
        <v>18</v>
      </c>
      <c r="D30" s="30">
        <v>10</v>
      </c>
      <c r="E30" s="30" t="s">
        <v>28</v>
      </c>
      <c r="F30" s="27">
        <v>50000</v>
      </c>
      <c r="G30" s="54">
        <v>500000</v>
      </c>
      <c r="H30" s="59"/>
      <c r="I30" s="57"/>
      <c r="J30" s="25"/>
      <c r="K30" s="25"/>
      <c r="L30" s="33"/>
      <c r="M30" s="33"/>
      <c r="N30" s="25"/>
      <c r="O30" s="1"/>
    </row>
    <row r="31" spans="1:15">
      <c r="A31" s="28"/>
      <c r="B31" s="28" t="s">
        <v>72</v>
      </c>
      <c r="C31" s="26" t="s">
        <v>18</v>
      </c>
      <c r="D31" s="30">
        <v>10</v>
      </c>
      <c r="E31" s="30" t="s">
        <v>28</v>
      </c>
      <c r="F31" s="27">
        <v>50000</v>
      </c>
      <c r="G31" s="54">
        <v>500000</v>
      </c>
      <c r="H31" s="58"/>
      <c r="I31" s="57"/>
      <c r="J31" s="25"/>
      <c r="K31" s="25"/>
      <c r="L31" s="33"/>
      <c r="M31" s="33"/>
      <c r="N31" s="25"/>
      <c r="O31" s="1"/>
    </row>
    <row r="32" spans="1:15">
      <c r="A32" s="10"/>
      <c r="B32" s="28" t="s">
        <v>73</v>
      </c>
      <c r="C32" s="26" t="s">
        <v>18</v>
      </c>
      <c r="D32" s="30">
        <v>8</v>
      </c>
      <c r="E32" s="30" t="s">
        <v>28</v>
      </c>
      <c r="F32" s="27">
        <v>50000</v>
      </c>
      <c r="G32" s="54">
        <v>400000</v>
      </c>
      <c r="H32" s="58"/>
      <c r="I32" s="57"/>
      <c r="J32" s="25"/>
      <c r="K32" s="25"/>
      <c r="L32" s="33"/>
      <c r="M32" s="33"/>
      <c r="N32" s="25"/>
      <c r="O32" s="1"/>
    </row>
    <row r="33" spans="1:15" s="1" customFormat="1">
      <c r="A33" s="10"/>
      <c r="B33" s="28" t="s">
        <v>85</v>
      </c>
      <c r="C33" s="26" t="s">
        <v>18</v>
      </c>
      <c r="D33" s="30">
        <v>10</v>
      </c>
      <c r="E33" s="30" t="s">
        <v>28</v>
      </c>
      <c r="F33" s="27">
        <v>50000</v>
      </c>
      <c r="G33" s="54">
        <v>500000</v>
      </c>
      <c r="H33" s="58"/>
      <c r="I33" s="57"/>
      <c r="J33" s="25"/>
      <c r="K33" s="25"/>
      <c r="L33" s="33"/>
      <c r="M33" s="33"/>
      <c r="N33" s="25"/>
    </row>
    <row r="34" spans="1:15">
      <c r="A34" s="10"/>
      <c r="B34" s="28" t="s">
        <v>74</v>
      </c>
      <c r="C34" s="26" t="s">
        <v>18</v>
      </c>
      <c r="D34" s="30">
        <v>10</v>
      </c>
      <c r="E34" s="30" t="s">
        <v>28</v>
      </c>
      <c r="F34" s="27">
        <v>50000</v>
      </c>
      <c r="G34" s="54">
        <v>500000</v>
      </c>
      <c r="H34" s="58"/>
      <c r="I34" s="57"/>
      <c r="J34" s="25"/>
      <c r="K34" s="1"/>
      <c r="L34" s="33"/>
      <c r="M34" s="33"/>
      <c r="N34" s="25"/>
      <c r="O34" s="1"/>
    </row>
    <row r="35" spans="1:15">
      <c r="A35" s="10"/>
      <c r="B35" s="10" t="s">
        <v>75</v>
      </c>
      <c r="C35" s="11" t="s">
        <v>18</v>
      </c>
      <c r="D35" s="11">
        <v>2</v>
      </c>
      <c r="E35" s="11" t="s">
        <v>28</v>
      </c>
      <c r="F35" s="12">
        <v>120000</v>
      </c>
      <c r="G35" s="40">
        <v>240000</v>
      </c>
      <c r="H35" s="82"/>
      <c r="I35" s="79"/>
      <c r="J35" s="1"/>
      <c r="K35" s="1"/>
      <c r="L35" s="1"/>
      <c r="M35" s="2"/>
      <c r="N35" s="1"/>
      <c r="O35" s="1"/>
    </row>
    <row r="36" spans="1:15">
      <c r="A36" s="10"/>
      <c r="B36" s="10" t="s">
        <v>76</v>
      </c>
      <c r="C36" s="11" t="s">
        <v>18</v>
      </c>
      <c r="D36" s="11">
        <v>1</v>
      </c>
      <c r="E36" s="11" t="s">
        <v>42</v>
      </c>
      <c r="F36" s="12">
        <v>1300000</v>
      </c>
      <c r="G36" s="40">
        <v>1300000</v>
      </c>
      <c r="H36" s="82" t="s">
        <v>84</v>
      </c>
      <c r="I36" s="79" t="s">
        <v>15</v>
      </c>
      <c r="J36" s="1"/>
      <c r="K36" s="1"/>
      <c r="L36" s="1"/>
      <c r="M36" s="2"/>
      <c r="N36" s="1"/>
      <c r="O36" s="1"/>
    </row>
    <row r="37" spans="1:15">
      <c r="A37" s="10"/>
      <c r="B37" s="10" t="s">
        <v>78</v>
      </c>
      <c r="C37" s="11" t="s">
        <v>18</v>
      </c>
      <c r="D37" s="11">
        <v>5</v>
      </c>
      <c r="E37" s="11" t="s">
        <v>28</v>
      </c>
      <c r="F37" s="12">
        <v>110000</v>
      </c>
      <c r="G37" s="40">
        <v>550000</v>
      </c>
      <c r="H37" s="82"/>
      <c r="I37" s="79"/>
    </row>
    <row r="38" spans="1:15">
      <c r="A38" s="10"/>
      <c r="B38" s="10" t="s">
        <v>77</v>
      </c>
      <c r="C38" s="11" t="s">
        <v>18</v>
      </c>
      <c r="D38" s="11">
        <v>5</v>
      </c>
      <c r="E38" s="11" t="s">
        <v>28</v>
      </c>
      <c r="F38" s="12">
        <v>110000</v>
      </c>
      <c r="G38" s="40">
        <v>550000</v>
      </c>
      <c r="H38" s="82"/>
      <c r="I38" s="79"/>
    </row>
    <row r="39" spans="1:15">
      <c r="A39" s="10"/>
      <c r="B39" s="10" t="s">
        <v>79</v>
      </c>
      <c r="C39" s="11" t="s">
        <v>18</v>
      </c>
      <c r="D39" s="11">
        <v>3</v>
      </c>
      <c r="E39" s="11" t="s">
        <v>28</v>
      </c>
      <c r="F39" s="12">
        <v>100000</v>
      </c>
      <c r="G39" s="40">
        <v>300000</v>
      </c>
      <c r="H39" s="82"/>
      <c r="I39" s="79"/>
    </row>
    <row r="40" spans="1:15">
      <c r="A40" s="10"/>
      <c r="B40" s="10" t="s">
        <v>80</v>
      </c>
      <c r="C40" s="11" t="s">
        <v>18</v>
      </c>
      <c r="D40" s="11">
        <v>7</v>
      </c>
      <c r="E40" s="11" t="s">
        <v>28</v>
      </c>
      <c r="F40" s="12">
        <v>100000</v>
      </c>
      <c r="G40" s="40">
        <v>700000</v>
      </c>
      <c r="H40" s="82"/>
      <c r="I40" s="79"/>
    </row>
    <row r="41" spans="1:15">
      <c r="A41" s="10"/>
      <c r="B41" s="10" t="s">
        <v>81</v>
      </c>
      <c r="C41" s="11" t="s">
        <v>18</v>
      </c>
      <c r="D41" s="11">
        <v>4</v>
      </c>
      <c r="E41" s="11" t="s">
        <v>28</v>
      </c>
      <c r="F41" s="12">
        <v>100000</v>
      </c>
      <c r="G41" s="40">
        <v>400000</v>
      </c>
      <c r="H41" s="82"/>
      <c r="I41" s="79"/>
    </row>
    <row r="42" spans="1:15">
      <c r="A42" s="10"/>
      <c r="B42" s="10" t="s">
        <v>82</v>
      </c>
      <c r="C42" s="11" t="s">
        <v>18</v>
      </c>
      <c r="D42" s="11">
        <v>2</v>
      </c>
      <c r="E42" s="11" t="s">
        <v>28</v>
      </c>
      <c r="F42" s="12">
        <v>250000</v>
      </c>
      <c r="G42" s="40">
        <v>500000</v>
      </c>
      <c r="H42" s="82"/>
      <c r="I42" s="79"/>
    </row>
    <row r="43" spans="1:15" ht="15.75" thickBot="1">
      <c r="A43" s="10"/>
      <c r="B43" s="10" t="s">
        <v>83</v>
      </c>
      <c r="C43" s="11" t="s">
        <v>18</v>
      </c>
      <c r="D43" s="11">
        <v>2</v>
      </c>
      <c r="E43" s="11" t="s">
        <v>28</v>
      </c>
      <c r="F43" s="12">
        <v>200000</v>
      </c>
      <c r="G43" s="40">
        <v>400000</v>
      </c>
      <c r="H43" s="82"/>
      <c r="I43" s="79"/>
    </row>
    <row r="44" spans="1:15">
      <c r="A44" s="9">
        <v>45677</v>
      </c>
      <c r="B44" s="10" t="s">
        <v>86</v>
      </c>
      <c r="C44" s="11" t="s">
        <v>47</v>
      </c>
      <c r="D44" s="11">
        <v>1</v>
      </c>
      <c r="E44" s="11" t="s">
        <v>28</v>
      </c>
      <c r="F44" s="12">
        <v>1949250</v>
      </c>
      <c r="G44" s="40">
        <v>1949250</v>
      </c>
      <c r="H44" s="84"/>
      <c r="I44" s="79"/>
    </row>
    <row r="45" spans="1:15" ht="15.75" thickBot="1">
      <c r="A45" s="10"/>
      <c r="B45" s="10" t="s">
        <v>87</v>
      </c>
      <c r="C45" s="11" t="s">
        <v>47</v>
      </c>
      <c r="D45" s="11">
        <v>1</v>
      </c>
      <c r="E45" s="11" t="s">
        <v>28</v>
      </c>
      <c r="F45" s="12">
        <v>1949250</v>
      </c>
      <c r="G45" s="40">
        <v>1949250</v>
      </c>
      <c r="H45" s="83" t="s">
        <v>88</v>
      </c>
      <c r="I45" s="79" t="s">
        <v>16</v>
      </c>
    </row>
    <row r="46" spans="1:15" ht="15.75" thickBot="1">
      <c r="A46" s="9">
        <v>45677</v>
      </c>
      <c r="B46" s="10" t="s">
        <v>89</v>
      </c>
      <c r="C46" s="11" t="s">
        <v>18</v>
      </c>
      <c r="D46" s="11">
        <v>2</v>
      </c>
      <c r="E46" s="11" t="s">
        <v>28</v>
      </c>
      <c r="F46" s="12">
        <v>750000</v>
      </c>
      <c r="G46" s="40">
        <v>1500000</v>
      </c>
      <c r="H46" s="84" t="s">
        <v>90</v>
      </c>
      <c r="I46" s="79" t="s">
        <v>15</v>
      </c>
    </row>
    <row r="47" spans="1:15">
      <c r="A47" s="9">
        <v>45684</v>
      </c>
      <c r="B47" s="10" t="s">
        <v>91</v>
      </c>
      <c r="C47" s="11" t="s">
        <v>18</v>
      </c>
      <c r="D47" s="11">
        <v>7</v>
      </c>
      <c r="E47" s="11" t="s">
        <v>28</v>
      </c>
      <c r="F47" s="12">
        <v>100000</v>
      </c>
      <c r="G47" s="40">
        <v>700000</v>
      </c>
      <c r="H47" s="85"/>
      <c r="I47" s="79"/>
    </row>
    <row r="48" spans="1:15">
      <c r="A48" s="10"/>
      <c r="B48" s="10" t="s">
        <v>92</v>
      </c>
      <c r="C48" s="11" t="s">
        <v>18</v>
      </c>
      <c r="D48" s="11">
        <v>1</v>
      </c>
      <c r="E48" s="11" t="s">
        <v>28</v>
      </c>
      <c r="F48" s="12">
        <v>100000</v>
      </c>
      <c r="G48" s="40">
        <v>100000</v>
      </c>
      <c r="H48" s="86"/>
      <c r="I48" s="79"/>
    </row>
    <row r="49" spans="1:9">
      <c r="A49" s="10"/>
      <c r="B49" s="10" t="s">
        <v>93</v>
      </c>
      <c r="C49" s="11" t="s">
        <v>18</v>
      </c>
      <c r="D49" s="11">
        <v>5</v>
      </c>
      <c r="E49" s="11" t="s">
        <v>28</v>
      </c>
      <c r="F49" s="12">
        <v>90000</v>
      </c>
      <c r="G49" s="40">
        <v>450000</v>
      </c>
      <c r="H49" s="86"/>
      <c r="I49" s="79"/>
    </row>
    <row r="50" spans="1:9">
      <c r="A50" s="10"/>
      <c r="B50" s="10" t="s">
        <v>94</v>
      </c>
      <c r="C50" s="11" t="s">
        <v>18</v>
      </c>
      <c r="D50" s="11">
        <v>50</v>
      </c>
      <c r="E50" s="11" t="s">
        <v>28</v>
      </c>
      <c r="F50" s="12">
        <v>10000</v>
      </c>
      <c r="G50" s="40">
        <v>610000</v>
      </c>
      <c r="H50" s="86"/>
      <c r="I50" s="79"/>
    </row>
    <row r="51" spans="1:9">
      <c r="A51" s="10"/>
      <c r="B51" s="10" t="s">
        <v>95</v>
      </c>
      <c r="C51" s="11" t="s">
        <v>18</v>
      </c>
      <c r="D51" s="11">
        <v>1</v>
      </c>
      <c r="E51" s="11" t="s">
        <v>28</v>
      </c>
      <c r="F51" s="12">
        <v>42500</v>
      </c>
      <c r="G51" s="40">
        <v>425000</v>
      </c>
      <c r="H51" s="86"/>
      <c r="I51" s="79" t="s">
        <v>15</v>
      </c>
    </row>
    <row r="52" spans="1:9">
      <c r="A52" s="10"/>
      <c r="B52" s="10" t="s">
        <v>96</v>
      </c>
      <c r="C52" s="11" t="s">
        <v>18</v>
      </c>
      <c r="D52" s="11">
        <v>20</v>
      </c>
      <c r="E52" s="11" t="s">
        <v>28</v>
      </c>
      <c r="F52" s="12">
        <v>35000</v>
      </c>
      <c r="G52" s="40">
        <v>700000</v>
      </c>
      <c r="H52" s="86" t="s">
        <v>99</v>
      </c>
      <c r="I52" s="79"/>
    </row>
    <row r="53" spans="1:9">
      <c r="A53" s="10"/>
      <c r="B53" s="10" t="s">
        <v>97</v>
      </c>
      <c r="C53" s="11" t="s">
        <v>18</v>
      </c>
      <c r="D53" s="11">
        <v>5</v>
      </c>
      <c r="E53" s="11" t="s">
        <v>28</v>
      </c>
      <c r="F53" s="12">
        <v>130000</v>
      </c>
      <c r="G53" s="40">
        <v>650000</v>
      </c>
      <c r="H53" s="86"/>
      <c r="I53" s="79"/>
    </row>
    <row r="54" spans="1:9">
      <c r="A54" s="10"/>
      <c r="B54" s="10" t="s">
        <v>98</v>
      </c>
      <c r="C54" s="11" t="s">
        <v>18</v>
      </c>
      <c r="D54" s="11">
        <v>1</v>
      </c>
      <c r="E54" s="11" t="s">
        <v>28</v>
      </c>
      <c r="F54" s="12">
        <v>200000</v>
      </c>
      <c r="G54" s="40">
        <v>200000</v>
      </c>
      <c r="H54" s="86"/>
      <c r="I54" s="79"/>
    </row>
    <row r="55" spans="1:9" ht="15.75" thickBot="1">
      <c r="A55" s="10"/>
      <c r="B55" s="10" t="s">
        <v>100</v>
      </c>
      <c r="C55" s="11" t="s">
        <v>18</v>
      </c>
      <c r="D55" s="11">
        <v>2</v>
      </c>
      <c r="E55" s="11" t="s">
        <v>28</v>
      </c>
      <c r="F55" s="12">
        <v>200000</v>
      </c>
      <c r="G55" s="40">
        <v>400000</v>
      </c>
      <c r="H55" s="87"/>
      <c r="I55" s="79"/>
    </row>
    <row r="56" spans="1:9">
      <c r="A56" s="10"/>
      <c r="B56" s="10"/>
      <c r="C56" s="11"/>
      <c r="D56" s="11"/>
      <c r="E56" s="11"/>
      <c r="F56" s="12"/>
      <c r="G56" s="12"/>
      <c r="H56" s="81"/>
      <c r="I56" s="10"/>
    </row>
    <row r="57" spans="1:9">
      <c r="A57" s="10"/>
      <c r="B57" s="10"/>
      <c r="C57" s="10"/>
      <c r="D57" s="10"/>
      <c r="E57" s="10"/>
      <c r="F57" s="12"/>
      <c r="G57" s="12"/>
      <c r="H57" s="12"/>
      <c r="I57" s="10"/>
    </row>
    <row r="58" spans="1:9">
      <c r="A58" s="10"/>
      <c r="B58" s="10"/>
      <c r="C58" s="10"/>
      <c r="D58" s="10"/>
      <c r="E58" s="10"/>
      <c r="F58" s="12"/>
      <c r="G58" s="12"/>
      <c r="H58" s="12"/>
      <c r="I58" s="10"/>
    </row>
    <row r="59" spans="1:9">
      <c r="A59" s="10"/>
      <c r="B59" s="10"/>
      <c r="C59" s="10"/>
      <c r="D59" s="10"/>
      <c r="E59" s="10"/>
      <c r="F59" s="12"/>
      <c r="G59" s="12"/>
      <c r="H59" s="12"/>
      <c r="I59" s="10"/>
    </row>
    <row r="60" spans="1:9">
      <c r="A60" s="10"/>
      <c r="B60" s="10"/>
      <c r="C60" s="10"/>
      <c r="D60" s="10"/>
      <c r="E60" s="10"/>
      <c r="F60" s="12"/>
      <c r="G60" s="12"/>
      <c r="H60" s="12"/>
      <c r="I60" s="10"/>
    </row>
    <row r="61" spans="1:9">
      <c r="A61" s="10"/>
      <c r="B61" s="10"/>
      <c r="C61" s="10"/>
      <c r="D61" s="10"/>
      <c r="E61" s="10"/>
      <c r="F61" s="12"/>
      <c r="G61" s="12"/>
      <c r="H61" s="12"/>
      <c r="I61" s="10"/>
    </row>
    <row r="62" spans="1:9">
      <c r="A62" s="10"/>
      <c r="B62" s="10"/>
      <c r="C62" s="10"/>
      <c r="D62" s="10"/>
      <c r="E62" s="10"/>
      <c r="F62" s="12"/>
      <c r="G62" s="12"/>
      <c r="H62" s="12"/>
      <c r="I62" s="10"/>
    </row>
    <row r="63" spans="1:9">
      <c r="A63" s="10"/>
      <c r="B63" s="10"/>
      <c r="C63" s="10"/>
      <c r="D63" s="10"/>
      <c r="E63" s="10"/>
      <c r="F63" s="12"/>
      <c r="G63" s="12"/>
      <c r="H63" s="12"/>
      <c r="I63" s="10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O35"/>
  <sheetViews>
    <sheetView workbookViewId="0">
      <selection activeCell="C22" sqref="C22"/>
    </sheetView>
  </sheetViews>
  <sheetFormatPr defaultRowHeight="15"/>
  <cols>
    <col min="1" max="1" width="9.28515625" customWidth="1"/>
    <col min="2" max="2" width="42.85546875" customWidth="1"/>
    <col min="3" max="3" width="37.140625" bestFit="1" customWidth="1"/>
    <col min="5" max="5" width="9" customWidth="1"/>
    <col min="6" max="6" width="18" customWidth="1"/>
    <col min="7" max="7" width="17.7109375" customWidth="1"/>
    <col min="8" max="8" width="18" customWidth="1"/>
    <col min="9" max="9" width="18.140625" customWidth="1"/>
    <col min="13" max="13" width="15.42578125" customWidth="1"/>
    <col min="14" max="14" width="21" customWidth="1"/>
    <col min="15" max="15" width="17.85546875" customWidth="1"/>
  </cols>
  <sheetData>
    <row r="2" spans="1:15">
      <c r="A2" s="1" t="s">
        <v>14</v>
      </c>
      <c r="K2" s="1" t="s">
        <v>15</v>
      </c>
    </row>
    <row r="3" spans="1:15" ht="45.75" thickBot="1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43" t="s">
        <v>7</v>
      </c>
      <c r="I3" s="4" t="s">
        <v>8</v>
      </c>
      <c r="J3" s="1"/>
      <c r="K3" s="7" t="s">
        <v>9</v>
      </c>
      <c r="L3" s="8" t="s">
        <v>10</v>
      </c>
      <c r="M3" s="3" t="s">
        <v>11</v>
      </c>
      <c r="N3" s="6" t="s">
        <v>12</v>
      </c>
      <c r="O3" s="4" t="s">
        <v>8</v>
      </c>
    </row>
    <row r="4" spans="1:15" ht="15.75" thickBot="1">
      <c r="A4" s="9">
        <v>45693</v>
      </c>
      <c r="B4" s="10" t="s">
        <v>101</v>
      </c>
      <c r="C4" s="11" t="s">
        <v>113</v>
      </c>
      <c r="D4" s="11">
        <v>4</v>
      </c>
      <c r="E4" s="11" t="s">
        <v>28</v>
      </c>
      <c r="F4" s="12">
        <v>1250000</v>
      </c>
      <c r="G4" s="40">
        <v>5000000</v>
      </c>
      <c r="H4" s="50" t="s">
        <v>102</v>
      </c>
      <c r="I4" s="41" t="s">
        <v>16</v>
      </c>
      <c r="J4" s="14"/>
      <c r="K4" s="45">
        <v>1</v>
      </c>
      <c r="L4" s="46">
        <v>45659</v>
      </c>
      <c r="M4" s="47" t="s">
        <v>18</v>
      </c>
      <c r="N4" s="48">
        <v>2225000</v>
      </c>
      <c r="O4" s="49" t="s">
        <v>61</v>
      </c>
    </row>
    <row r="5" spans="1:15">
      <c r="A5" s="9">
        <v>45698</v>
      </c>
      <c r="B5" s="10" t="s">
        <v>103</v>
      </c>
      <c r="C5" s="11" t="s">
        <v>18</v>
      </c>
      <c r="D5" s="11">
        <v>10</v>
      </c>
      <c r="E5" s="11" t="s">
        <v>28</v>
      </c>
      <c r="F5" s="11" t="s">
        <v>109</v>
      </c>
      <c r="G5" s="40">
        <v>1750000</v>
      </c>
      <c r="H5" s="50"/>
      <c r="I5" s="41"/>
      <c r="J5" s="17"/>
      <c r="K5" s="45">
        <v>2</v>
      </c>
      <c r="L5" s="60">
        <v>45659</v>
      </c>
      <c r="M5" s="61" t="s">
        <v>18</v>
      </c>
      <c r="N5" s="61" t="s">
        <v>32</v>
      </c>
      <c r="O5" s="61" t="s">
        <v>61</v>
      </c>
    </row>
    <row r="6" spans="1:15">
      <c r="A6" s="10"/>
      <c r="B6" s="10" t="s">
        <v>104</v>
      </c>
      <c r="C6" s="11" t="s">
        <v>18</v>
      </c>
      <c r="D6" s="11">
        <v>5</v>
      </c>
      <c r="E6" s="11" t="s">
        <v>28</v>
      </c>
      <c r="F6" s="11" t="s">
        <v>109</v>
      </c>
      <c r="G6" s="40">
        <v>875000</v>
      </c>
      <c r="H6" s="51"/>
      <c r="I6" s="41"/>
      <c r="J6" s="22"/>
      <c r="K6" s="72">
        <v>3</v>
      </c>
      <c r="L6" s="73">
        <v>45661</v>
      </c>
      <c r="M6" s="74" t="s">
        <v>41</v>
      </c>
      <c r="N6" s="75">
        <v>9990000</v>
      </c>
      <c r="O6" s="76" t="s">
        <v>299</v>
      </c>
    </row>
    <row r="7" spans="1:15">
      <c r="A7" s="10"/>
      <c r="B7" s="10" t="s">
        <v>105</v>
      </c>
      <c r="C7" s="11" t="s">
        <v>18</v>
      </c>
      <c r="D7" s="11">
        <v>5</v>
      </c>
      <c r="E7" s="11" t="s">
        <v>28</v>
      </c>
      <c r="F7" s="11" t="s">
        <v>109</v>
      </c>
      <c r="G7" s="40">
        <v>875000</v>
      </c>
      <c r="H7" s="51"/>
      <c r="I7" s="41" t="s">
        <v>17</v>
      </c>
      <c r="J7" s="25"/>
      <c r="K7" s="45">
        <v>4</v>
      </c>
      <c r="L7" s="46">
        <v>45664</v>
      </c>
      <c r="M7" s="47" t="s">
        <v>18</v>
      </c>
      <c r="N7" s="48">
        <v>3770000</v>
      </c>
      <c r="O7" s="63" t="s">
        <v>61</v>
      </c>
    </row>
    <row r="8" spans="1:15">
      <c r="A8" s="10"/>
      <c r="B8" s="10" t="s">
        <v>106</v>
      </c>
      <c r="C8" s="11" t="s">
        <v>18</v>
      </c>
      <c r="D8" s="11">
        <v>4</v>
      </c>
      <c r="E8" s="11" t="s">
        <v>28</v>
      </c>
      <c r="F8" s="11" t="s">
        <v>109</v>
      </c>
      <c r="G8" s="40">
        <v>700000</v>
      </c>
      <c r="H8" s="51" t="s">
        <v>112</v>
      </c>
      <c r="I8" s="41"/>
      <c r="J8" s="25"/>
      <c r="K8" s="45">
        <v>5</v>
      </c>
      <c r="L8" s="46">
        <v>45665</v>
      </c>
      <c r="M8" s="47" t="s">
        <v>18</v>
      </c>
      <c r="N8" s="48">
        <v>12840000</v>
      </c>
      <c r="O8" s="63" t="s">
        <v>61</v>
      </c>
    </row>
    <row r="9" spans="1:15">
      <c r="A9" s="28"/>
      <c r="B9" s="10" t="s">
        <v>107</v>
      </c>
      <c r="C9" s="11" t="s">
        <v>18</v>
      </c>
      <c r="D9" s="11">
        <v>4</v>
      </c>
      <c r="E9" s="11" t="s">
        <v>28</v>
      </c>
      <c r="F9" s="88" t="s">
        <v>109</v>
      </c>
      <c r="G9" s="40">
        <v>700000</v>
      </c>
      <c r="H9" s="51"/>
      <c r="I9" s="41"/>
      <c r="J9" s="25"/>
      <c r="K9" s="45">
        <v>6</v>
      </c>
      <c r="L9" s="46">
        <v>45667</v>
      </c>
      <c r="M9" s="47" t="s">
        <v>18</v>
      </c>
      <c r="N9" s="48">
        <v>6750000</v>
      </c>
      <c r="O9" s="63" t="s">
        <v>61</v>
      </c>
    </row>
    <row r="10" spans="1:15">
      <c r="A10" s="28"/>
      <c r="B10" s="10" t="s">
        <v>27</v>
      </c>
      <c r="C10" s="11" t="s">
        <v>18</v>
      </c>
      <c r="D10" s="11">
        <v>15</v>
      </c>
      <c r="E10" s="11" t="s">
        <v>28</v>
      </c>
      <c r="F10" s="11" t="s">
        <v>110</v>
      </c>
      <c r="G10" s="40">
        <v>2550000</v>
      </c>
      <c r="H10" s="51"/>
      <c r="I10" s="41"/>
      <c r="J10" s="25"/>
      <c r="K10" s="45">
        <v>7</v>
      </c>
      <c r="L10" s="46">
        <v>45671</v>
      </c>
      <c r="M10" s="47" t="s">
        <v>18</v>
      </c>
      <c r="N10" s="62">
        <v>8400000</v>
      </c>
      <c r="O10" s="49" t="s">
        <v>61</v>
      </c>
    </row>
    <row r="11" spans="1:15" ht="15.75" thickBot="1">
      <c r="A11" s="28"/>
      <c r="B11" s="28" t="s">
        <v>108</v>
      </c>
      <c r="C11" s="11" t="s">
        <v>18</v>
      </c>
      <c r="D11" s="30">
        <v>5</v>
      </c>
      <c r="E11" s="11" t="s">
        <v>28</v>
      </c>
      <c r="F11" s="11" t="s">
        <v>111</v>
      </c>
      <c r="G11" s="40">
        <v>700000</v>
      </c>
      <c r="H11" s="51"/>
      <c r="I11" s="41"/>
      <c r="J11" s="25"/>
      <c r="K11" s="45">
        <v>8</v>
      </c>
      <c r="L11" s="46">
        <v>45674</v>
      </c>
      <c r="M11" s="47" t="s">
        <v>18</v>
      </c>
      <c r="N11" s="48">
        <v>7340000</v>
      </c>
      <c r="O11" s="49" t="s">
        <v>61</v>
      </c>
    </row>
    <row r="12" spans="1:15">
      <c r="A12" s="31">
        <v>45703</v>
      </c>
      <c r="B12" s="28" t="s">
        <v>114</v>
      </c>
      <c r="C12" s="11" t="s">
        <v>18</v>
      </c>
      <c r="D12" s="30">
        <v>6</v>
      </c>
      <c r="E12" s="11" t="s">
        <v>28</v>
      </c>
      <c r="F12" s="12">
        <v>100000</v>
      </c>
      <c r="G12" s="40">
        <v>600000</v>
      </c>
      <c r="H12" s="52" t="s">
        <v>116</v>
      </c>
      <c r="I12" s="41" t="s">
        <v>17</v>
      </c>
      <c r="J12" s="25"/>
      <c r="K12" s="45">
        <v>9</v>
      </c>
      <c r="L12" s="46">
        <v>45677</v>
      </c>
      <c r="M12" s="47" t="s">
        <v>18</v>
      </c>
      <c r="N12" s="48">
        <v>1500000</v>
      </c>
      <c r="O12" s="49" t="s">
        <v>61</v>
      </c>
    </row>
    <row r="13" spans="1:15" ht="15.75" thickBot="1">
      <c r="A13" s="31"/>
      <c r="B13" s="28" t="s">
        <v>115</v>
      </c>
      <c r="C13" s="11" t="s">
        <v>18</v>
      </c>
      <c r="D13" s="30">
        <v>10</v>
      </c>
      <c r="E13" s="11" t="s">
        <v>28</v>
      </c>
      <c r="F13" s="27">
        <v>80000</v>
      </c>
      <c r="G13" s="54">
        <v>800000</v>
      </c>
      <c r="H13" s="90"/>
      <c r="I13" s="41"/>
      <c r="J13" s="25"/>
      <c r="K13" s="45">
        <v>10</v>
      </c>
      <c r="L13" s="60">
        <v>45684</v>
      </c>
      <c r="M13" s="61" t="s">
        <v>18</v>
      </c>
      <c r="N13" s="61" t="s">
        <v>99</v>
      </c>
      <c r="O13" s="63" t="s">
        <v>61</v>
      </c>
    </row>
    <row r="14" spans="1:15">
      <c r="A14" s="31">
        <v>45707</v>
      </c>
      <c r="B14" s="28" t="s">
        <v>117</v>
      </c>
      <c r="C14" s="26" t="s">
        <v>18</v>
      </c>
      <c r="D14" s="30">
        <v>6</v>
      </c>
      <c r="E14" s="30" t="s">
        <v>28</v>
      </c>
      <c r="F14" s="27">
        <v>750000</v>
      </c>
      <c r="G14" s="54">
        <v>4500000</v>
      </c>
      <c r="H14" s="91" t="s">
        <v>119</v>
      </c>
      <c r="I14" s="55" t="s">
        <v>17</v>
      </c>
      <c r="J14" s="25"/>
      <c r="K14" s="112">
        <v>11</v>
      </c>
      <c r="L14" s="113" t="s">
        <v>163</v>
      </c>
      <c r="M14" s="114" t="s">
        <v>173</v>
      </c>
      <c r="N14" s="115">
        <v>1550000</v>
      </c>
      <c r="O14" s="116" t="s">
        <v>306</v>
      </c>
    </row>
    <row r="15" spans="1:15" ht="15.75" thickBot="1">
      <c r="A15" s="28"/>
      <c r="B15" s="28" t="s">
        <v>118</v>
      </c>
      <c r="C15" s="26" t="s">
        <v>18</v>
      </c>
      <c r="D15" s="30">
        <v>2</v>
      </c>
      <c r="E15" s="30" t="s">
        <v>28</v>
      </c>
      <c r="F15" s="27">
        <v>750000</v>
      </c>
      <c r="G15" s="54">
        <v>1500000</v>
      </c>
      <c r="H15" s="92"/>
      <c r="I15" s="57"/>
      <c r="J15" s="25"/>
      <c r="K15" s="99">
        <v>12</v>
      </c>
      <c r="L15" s="100">
        <v>45768</v>
      </c>
      <c r="M15" s="101" t="s">
        <v>210</v>
      </c>
      <c r="N15" s="104">
        <v>3800000</v>
      </c>
      <c r="O15" s="107" t="s">
        <v>333</v>
      </c>
    </row>
    <row r="16" spans="1:15" ht="15.75" thickBot="1">
      <c r="A16" s="31">
        <v>45713</v>
      </c>
      <c r="B16" s="28" t="s">
        <v>121</v>
      </c>
      <c r="C16" s="26" t="s">
        <v>23</v>
      </c>
      <c r="D16" s="30">
        <v>1</v>
      </c>
      <c r="E16" s="30" t="s">
        <v>28</v>
      </c>
      <c r="F16" s="27">
        <v>9500000</v>
      </c>
      <c r="G16" s="54">
        <v>9500000</v>
      </c>
      <c r="H16" s="59" t="s">
        <v>122</v>
      </c>
      <c r="I16" s="57" t="s">
        <v>17</v>
      </c>
      <c r="J16" s="25"/>
      <c r="K16" s="18">
        <v>13</v>
      </c>
      <c r="L16" s="24"/>
      <c r="M16" s="26"/>
      <c r="N16" s="27"/>
      <c r="O16" s="35"/>
    </row>
    <row r="17" spans="1:15">
      <c r="A17" s="38">
        <v>45713</v>
      </c>
      <c r="B17" s="28" t="s">
        <v>123</v>
      </c>
      <c r="C17" s="26" t="s">
        <v>18</v>
      </c>
      <c r="D17" s="30">
        <v>5</v>
      </c>
      <c r="E17" s="30" t="s">
        <v>28</v>
      </c>
      <c r="F17" s="27">
        <v>90000</v>
      </c>
      <c r="G17" s="54">
        <v>450000</v>
      </c>
      <c r="H17" s="59"/>
      <c r="I17" s="57" t="s">
        <v>17</v>
      </c>
      <c r="J17" s="25"/>
      <c r="K17" s="18">
        <v>14</v>
      </c>
      <c r="L17" s="24"/>
      <c r="M17" s="26"/>
      <c r="N17" s="27"/>
      <c r="O17" s="35"/>
    </row>
    <row r="18" spans="1:15">
      <c r="A18" s="31"/>
      <c r="B18" s="28" t="s">
        <v>124</v>
      </c>
      <c r="C18" s="26" t="s">
        <v>18</v>
      </c>
      <c r="D18" s="30">
        <v>10</v>
      </c>
      <c r="E18" s="30" t="s">
        <v>28</v>
      </c>
      <c r="F18" s="27">
        <v>90000</v>
      </c>
      <c r="G18" s="54">
        <v>900000</v>
      </c>
      <c r="H18" s="58" t="s">
        <v>126</v>
      </c>
      <c r="I18" s="57"/>
      <c r="J18" s="25"/>
      <c r="K18" s="23">
        <v>15</v>
      </c>
      <c r="L18" s="24"/>
      <c r="M18" s="26"/>
      <c r="N18" s="27"/>
      <c r="O18" s="37"/>
    </row>
    <row r="19" spans="1:15" ht="15.75" thickBot="1">
      <c r="A19" s="28"/>
      <c r="B19" s="28" t="s">
        <v>125</v>
      </c>
      <c r="C19" s="26" t="s">
        <v>18</v>
      </c>
      <c r="D19" s="30">
        <v>10</v>
      </c>
      <c r="E19" s="30" t="s">
        <v>28</v>
      </c>
      <c r="F19" s="27">
        <v>50000</v>
      </c>
      <c r="G19" s="54">
        <v>500000</v>
      </c>
      <c r="H19" s="56"/>
      <c r="I19" s="57"/>
      <c r="J19" s="25"/>
      <c r="K19" s="18">
        <v>16</v>
      </c>
      <c r="L19" s="32"/>
      <c r="M19" s="11"/>
      <c r="N19" s="27"/>
      <c r="O19" s="35"/>
    </row>
    <row r="20" spans="1:15">
      <c r="A20" s="28"/>
      <c r="B20" s="28"/>
      <c r="C20" s="26"/>
      <c r="D20" s="30"/>
      <c r="E20" s="30"/>
      <c r="F20" s="27"/>
      <c r="G20" s="27"/>
      <c r="H20" s="89"/>
      <c r="I20" s="28"/>
      <c r="J20" s="25"/>
      <c r="K20" s="18">
        <v>17</v>
      </c>
      <c r="L20" s="24"/>
      <c r="M20" s="26"/>
      <c r="N20" s="27"/>
      <c r="O20" s="35"/>
    </row>
    <row r="21" spans="1:15">
      <c r="A21" s="31"/>
      <c r="B21" s="28"/>
      <c r="C21" s="26"/>
      <c r="D21" s="30"/>
      <c r="E21" s="30"/>
      <c r="F21" s="27"/>
      <c r="G21" s="27"/>
      <c r="H21" s="27"/>
      <c r="I21" s="28"/>
      <c r="J21" s="25"/>
      <c r="K21" s="23">
        <v>18</v>
      </c>
      <c r="L21" s="24"/>
      <c r="M21" s="26"/>
      <c r="N21" s="27"/>
      <c r="O21" s="35"/>
    </row>
    <row r="22" spans="1:15">
      <c r="A22" s="28"/>
      <c r="B22" s="28"/>
      <c r="C22" s="26"/>
      <c r="D22" s="30"/>
      <c r="E22" s="30"/>
      <c r="F22" s="27"/>
      <c r="G22" s="27"/>
      <c r="H22" s="27"/>
      <c r="I22" s="28"/>
      <c r="J22" s="25"/>
      <c r="K22" s="18">
        <v>19</v>
      </c>
      <c r="L22" s="24"/>
      <c r="M22" s="26"/>
      <c r="N22" s="27"/>
      <c r="O22" s="35"/>
    </row>
    <row r="23" spans="1:15">
      <c r="A23" s="28"/>
      <c r="B23" s="28"/>
      <c r="C23" s="26"/>
      <c r="D23" s="30"/>
      <c r="E23" s="30"/>
      <c r="F23" s="27"/>
      <c r="G23" s="27"/>
      <c r="H23" s="27"/>
      <c r="I23" s="28"/>
      <c r="J23" s="25"/>
      <c r="K23" s="28"/>
      <c r="L23" s="24"/>
      <c r="M23" s="26"/>
      <c r="N23" s="27"/>
      <c r="O23" s="28"/>
    </row>
    <row r="24" spans="1:15">
      <c r="A24" s="28"/>
      <c r="B24" s="28"/>
      <c r="C24" s="26"/>
      <c r="D24" s="30"/>
      <c r="E24" s="30"/>
      <c r="F24" s="27"/>
      <c r="G24" s="27"/>
      <c r="H24" s="27"/>
      <c r="I24" s="28"/>
      <c r="J24" s="25"/>
      <c r="K24" s="25"/>
      <c r="L24" s="33"/>
      <c r="M24" s="33"/>
      <c r="N24" s="25"/>
      <c r="O24" s="1"/>
    </row>
    <row r="25" spans="1:15">
      <c r="A25" s="28"/>
      <c r="B25" s="28"/>
      <c r="C25" s="26"/>
      <c r="D25" s="30"/>
      <c r="E25" s="30"/>
      <c r="F25" s="27"/>
      <c r="G25" s="27"/>
      <c r="H25" s="27"/>
      <c r="I25" s="28"/>
      <c r="J25" s="25"/>
      <c r="K25" s="25"/>
      <c r="L25" s="33"/>
      <c r="M25" s="33"/>
      <c r="N25" s="34"/>
      <c r="O25" s="1"/>
    </row>
    <row r="26" spans="1:15">
      <c r="A26" s="28"/>
      <c r="B26" s="28"/>
      <c r="C26" s="26"/>
      <c r="D26" s="30"/>
      <c r="E26" s="30"/>
      <c r="F26" s="27"/>
      <c r="G26" s="27"/>
      <c r="H26" s="27"/>
      <c r="I26" s="28"/>
      <c r="J26" s="25"/>
      <c r="K26" s="25"/>
      <c r="L26" s="33"/>
      <c r="M26" s="33"/>
      <c r="N26" s="25" t="s">
        <v>261</v>
      </c>
      <c r="O26" s="1"/>
    </row>
    <row r="27" spans="1:15">
      <c r="A27" s="28"/>
      <c r="B27" s="28"/>
      <c r="C27" s="26"/>
      <c r="D27" s="30"/>
      <c r="E27" s="30"/>
      <c r="F27" s="27"/>
      <c r="G27" s="27"/>
      <c r="H27" s="27"/>
      <c r="I27" s="28"/>
      <c r="J27" s="25"/>
      <c r="K27" s="25"/>
      <c r="L27" s="33"/>
      <c r="M27" s="33"/>
      <c r="N27" s="25"/>
      <c r="O27" s="1"/>
    </row>
    <row r="28" spans="1:15">
      <c r="A28" s="31"/>
      <c r="B28" s="28"/>
      <c r="C28" s="26"/>
      <c r="D28" s="30"/>
      <c r="E28" s="30"/>
      <c r="F28" s="27"/>
      <c r="G28" s="27"/>
      <c r="H28" s="27"/>
      <c r="I28" s="28"/>
      <c r="J28" s="25"/>
      <c r="K28" s="25"/>
      <c r="L28" s="33"/>
      <c r="M28" s="33"/>
      <c r="N28" s="25"/>
      <c r="O28" s="1"/>
    </row>
    <row r="29" spans="1:15">
      <c r="A29" s="28"/>
      <c r="B29" s="28"/>
      <c r="C29" s="26"/>
      <c r="D29" s="30"/>
      <c r="E29" s="30"/>
      <c r="F29" s="27"/>
      <c r="G29" s="27"/>
      <c r="H29" s="27"/>
      <c r="I29" s="28"/>
      <c r="J29" s="25"/>
      <c r="K29" s="25"/>
      <c r="L29" s="33"/>
      <c r="M29" s="33"/>
      <c r="N29" s="25"/>
      <c r="O29" s="1"/>
    </row>
    <row r="30" spans="1:15">
      <c r="A30" s="28"/>
      <c r="B30" s="28"/>
      <c r="C30" s="26"/>
      <c r="D30" s="30"/>
      <c r="E30" s="30"/>
      <c r="F30" s="27"/>
      <c r="G30" s="27"/>
      <c r="H30" s="27"/>
      <c r="I30" s="28"/>
      <c r="J30" s="25"/>
      <c r="K30" s="25"/>
      <c r="L30" s="33"/>
      <c r="M30" s="33"/>
      <c r="N30" s="25"/>
      <c r="O30" s="1"/>
    </row>
    <row r="31" spans="1:15">
      <c r="A31" s="10"/>
      <c r="B31" s="28"/>
      <c r="C31" s="26"/>
      <c r="D31" s="30"/>
      <c r="E31" s="30"/>
      <c r="F31" s="27"/>
      <c r="G31" s="27"/>
      <c r="H31" s="27"/>
      <c r="I31" s="28"/>
      <c r="J31" s="25"/>
      <c r="K31" s="25"/>
      <c r="L31" s="33"/>
      <c r="M31" s="33"/>
      <c r="N31" s="25"/>
      <c r="O31" s="1"/>
    </row>
    <row r="32" spans="1:15">
      <c r="A32" s="10"/>
      <c r="B32" s="28"/>
      <c r="C32" s="26"/>
      <c r="D32" s="30"/>
      <c r="E32" s="30"/>
      <c r="F32" s="27"/>
      <c r="G32" s="27"/>
      <c r="H32" s="27"/>
      <c r="I32" s="28"/>
      <c r="J32" s="25"/>
      <c r="K32" s="1"/>
      <c r="L32" s="33"/>
      <c r="M32" s="33"/>
      <c r="N32" s="25"/>
      <c r="O32" s="1"/>
    </row>
    <row r="33" spans="1:15">
      <c r="A33" s="10"/>
      <c r="B33" s="10"/>
      <c r="C33" s="10"/>
      <c r="D33" s="10"/>
      <c r="E33" s="10"/>
      <c r="F33" s="12"/>
      <c r="G33" s="12"/>
      <c r="H33" s="12"/>
      <c r="I33" s="10"/>
      <c r="J33" s="1"/>
      <c r="K33" s="1"/>
      <c r="L33" s="1"/>
      <c r="M33" s="2"/>
      <c r="N33" s="1"/>
      <c r="O33" s="1"/>
    </row>
    <row r="34" spans="1:15">
      <c r="A34" s="10"/>
      <c r="B34" s="10"/>
      <c r="C34" s="10"/>
      <c r="D34" s="10"/>
      <c r="E34" s="10"/>
      <c r="F34" s="12"/>
      <c r="G34" s="12"/>
      <c r="H34" s="12"/>
      <c r="I34" s="10"/>
      <c r="J34" s="1"/>
      <c r="K34" s="1"/>
      <c r="L34" s="1"/>
      <c r="M34" s="2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O48"/>
  <sheetViews>
    <sheetView topLeftCell="D10" zoomScale="110" zoomScaleNormal="110" workbookViewId="0">
      <selection activeCell="B23" sqref="B23"/>
    </sheetView>
  </sheetViews>
  <sheetFormatPr defaultRowHeight="15"/>
  <cols>
    <col min="1" max="1" width="12" customWidth="1"/>
    <col min="2" max="2" width="35.140625" customWidth="1"/>
    <col min="3" max="3" width="15.140625" customWidth="1"/>
    <col min="4" max="4" width="11.42578125" customWidth="1"/>
    <col min="6" max="6" width="20" customWidth="1"/>
    <col min="7" max="7" width="15.42578125" customWidth="1"/>
    <col min="8" max="8" width="14.5703125" customWidth="1"/>
    <col min="9" max="9" width="18.28515625" customWidth="1"/>
    <col min="12" max="12" width="11.85546875" customWidth="1"/>
    <col min="13" max="13" width="19" customWidth="1"/>
    <col min="14" max="14" width="18" customWidth="1"/>
    <col min="15" max="15" width="15.7109375" customWidth="1"/>
  </cols>
  <sheetData>
    <row r="2" spans="1:15">
      <c r="A2" s="1" t="s">
        <v>16</v>
      </c>
      <c r="K2" s="1" t="s">
        <v>17</v>
      </c>
    </row>
    <row r="3" spans="1:15" ht="45.75" thickBot="1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43" t="s">
        <v>7</v>
      </c>
      <c r="I3" s="4" t="s">
        <v>8</v>
      </c>
      <c r="J3" s="1"/>
      <c r="K3" s="7" t="s">
        <v>9</v>
      </c>
      <c r="L3" s="8" t="s">
        <v>10</v>
      </c>
      <c r="M3" s="3" t="s">
        <v>11</v>
      </c>
      <c r="N3" s="6" t="s">
        <v>12</v>
      </c>
      <c r="O3" s="4" t="s">
        <v>8</v>
      </c>
    </row>
    <row r="4" spans="1:15" ht="15.75" thickBot="1">
      <c r="A4" s="9" t="s">
        <v>128</v>
      </c>
      <c r="B4" s="10" t="s">
        <v>129</v>
      </c>
      <c r="C4" s="11"/>
      <c r="D4" s="11"/>
      <c r="E4" s="11"/>
      <c r="F4" s="12"/>
      <c r="G4" s="40"/>
      <c r="H4" s="50"/>
      <c r="I4" s="41" t="s">
        <v>130</v>
      </c>
      <c r="J4" s="14"/>
      <c r="K4" s="45">
        <v>1</v>
      </c>
      <c r="L4" s="46">
        <v>45698</v>
      </c>
      <c r="M4" s="47" t="s">
        <v>18</v>
      </c>
      <c r="N4" s="48">
        <v>8150000</v>
      </c>
      <c r="O4" s="49" t="s">
        <v>145</v>
      </c>
    </row>
    <row r="5" spans="1:15">
      <c r="A5" s="10" t="s">
        <v>128</v>
      </c>
      <c r="B5" s="10" t="s">
        <v>131</v>
      </c>
      <c r="C5" s="11" t="s">
        <v>18</v>
      </c>
      <c r="D5" s="11">
        <v>2</v>
      </c>
      <c r="E5" s="11" t="s">
        <v>28</v>
      </c>
      <c r="F5" s="12">
        <v>410000</v>
      </c>
      <c r="G5" s="40">
        <v>820000</v>
      </c>
      <c r="H5" s="50"/>
      <c r="I5" s="41" t="s">
        <v>34</v>
      </c>
      <c r="J5" s="17"/>
      <c r="K5" s="45">
        <v>2</v>
      </c>
      <c r="L5" s="60">
        <v>45703</v>
      </c>
      <c r="M5" s="61" t="s">
        <v>18</v>
      </c>
      <c r="N5" s="61" t="s">
        <v>116</v>
      </c>
      <c r="O5" s="61" t="s">
        <v>145</v>
      </c>
    </row>
    <row r="6" spans="1:15" ht="15.75" thickBot="1">
      <c r="A6" s="10"/>
      <c r="B6" s="10" t="s">
        <v>132</v>
      </c>
      <c r="C6" s="11" t="s">
        <v>18</v>
      </c>
      <c r="D6" s="11">
        <v>208</v>
      </c>
      <c r="E6" s="11" t="s">
        <v>28</v>
      </c>
      <c r="F6" s="12">
        <v>5500</v>
      </c>
      <c r="G6" s="40">
        <v>1144000</v>
      </c>
      <c r="H6" s="93" t="s">
        <v>133</v>
      </c>
      <c r="I6" s="41"/>
      <c r="J6" s="22"/>
      <c r="K6" s="45">
        <v>3</v>
      </c>
      <c r="L6" s="46">
        <v>45707</v>
      </c>
      <c r="M6" s="47" t="s">
        <v>18</v>
      </c>
      <c r="N6" s="62">
        <v>6000000</v>
      </c>
      <c r="O6" s="63" t="s">
        <v>145</v>
      </c>
    </row>
    <row r="7" spans="1:15" ht="15.75" thickBot="1">
      <c r="A7" s="10" t="s">
        <v>128</v>
      </c>
      <c r="B7" s="10" t="s">
        <v>134</v>
      </c>
      <c r="C7" s="11" t="s">
        <v>18</v>
      </c>
      <c r="D7" s="11">
        <v>1</v>
      </c>
      <c r="E7" s="11" t="s">
        <v>42</v>
      </c>
      <c r="F7" s="12">
        <v>10000000</v>
      </c>
      <c r="G7" s="40">
        <v>10000000</v>
      </c>
      <c r="H7" s="42" t="s">
        <v>144</v>
      </c>
      <c r="I7" s="41" t="s">
        <v>17</v>
      </c>
      <c r="J7" s="25"/>
      <c r="K7" s="94">
        <v>4</v>
      </c>
      <c r="L7" s="95">
        <v>45713</v>
      </c>
      <c r="M7" s="96" t="s">
        <v>23</v>
      </c>
      <c r="N7" s="97">
        <v>9500000</v>
      </c>
      <c r="O7" s="98" t="s">
        <v>249</v>
      </c>
    </row>
    <row r="8" spans="1:15">
      <c r="A8" s="10" t="s">
        <v>135</v>
      </c>
      <c r="B8" s="10" t="s">
        <v>136</v>
      </c>
      <c r="C8" s="11" t="s">
        <v>23</v>
      </c>
      <c r="D8" s="11">
        <v>5</v>
      </c>
      <c r="E8" s="11" t="s">
        <v>28</v>
      </c>
      <c r="F8" s="12">
        <v>350000</v>
      </c>
      <c r="G8" s="40">
        <v>1750000</v>
      </c>
      <c r="H8" s="50"/>
      <c r="I8" s="41"/>
      <c r="J8" s="25"/>
      <c r="K8" s="45">
        <v>5</v>
      </c>
      <c r="L8" s="46">
        <v>45713</v>
      </c>
      <c r="M8" s="47" t="s">
        <v>18</v>
      </c>
      <c r="N8" s="48">
        <v>1850000</v>
      </c>
      <c r="O8" s="63" t="s">
        <v>145</v>
      </c>
    </row>
    <row r="9" spans="1:15">
      <c r="A9" s="28"/>
      <c r="B9" s="10" t="s">
        <v>137</v>
      </c>
      <c r="C9" s="11" t="s">
        <v>23</v>
      </c>
      <c r="D9" s="11">
        <v>1</v>
      </c>
      <c r="E9" s="11" t="s">
        <v>28</v>
      </c>
      <c r="F9" s="12">
        <v>1100000</v>
      </c>
      <c r="G9" s="40">
        <v>1100000</v>
      </c>
      <c r="H9" s="51"/>
      <c r="I9" s="41"/>
      <c r="J9" s="25"/>
      <c r="K9" s="45">
        <v>6</v>
      </c>
      <c r="L9" s="46" t="s">
        <v>128</v>
      </c>
      <c r="M9" s="47" t="s">
        <v>18</v>
      </c>
      <c r="N9" s="48">
        <v>10500000</v>
      </c>
      <c r="O9" s="63" t="s">
        <v>145</v>
      </c>
    </row>
    <row r="10" spans="1:15">
      <c r="A10" s="28"/>
      <c r="B10" s="10" t="s">
        <v>138</v>
      </c>
      <c r="C10" s="11" t="s">
        <v>23</v>
      </c>
      <c r="D10" s="11">
        <v>1</v>
      </c>
      <c r="E10" s="11" t="s">
        <v>28</v>
      </c>
      <c r="F10" s="12">
        <v>3500000</v>
      </c>
      <c r="G10" s="40">
        <v>3500000</v>
      </c>
      <c r="H10" s="51"/>
      <c r="I10" s="41"/>
      <c r="J10" s="25"/>
      <c r="K10" s="161">
        <v>7</v>
      </c>
      <c r="L10" s="162" t="s">
        <v>270</v>
      </c>
      <c r="M10" s="163" t="s">
        <v>263</v>
      </c>
      <c r="N10" s="166">
        <v>16800000</v>
      </c>
      <c r="O10" s="165" t="s">
        <v>332</v>
      </c>
    </row>
    <row r="11" spans="1:15">
      <c r="A11" s="28"/>
      <c r="B11" s="28" t="s">
        <v>139</v>
      </c>
      <c r="C11" s="11" t="s">
        <v>23</v>
      </c>
      <c r="D11" s="30">
        <v>1</v>
      </c>
      <c r="E11" s="11" t="s">
        <v>28</v>
      </c>
      <c r="F11" s="12">
        <v>1500000</v>
      </c>
      <c r="G11" s="40">
        <v>1500000</v>
      </c>
      <c r="H11" s="51" t="s">
        <v>142</v>
      </c>
      <c r="I11" s="41" t="s">
        <v>34</v>
      </c>
      <c r="J11" s="25"/>
      <c r="K11" s="99">
        <v>8</v>
      </c>
      <c r="L11" s="100" t="s">
        <v>162</v>
      </c>
      <c r="M11" s="101" t="s">
        <v>157</v>
      </c>
      <c r="N11" s="104">
        <v>7500000</v>
      </c>
      <c r="O11" s="107" t="s">
        <v>145</v>
      </c>
    </row>
    <row r="12" spans="1:15">
      <c r="A12" s="28"/>
      <c r="B12" s="28" t="s">
        <v>140</v>
      </c>
      <c r="C12" s="11" t="s">
        <v>23</v>
      </c>
      <c r="D12" s="30">
        <v>1</v>
      </c>
      <c r="E12" s="11" t="s">
        <v>28</v>
      </c>
      <c r="F12" s="12">
        <v>1000000</v>
      </c>
      <c r="G12" s="40">
        <v>1000000</v>
      </c>
      <c r="H12" s="51"/>
      <c r="I12" s="41"/>
      <c r="J12" s="25"/>
      <c r="K12" s="45">
        <v>9</v>
      </c>
      <c r="L12" s="46"/>
      <c r="M12" s="47"/>
      <c r="N12" s="48"/>
      <c r="O12" s="49"/>
    </row>
    <row r="13" spans="1:15" ht="15.75" thickBot="1">
      <c r="A13" s="31"/>
      <c r="B13" s="28" t="s">
        <v>141</v>
      </c>
      <c r="C13" s="11" t="s">
        <v>23</v>
      </c>
      <c r="D13" s="30">
        <v>1</v>
      </c>
      <c r="E13" s="11" t="s">
        <v>28</v>
      </c>
      <c r="F13" s="27">
        <v>2000000</v>
      </c>
      <c r="G13" s="54">
        <v>2000000</v>
      </c>
      <c r="H13" s="51"/>
      <c r="I13" s="41"/>
      <c r="J13" s="25"/>
      <c r="K13" s="18">
        <v>10</v>
      </c>
      <c r="L13" s="10"/>
      <c r="M13" s="10"/>
      <c r="N13" s="10"/>
      <c r="O13" s="10"/>
    </row>
    <row r="14" spans="1:15">
      <c r="A14" s="28" t="s">
        <v>146</v>
      </c>
      <c r="B14" s="28" t="s">
        <v>59</v>
      </c>
      <c r="C14" s="26" t="s">
        <v>47</v>
      </c>
      <c r="D14" s="30">
        <v>1</v>
      </c>
      <c r="E14" s="30" t="s">
        <v>28</v>
      </c>
      <c r="F14" s="27">
        <v>2073386</v>
      </c>
      <c r="G14" s="54">
        <v>2073386</v>
      </c>
      <c r="H14" s="59"/>
      <c r="I14" s="55"/>
      <c r="J14" s="25"/>
      <c r="K14" s="18">
        <v>11</v>
      </c>
      <c r="L14" s="15"/>
      <c r="M14" s="16"/>
      <c r="N14" s="29"/>
      <c r="O14" s="36"/>
    </row>
    <row r="15" spans="1:15">
      <c r="A15" s="28"/>
      <c r="B15" s="28" t="s">
        <v>148</v>
      </c>
      <c r="C15" s="26" t="s">
        <v>47</v>
      </c>
      <c r="D15" s="30">
        <v>1</v>
      </c>
      <c r="E15" s="30" t="s">
        <v>28</v>
      </c>
      <c r="F15" s="27">
        <v>1649250</v>
      </c>
      <c r="G15" s="54">
        <v>1649250</v>
      </c>
      <c r="H15" s="58" t="s">
        <v>149</v>
      </c>
      <c r="I15" s="57" t="s">
        <v>33</v>
      </c>
      <c r="J15" s="25"/>
      <c r="K15" s="23">
        <v>12</v>
      </c>
      <c r="L15" s="15"/>
      <c r="M15" s="16"/>
      <c r="N15" s="29"/>
      <c r="O15" s="35"/>
    </row>
    <row r="16" spans="1:15" ht="15.75" thickBot="1">
      <c r="A16" s="28"/>
      <c r="B16" s="28" t="s">
        <v>147</v>
      </c>
      <c r="C16" s="26" t="s">
        <v>47</v>
      </c>
      <c r="D16" s="30">
        <v>1</v>
      </c>
      <c r="E16" s="30" t="s">
        <v>28</v>
      </c>
      <c r="F16" s="27">
        <v>1874250</v>
      </c>
      <c r="G16" s="54">
        <v>1874250</v>
      </c>
      <c r="H16" s="56"/>
      <c r="I16" s="57"/>
      <c r="J16" s="25"/>
      <c r="K16" s="18">
        <v>13</v>
      </c>
      <c r="L16" s="24"/>
      <c r="M16" s="26"/>
      <c r="N16" s="27"/>
      <c r="O16" s="35"/>
    </row>
    <row r="17" spans="1:15" ht="15.75" thickBot="1">
      <c r="A17" s="38" t="s">
        <v>150</v>
      </c>
      <c r="B17" s="28" t="s">
        <v>151</v>
      </c>
      <c r="C17" s="26" t="s">
        <v>23</v>
      </c>
      <c r="D17" s="30">
        <v>1</v>
      </c>
      <c r="E17" s="30" t="s">
        <v>28</v>
      </c>
      <c r="F17" s="27">
        <v>4500000</v>
      </c>
      <c r="G17" s="54">
        <v>4500000</v>
      </c>
      <c r="H17" s="59" t="s">
        <v>152</v>
      </c>
      <c r="I17" s="57" t="s">
        <v>34</v>
      </c>
      <c r="J17" s="25"/>
      <c r="K17" s="18">
        <v>14</v>
      </c>
      <c r="L17" s="24"/>
      <c r="M17" s="26"/>
      <c r="N17" s="27"/>
      <c r="O17" s="35"/>
    </row>
    <row r="18" spans="1:15">
      <c r="A18" s="31" t="s">
        <v>150</v>
      </c>
      <c r="B18" s="28" t="s">
        <v>153</v>
      </c>
      <c r="C18" s="26" t="s">
        <v>23</v>
      </c>
      <c r="D18" s="30">
        <v>1</v>
      </c>
      <c r="E18" s="30" t="s">
        <v>28</v>
      </c>
      <c r="F18" s="27">
        <v>9500000</v>
      </c>
      <c r="G18" s="54">
        <v>9500000</v>
      </c>
      <c r="H18" s="59" t="s">
        <v>45</v>
      </c>
      <c r="I18" s="57" t="s">
        <v>34</v>
      </c>
      <c r="J18" s="25"/>
      <c r="K18" s="23">
        <v>15</v>
      </c>
      <c r="L18" s="24"/>
      <c r="M18" s="26"/>
      <c r="N18" s="27"/>
      <c r="O18" s="37"/>
    </row>
    <row r="19" spans="1:15" ht="15.75" thickBot="1">
      <c r="A19" s="28"/>
      <c r="B19" s="28" t="s">
        <v>154</v>
      </c>
      <c r="C19" s="26" t="s">
        <v>23</v>
      </c>
      <c r="D19" s="30">
        <v>1</v>
      </c>
      <c r="E19" s="30" t="s">
        <v>28</v>
      </c>
      <c r="F19" s="27">
        <v>1000000</v>
      </c>
      <c r="G19" s="54">
        <v>1000000</v>
      </c>
      <c r="H19" s="58"/>
      <c r="I19" s="57"/>
      <c r="J19" s="25"/>
      <c r="K19" s="18">
        <v>16</v>
      </c>
      <c r="L19" s="32"/>
      <c r="M19" s="11"/>
      <c r="N19" s="27"/>
      <c r="O19" s="35"/>
    </row>
    <row r="20" spans="1:15">
      <c r="A20" s="28" t="s">
        <v>155</v>
      </c>
      <c r="B20" s="28" t="s">
        <v>156</v>
      </c>
      <c r="C20" s="26" t="s">
        <v>157</v>
      </c>
      <c r="D20" s="30">
        <v>4</v>
      </c>
      <c r="E20" s="30" t="s">
        <v>28</v>
      </c>
      <c r="F20" s="27">
        <v>750000</v>
      </c>
      <c r="G20" s="54">
        <v>3000000</v>
      </c>
      <c r="H20" s="59"/>
      <c r="I20" s="57"/>
      <c r="J20" s="25"/>
      <c r="K20" s="18">
        <v>17</v>
      </c>
      <c r="L20" s="24"/>
      <c r="M20" s="26"/>
      <c r="N20" s="27"/>
      <c r="O20" s="35"/>
    </row>
    <row r="21" spans="1:15">
      <c r="A21" s="31"/>
      <c r="B21" s="28" t="s">
        <v>158</v>
      </c>
      <c r="C21" s="26" t="s">
        <v>157</v>
      </c>
      <c r="D21" s="30">
        <v>3</v>
      </c>
      <c r="E21" s="30" t="s">
        <v>28</v>
      </c>
      <c r="F21" s="27">
        <v>750000</v>
      </c>
      <c r="G21" s="54">
        <v>2250000</v>
      </c>
      <c r="H21" s="58" t="s">
        <v>161</v>
      </c>
      <c r="I21" s="57" t="s">
        <v>34</v>
      </c>
      <c r="J21" s="25"/>
      <c r="K21" s="23">
        <v>18</v>
      </c>
      <c r="L21" s="24"/>
      <c r="M21" s="26"/>
      <c r="N21" s="27"/>
      <c r="O21" s="35"/>
    </row>
    <row r="22" spans="1:15">
      <c r="A22" s="28"/>
      <c r="B22" s="28" t="s">
        <v>159</v>
      </c>
      <c r="C22" s="26" t="s">
        <v>157</v>
      </c>
      <c r="D22" s="30">
        <v>1</v>
      </c>
      <c r="E22" s="30" t="s">
        <v>28</v>
      </c>
      <c r="F22" s="27">
        <v>750000</v>
      </c>
      <c r="G22" s="54">
        <v>750000</v>
      </c>
      <c r="H22" s="58"/>
      <c r="I22" s="57"/>
      <c r="J22" s="25"/>
      <c r="K22" s="18">
        <v>19</v>
      </c>
      <c r="L22" s="24"/>
      <c r="M22" s="26"/>
      <c r="N22" s="27"/>
      <c r="O22" s="35"/>
    </row>
    <row r="23" spans="1:15" ht="15.75" thickBot="1">
      <c r="A23" s="28"/>
      <c r="B23" s="28" t="s">
        <v>160</v>
      </c>
      <c r="C23" s="26" t="s">
        <v>157</v>
      </c>
      <c r="D23" s="30">
        <v>2</v>
      </c>
      <c r="E23" s="30" t="s">
        <v>28</v>
      </c>
      <c r="F23" s="27">
        <v>750000</v>
      </c>
      <c r="G23" s="54">
        <v>1500000</v>
      </c>
      <c r="H23" s="56"/>
      <c r="I23" s="57"/>
      <c r="J23" s="25"/>
      <c r="K23" s="28"/>
      <c r="L23" s="24"/>
      <c r="M23" s="26"/>
      <c r="N23" s="27"/>
      <c r="O23" s="28"/>
    </row>
    <row r="24" spans="1:15" ht="15.75" thickBot="1">
      <c r="A24" s="28" t="s">
        <v>163</v>
      </c>
      <c r="B24" s="28" t="s">
        <v>164</v>
      </c>
      <c r="C24" s="26" t="s">
        <v>173</v>
      </c>
      <c r="D24" s="30">
        <v>1</v>
      </c>
      <c r="E24" s="30" t="s">
        <v>28</v>
      </c>
      <c r="F24" s="27">
        <v>1550000</v>
      </c>
      <c r="G24" s="27">
        <v>1550000</v>
      </c>
      <c r="H24" s="64" t="s">
        <v>172</v>
      </c>
      <c r="I24" s="28" t="s">
        <v>15</v>
      </c>
      <c r="J24" s="25"/>
      <c r="K24" s="25"/>
      <c r="L24" s="33"/>
      <c r="M24" s="33"/>
      <c r="N24" s="25"/>
      <c r="O24" s="1"/>
    </row>
    <row r="25" spans="1:15">
      <c r="A25" s="28" t="s">
        <v>163</v>
      </c>
      <c r="B25" s="28" t="s">
        <v>27</v>
      </c>
      <c r="C25" s="26" t="s">
        <v>18</v>
      </c>
      <c r="D25" s="30">
        <v>20</v>
      </c>
      <c r="E25" s="30" t="s">
        <v>28</v>
      </c>
      <c r="F25" s="27">
        <v>170000</v>
      </c>
      <c r="G25" s="54">
        <v>3400000</v>
      </c>
      <c r="H25" s="59"/>
      <c r="I25" s="57"/>
      <c r="J25" s="25"/>
      <c r="K25" s="25"/>
      <c r="L25" s="33"/>
      <c r="M25" s="33"/>
      <c r="N25" s="34" t="s">
        <v>371</v>
      </c>
      <c r="O25" s="1"/>
    </row>
    <row r="26" spans="1:15">
      <c r="A26" s="28"/>
      <c r="B26" s="28" t="s">
        <v>165</v>
      </c>
      <c r="C26" s="26" t="s">
        <v>18</v>
      </c>
      <c r="D26" s="30">
        <v>8</v>
      </c>
      <c r="E26" s="30" t="s">
        <v>28</v>
      </c>
      <c r="F26" s="27">
        <v>175000</v>
      </c>
      <c r="G26" s="54">
        <v>1400000</v>
      </c>
      <c r="H26" s="58"/>
      <c r="I26" s="57"/>
      <c r="J26" s="25"/>
      <c r="K26" s="25"/>
      <c r="L26" s="33"/>
      <c r="M26" s="33"/>
      <c r="N26" s="25"/>
      <c r="O26" s="1"/>
    </row>
    <row r="27" spans="1:15">
      <c r="A27" s="28"/>
      <c r="B27" s="28" t="s">
        <v>166</v>
      </c>
      <c r="C27" s="26" t="s">
        <v>18</v>
      </c>
      <c r="D27" s="30">
        <v>10</v>
      </c>
      <c r="E27" s="30" t="s">
        <v>28</v>
      </c>
      <c r="F27" s="27">
        <v>175000</v>
      </c>
      <c r="G27" s="54">
        <v>1750000</v>
      </c>
      <c r="H27" s="58" t="s">
        <v>171</v>
      </c>
      <c r="I27" s="57" t="s">
        <v>34</v>
      </c>
      <c r="J27" s="25"/>
      <c r="K27" s="25"/>
      <c r="L27" s="33"/>
      <c r="M27" s="33"/>
      <c r="N27" s="25"/>
      <c r="O27" s="1"/>
    </row>
    <row r="28" spans="1:15">
      <c r="A28" s="31"/>
      <c r="B28" s="28" t="s">
        <v>167</v>
      </c>
      <c r="C28" s="26" t="s">
        <v>18</v>
      </c>
      <c r="D28" s="30">
        <v>8</v>
      </c>
      <c r="E28" s="30" t="s">
        <v>28</v>
      </c>
      <c r="F28" s="27">
        <v>175000</v>
      </c>
      <c r="G28" s="54">
        <v>1400000</v>
      </c>
      <c r="H28" s="58"/>
      <c r="I28" s="57"/>
      <c r="J28" s="25"/>
      <c r="K28" s="25"/>
      <c r="L28" s="33"/>
      <c r="M28" s="33"/>
      <c r="N28" s="25"/>
      <c r="O28" s="1"/>
    </row>
    <row r="29" spans="1:15">
      <c r="A29" s="28"/>
      <c r="B29" s="28" t="s">
        <v>168</v>
      </c>
      <c r="C29" s="26" t="s">
        <v>18</v>
      </c>
      <c r="D29" s="30">
        <v>1</v>
      </c>
      <c r="E29" s="30" t="s">
        <v>28</v>
      </c>
      <c r="F29" s="27">
        <v>1600000</v>
      </c>
      <c r="G29" s="54">
        <v>1600000</v>
      </c>
      <c r="H29" s="58"/>
      <c r="I29" s="57"/>
      <c r="J29" s="25"/>
      <c r="K29" s="25"/>
      <c r="L29" s="33"/>
      <c r="M29" s="33"/>
      <c r="N29" s="25"/>
      <c r="O29" s="1"/>
    </row>
    <row r="30" spans="1:15">
      <c r="A30" s="28"/>
      <c r="B30" s="28" t="s">
        <v>169</v>
      </c>
      <c r="C30" s="26" t="s">
        <v>18</v>
      </c>
      <c r="D30" s="30">
        <v>1</v>
      </c>
      <c r="E30" s="30" t="s">
        <v>28</v>
      </c>
      <c r="F30" s="27">
        <v>1600000</v>
      </c>
      <c r="G30" s="54">
        <v>1600000</v>
      </c>
      <c r="H30" s="58"/>
      <c r="I30" s="57"/>
      <c r="J30" s="25"/>
      <c r="K30" s="25"/>
      <c r="L30" s="33"/>
      <c r="M30" s="33"/>
      <c r="N30" s="25"/>
      <c r="O30" s="1"/>
    </row>
    <row r="31" spans="1:15" ht="15.75" thickBot="1">
      <c r="A31" s="10"/>
      <c r="B31" s="28" t="s">
        <v>170</v>
      </c>
      <c r="C31" s="26" t="s">
        <v>18</v>
      </c>
      <c r="D31" s="30">
        <v>1</v>
      </c>
      <c r="E31" s="30" t="s">
        <v>28</v>
      </c>
      <c r="F31" s="27">
        <v>1200000</v>
      </c>
      <c r="G31" s="54">
        <v>1200000</v>
      </c>
      <c r="H31" s="58"/>
      <c r="I31" s="57"/>
      <c r="J31" s="25"/>
      <c r="K31" s="25"/>
      <c r="L31" s="33"/>
      <c r="M31" s="33"/>
      <c r="N31" s="25"/>
      <c r="O31" s="1"/>
    </row>
    <row r="32" spans="1:15" s="1" customFormat="1">
      <c r="A32" s="10" t="s">
        <v>174</v>
      </c>
      <c r="B32" s="28" t="s">
        <v>175</v>
      </c>
      <c r="C32" s="26" t="s">
        <v>23</v>
      </c>
      <c r="D32" s="30">
        <v>2</v>
      </c>
      <c r="E32" s="30" t="s">
        <v>28</v>
      </c>
      <c r="F32" s="27">
        <v>1000000</v>
      </c>
      <c r="G32" s="54">
        <v>2000000</v>
      </c>
      <c r="H32" s="59" t="s">
        <v>177</v>
      </c>
      <c r="I32" s="57" t="s">
        <v>34</v>
      </c>
      <c r="J32" s="25"/>
      <c r="K32" s="25"/>
      <c r="L32" s="33"/>
      <c r="M32" s="33"/>
      <c r="N32" s="25"/>
    </row>
    <row r="33" spans="1:15" s="1" customFormat="1" ht="15.75" thickBot="1">
      <c r="A33" s="10"/>
      <c r="B33" s="28" t="s">
        <v>176</v>
      </c>
      <c r="C33" s="26" t="s">
        <v>23</v>
      </c>
      <c r="D33" s="30">
        <v>2</v>
      </c>
      <c r="E33" s="30" t="s">
        <v>28</v>
      </c>
      <c r="F33" s="27">
        <v>800000</v>
      </c>
      <c r="G33" s="54">
        <v>1600000</v>
      </c>
      <c r="H33" s="58"/>
      <c r="I33" s="57"/>
      <c r="J33" s="25"/>
      <c r="K33" s="25"/>
      <c r="L33" s="33"/>
      <c r="M33" s="33"/>
      <c r="N33" s="25"/>
    </row>
    <row r="34" spans="1:15" s="1" customFormat="1">
      <c r="A34" s="10" t="s">
        <v>174</v>
      </c>
      <c r="B34" s="28" t="s">
        <v>178</v>
      </c>
      <c r="C34" s="26" t="s">
        <v>18</v>
      </c>
      <c r="D34" s="30">
        <v>5</v>
      </c>
      <c r="E34" s="30" t="s">
        <v>28</v>
      </c>
      <c r="F34" s="27">
        <v>145000</v>
      </c>
      <c r="G34" s="54">
        <v>725000</v>
      </c>
      <c r="H34" s="59"/>
      <c r="I34" s="57"/>
      <c r="J34" s="25"/>
      <c r="K34" s="25"/>
      <c r="L34" s="33"/>
      <c r="M34" s="33"/>
      <c r="N34" s="25"/>
    </row>
    <row r="35" spans="1:15" s="1" customFormat="1">
      <c r="A35" s="10"/>
      <c r="B35" s="28" t="s">
        <v>179</v>
      </c>
      <c r="C35" s="26" t="s">
        <v>18</v>
      </c>
      <c r="D35" s="30">
        <v>1</v>
      </c>
      <c r="E35" s="30" t="s">
        <v>28</v>
      </c>
      <c r="F35" s="27">
        <v>1200000</v>
      </c>
      <c r="G35" s="54">
        <v>1200000</v>
      </c>
      <c r="H35" s="58"/>
      <c r="I35" s="57"/>
      <c r="J35" s="25"/>
      <c r="K35" s="25"/>
      <c r="L35" s="33"/>
      <c r="M35" s="33"/>
      <c r="N35" s="25"/>
    </row>
    <row r="36" spans="1:15">
      <c r="A36" s="10"/>
      <c r="B36" s="28" t="s">
        <v>170</v>
      </c>
      <c r="C36" s="26" t="s">
        <v>18</v>
      </c>
      <c r="D36" s="30">
        <v>1</v>
      </c>
      <c r="E36" s="30" t="s">
        <v>28</v>
      </c>
      <c r="F36" s="27">
        <v>1200000</v>
      </c>
      <c r="G36" s="54">
        <v>1200000</v>
      </c>
      <c r="H36" s="58"/>
      <c r="I36" s="57"/>
      <c r="J36" s="25"/>
      <c r="K36" s="1"/>
      <c r="L36" s="33"/>
      <c r="M36" s="33"/>
      <c r="N36" s="25"/>
      <c r="O36" s="1"/>
    </row>
    <row r="37" spans="1:15" s="1" customFormat="1">
      <c r="A37" s="10"/>
      <c r="B37" s="28" t="s">
        <v>180</v>
      </c>
      <c r="C37" s="26" t="s">
        <v>18</v>
      </c>
      <c r="D37" s="30">
        <v>2</v>
      </c>
      <c r="E37" s="30" t="s">
        <v>28</v>
      </c>
      <c r="F37" s="27">
        <v>1200000</v>
      </c>
      <c r="G37" s="54">
        <v>2400000</v>
      </c>
      <c r="H37" s="58"/>
      <c r="I37" s="57"/>
      <c r="J37" s="25"/>
      <c r="L37" s="33"/>
      <c r="M37" s="33"/>
      <c r="N37" s="25"/>
    </row>
    <row r="38" spans="1:15" s="1" customFormat="1">
      <c r="A38" s="10"/>
      <c r="B38" s="28" t="s">
        <v>181</v>
      </c>
      <c r="C38" s="26" t="s">
        <v>18</v>
      </c>
      <c r="D38" s="30">
        <v>5</v>
      </c>
      <c r="E38" s="30" t="s">
        <v>28</v>
      </c>
      <c r="F38" s="27">
        <v>90000</v>
      </c>
      <c r="G38" s="54">
        <v>450000</v>
      </c>
      <c r="H38" s="58" t="s">
        <v>187</v>
      </c>
      <c r="I38" s="57" t="s">
        <v>34</v>
      </c>
      <c r="J38" s="25"/>
      <c r="L38" s="33"/>
      <c r="M38" s="33"/>
      <c r="N38" s="25"/>
    </row>
    <row r="39" spans="1:15">
      <c r="A39" s="10"/>
      <c r="B39" s="10" t="s">
        <v>182</v>
      </c>
      <c r="C39" s="11" t="s">
        <v>18</v>
      </c>
      <c r="D39" s="10">
        <v>5</v>
      </c>
      <c r="E39" s="10" t="s">
        <v>28</v>
      </c>
      <c r="F39" s="12">
        <v>45000</v>
      </c>
      <c r="G39" s="40">
        <v>225000</v>
      </c>
      <c r="H39" s="82"/>
      <c r="I39" s="79"/>
      <c r="J39" s="1"/>
      <c r="K39" s="1"/>
      <c r="L39" s="1"/>
      <c r="M39" s="2"/>
      <c r="N39" s="1"/>
      <c r="O39" s="1"/>
    </row>
    <row r="40" spans="1:15" s="1" customFormat="1">
      <c r="A40" s="10"/>
      <c r="B40" s="10" t="s">
        <v>183</v>
      </c>
      <c r="C40" s="11" t="s">
        <v>18</v>
      </c>
      <c r="D40" s="10">
        <v>5</v>
      </c>
      <c r="E40" s="10" t="s">
        <v>28</v>
      </c>
      <c r="F40" s="12">
        <v>45000</v>
      </c>
      <c r="G40" s="40">
        <v>225000</v>
      </c>
      <c r="H40" s="82"/>
      <c r="I40" s="79"/>
      <c r="M40" s="2"/>
    </row>
    <row r="41" spans="1:15" s="1" customFormat="1">
      <c r="A41" s="10"/>
      <c r="B41" s="10" t="s">
        <v>184</v>
      </c>
      <c r="C41" s="11" t="s">
        <v>18</v>
      </c>
      <c r="D41" s="10">
        <v>4</v>
      </c>
      <c r="E41" s="10" t="s">
        <v>28</v>
      </c>
      <c r="F41" s="12">
        <v>45000</v>
      </c>
      <c r="G41" s="40">
        <v>180000</v>
      </c>
      <c r="H41" s="82"/>
      <c r="I41" s="79"/>
      <c r="M41" s="2"/>
    </row>
    <row r="42" spans="1:15" s="1" customFormat="1">
      <c r="A42" s="10"/>
      <c r="B42" s="10" t="s">
        <v>185</v>
      </c>
      <c r="C42" s="11" t="s">
        <v>18</v>
      </c>
      <c r="D42" s="10">
        <v>5</v>
      </c>
      <c r="E42" s="10" t="s">
        <v>28</v>
      </c>
      <c r="F42" s="12">
        <v>145000</v>
      </c>
      <c r="G42" s="40">
        <v>725000</v>
      </c>
      <c r="H42" s="82"/>
      <c r="I42" s="79"/>
      <c r="M42" s="2"/>
    </row>
    <row r="43" spans="1:15" s="1" customFormat="1" ht="15.75" thickBot="1">
      <c r="A43" s="10"/>
      <c r="B43" s="10" t="s">
        <v>186</v>
      </c>
      <c r="C43" s="11" t="s">
        <v>18</v>
      </c>
      <c r="D43" s="10">
        <v>5</v>
      </c>
      <c r="E43" s="10" t="s">
        <v>28</v>
      </c>
      <c r="F43" s="12">
        <v>155000</v>
      </c>
      <c r="G43" s="40">
        <v>775000</v>
      </c>
      <c r="H43" s="83"/>
      <c r="I43" s="79"/>
      <c r="M43" s="2"/>
    </row>
    <row r="44" spans="1:15" s="1" customFormat="1">
      <c r="A44" s="10"/>
      <c r="B44" s="10"/>
      <c r="C44" s="10"/>
      <c r="D44" s="10"/>
      <c r="E44" s="10"/>
      <c r="F44" s="12"/>
      <c r="G44" s="12"/>
      <c r="H44" s="81"/>
      <c r="I44" s="10"/>
      <c r="M44" s="2"/>
    </row>
    <row r="45" spans="1:15">
      <c r="A45" s="10"/>
      <c r="B45" s="10"/>
      <c r="C45" s="10"/>
      <c r="D45" s="10"/>
      <c r="E45" s="10"/>
      <c r="F45" s="12"/>
      <c r="G45" s="12"/>
      <c r="H45" s="12"/>
      <c r="I45" s="10"/>
      <c r="J45" s="1"/>
      <c r="K45" s="1"/>
      <c r="L45" s="1"/>
      <c r="M45" s="2"/>
      <c r="N45" s="1"/>
      <c r="O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P42"/>
  <sheetViews>
    <sheetView topLeftCell="A4" workbookViewId="0">
      <selection activeCell="L22" sqref="L22"/>
    </sheetView>
  </sheetViews>
  <sheetFormatPr defaultRowHeight="15"/>
  <cols>
    <col min="1" max="1" width="10.85546875" customWidth="1"/>
    <col min="2" max="2" width="39.5703125" customWidth="1"/>
    <col min="3" max="3" width="15.28515625" customWidth="1"/>
    <col min="6" max="6" width="15.7109375" customWidth="1"/>
    <col min="7" max="7" width="15.42578125" customWidth="1"/>
    <col min="8" max="8" width="14.85546875" customWidth="1"/>
    <col min="9" max="9" width="13.7109375" customWidth="1"/>
    <col min="12" max="12" width="14.42578125" customWidth="1"/>
    <col min="13" max="13" width="17.85546875" customWidth="1"/>
    <col min="14" max="14" width="18.140625" customWidth="1"/>
    <col min="15" max="15" width="18.5703125" customWidth="1"/>
  </cols>
  <sheetData>
    <row r="2" spans="1:16">
      <c r="A2" s="1" t="s">
        <v>39</v>
      </c>
      <c r="B2" s="1"/>
      <c r="C2" s="1"/>
      <c r="D2" s="1"/>
      <c r="E2" s="1"/>
      <c r="F2" s="1"/>
      <c r="G2" s="1"/>
      <c r="H2" s="1"/>
      <c r="I2" s="1"/>
      <c r="J2" s="1"/>
      <c r="K2" s="1" t="s">
        <v>34</v>
      </c>
      <c r="L2" s="1"/>
      <c r="M2" s="1"/>
      <c r="N2" s="1"/>
      <c r="O2" s="1"/>
      <c r="P2" s="1"/>
    </row>
    <row r="3" spans="1:16" ht="30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43" t="s">
        <v>7</v>
      </c>
      <c r="I3" s="4" t="s">
        <v>8</v>
      </c>
      <c r="J3" s="1"/>
      <c r="K3" s="7" t="s">
        <v>9</v>
      </c>
      <c r="L3" s="8" t="s">
        <v>10</v>
      </c>
      <c r="M3" s="3" t="s">
        <v>11</v>
      </c>
      <c r="N3" s="6" t="s">
        <v>12</v>
      </c>
      <c r="O3" s="4" t="s">
        <v>8</v>
      </c>
      <c r="P3" s="1"/>
    </row>
    <row r="4" spans="1:16" s="1" customFormat="1" ht="15.75" thickBot="1">
      <c r="A4" s="9">
        <v>45759</v>
      </c>
      <c r="B4" s="4" t="s">
        <v>191</v>
      </c>
      <c r="C4" s="4"/>
      <c r="D4" s="4"/>
      <c r="E4" s="4"/>
      <c r="F4" s="5"/>
      <c r="G4" s="108"/>
      <c r="H4" s="109"/>
      <c r="I4" s="110" t="s">
        <v>192</v>
      </c>
      <c r="K4" s="7"/>
      <c r="L4" s="8"/>
      <c r="M4" s="3"/>
      <c r="N4" s="6"/>
      <c r="O4" s="4"/>
    </row>
    <row r="5" spans="1:16">
      <c r="A5" s="9">
        <v>45761</v>
      </c>
      <c r="B5" s="10" t="s">
        <v>188</v>
      </c>
      <c r="C5" s="11" t="s">
        <v>18</v>
      </c>
      <c r="D5" s="11">
        <v>3</v>
      </c>
      <c r="E5" s="11" t="s">
        <v>28</v>
      </c>
      <c r="F5" s="12">
        <v>410000</v>
      </c>
      <c r="G5" s="40">
        <v>1230000</v>
      </c>
      <c r="H5" s="50"/>
      <c r="I5" s="41"/>
      <c r="J5" s="14"/>
      <c r="K5" s="45">
        <v>1</v>
      </c>
      <c r="L5" s="46" t="s">
        <v>128</v>
      </c>
      <c r="M5" s="47" t="s">
        <v>18</v>
      </c>
      <c r="N5" s="48">
        <v>1958500</v>
      </c>
      <c r="O5" s="49" t="s">
        <v>248</v>
      </c>
      <c r="P5" s="1"/>
    </row>
    <row r="6" spans="1:16">
      <c r="A6" s="10"/>
      <c r="B6" s="10" t="s">
        <v>189</v>
      </c>
      <c r="C6" s="11" t="s">
        <v>18</v>
      </c>
      <c r="D6" s="11">
        <v>7</v>
      </c>
      <c r="E6" s="11" t="s">
        <v>28</v>
      </c>
      <c r="F6" s="12">
        <v>410000</v>
      </c>
      <c r="G6" s="40">
        <v>2870000</v>
      </c>
      <c r="H6" s="51"/>
      <c r="I6" s="41" t="s">
        <v>35</v>
      </c>
      <c r="J6" s="17"/>
      <c r="K6" s="99">
        <v>2</v>
      </c>
      <c r="L6" s="105" t="s">
        <v>135</v>
      </c>
      <c r="M6" s="106" t="s">
        <v>23</v>
      </c>
      <c r="N6" s="106" t="s">
        <v>239</v>
      </c>
      <c r="O6" s="106" t="s">
        <v>248</v>
      </c>
      <c r="P6" s="1"/>
    </row>
    <row r="7" spans="1:16" s="1" customFormat="1">
      <c r="A7" s="10"/>
      <c r="B7" s="10"/>
      <c r="C7" s="11"/>
      <c r="D7" s="11"/>
      <c r="E7" s="11"/>
      <c r="F7" s="12"/>
      <c r="G7" s="40"/>
      <c r="H7" s="51"/>
      <c r="I7" s="41"/>
      <c r="J7" s="17"/>
      <c r="K7" s="99">
        <v>3</v>
      </c>
      <c r="L7" s="105" t="s">
        <v>135</v>
      </c>
      <c r="M7" s="106" t="s">
        <v>23</v>
      </c>
      <c r="N7" s="106" t="s">
        <v>240</v>
      </c>
      <c r="O7" s="106" t="s">
        <v>248</v>
      </c>
    </row>
    <row r="8" spans="1:16" s="1" customFormat="1">
      <c r="A8" s="10"/>
      <c r="B8" s="10"/>
      <c r="C8" s="11"/>
      <c r="D8" s="11"/>
      <c r="E8" s="11"/>
      <c r="F8" s="12"/>
      <c r="G8" s="40"/>
      <c r="H8" s="51"/>
      <c r="I8" s="41"/>
      <c r="J8" s="17"/>
      <c r="K8" s="99">
        <v>4</v>
      </c>
      <c r="L8" s="105" t="s">
        <v>135</v>
      </c>
      <c r="M8" s="106" t="s">
        <v>23</v>
      </c>
      <c r="N8" s="106" t="s">
        <v>241</v>
      </c>
      <c r="O8" s="106" t="s">
        <v>248</v>
      </c>
    </row>
    <row r="9" spans="1:16">
      <c r="A9" s="10"/>
      <c r="B9" s="10" t="s">
        <v>190</v>
      </c>
      <c r="C9" s="11" t="s">
        <v>18</v>
      </c>
      <c r="D9" s="11">
        <v>1</v>
      </c>
      <c r="E9" s="11" t="s">
        <v>28</v>
      </c>
      <c r="F9" s="12">
        <v>1600000</v>
      </c>
      <c r="G9" s="40">
        <v>1600000</v>
      </c>
      <c r="H9" s="51" t="s">
        <v>204</v>
      </c>
      <c r="I9" s="41"/>
      <c r="J9" s="22"/>
      <c r="K9" s="99">
        <v>5</v>
      </c>
      <c r="L9" s="100" t="s">
        <v>150</v>
      </c>
      <c r="M9" s="101" t="s">
        <v>23</v>
      </c>
      <c r="N9" s="102">
        <v>10500000</v>
      </c>
      <c r="O9" s="103" t="s">
        <v>248</v>
      </c>
      <c r="P9" s="1"/>
    </row>
    <row r="10" spans="1:16" s="1" customFormat="1">
      <c r="A10" s="10"/>
      <c r="B10" s="10" t="s">
        <v>205</v>
      </c>
      <c r="C10" s="11" t="s">
        <v>18</v>
      </c>
      <c r="D10" s="11">
        <v>10</v>
      </c>
      <c r="E10" s="11" t="s">
        <v>28</v>
      </c>
      <c r="F10" s="12">
        <v>45000</v>
      </c>
      <c r="G10" s="40">
        <v>450000</v>
      </c>
      <c r="H10" s="51"/>
      <c r="I10" s="41"/>
      <c r="J10" s="22"/>
      <c r="K10" s="18"/>
      <c r="L10" s="19"/>
      <c r="M10" s="20"/>
      <c r="N10" s="21"/>
      <c r="O10" s="39"/>
    </row>
    <row r="11" spans="1:16" ht="15.75" thickBot="1">
      <c r="A11" s="10"/>
      <c r="B11" s="10" t="s">
        <v>203</v>
      </c>
      <c r="C11" s="11" t="s">
        <v>18</v>
      </c>
      <c r="D11" s="11">
        <v>2</v>
      </c>
      <c r="E11" s="11" t="s">
        <v>28</v>
      </c>
      <c r="F11" s="12">
        <v>410000</v>
      </c>
      <c r="G11" s="40">
        <v>820000</v>
      </c>
      <c r="H11" s="51"/>
      <c r="I11" s="41"/>
      <c r="J11" s="25"/>
      <c r="K11" s="99">
        <v>6</v>
      </c>
      <c r="L11" s="100" t="s">
        <v>150</v>
      </c>
      <c r="M11" s="101" t="s">
        <v>23</v>
      </c>
      <c r="N11" s="104">
        <v>4500000</v>
      </c>
      <c r="O11" s="103" t="s">
        <v>248</v>
      </c>
      <c r="P11" s="1"/>
    </row>
    <row r="12" spans="1:16">
      <c r="A12" s="9">
        <v>45764</v>
      </c>
      <c r="B12" s="10" t="s">
        <v>193</v>
      </c>
      <c r="C12" s="11" t="s">
        <v>18</v>
      </c>
      <c r="D12" s="11">
        <v>5</v>
      </c>
      <c r="E12" s="11" t="s">
        <v>28</v>
      </c>
      <c r="F12" s="12">
        <v>145000</v>
      </c>
      <c r="G12" s="40">
        <v>725000</v>
      </c>
      <c r="H12" s="50"/>
      <c r="I12" s="41"/>
      <c r="J12" s="25"/>
      <c r="K12" s="117"/>
      <c r="L12" s="119"/>
      <c r="M12" s="120"/>
      <c r="N12" s="121"/>
      <c r="O12" s="118"/>
      <c r="P12" s="1"/>
    </row>
    <row r="13" spans="1:16">
      <c r="A13" s="28"/>
      <c r="B13" s="10" t="s">
        <v>194</v>
      </c>
      <c r="C13" s="11" t="s">
        <v>18</v>
      </c>
      <c r="D13" s="11">
        <v>3</v>
      </c>
      <c r="E13" s="11" t="s">
        <v>28</v>
      </c>
      <c r="F13" s="12">
        <v>200000</v>
      </c>
      <c r="G13" s="40">
        <v>600000</v>
      </c>
      <c r="H13" s="51"/>
      <c r="I13" s="41"/>
      <c r="J13" s="25"/>
      <c r="K13" s="45">
        <v>8</v>
      </c>
      <c r="L13" s="46" t="s">
        <v>163</v>
      </c>
      <c r="M13" s="47" t="s">
        <v>18</v>
      </c>
      <c r="N13" s="48">
        <v>12350000</v>
      </c>
      <c r="O13" s="63" t="s">
        <v>248</v>
      </c>
      <c r="P13" s="1"/>
    </row>
    <row r="14" spans="1:16">
      <c r="A14" s="28"/>
      <c r="B14" s="10" t="s">
        <v>195</v>
      </c>
      <c r="C14" s="11" t="s">
        <v>18</v>
      </c>
      <c r="D14" s="11">
        <v>11</v>
      </c>
      <c r="E14" s="11" t="s">
        <v>196</v>
      </c>
      <c r="F14" s="12">
        <v>80000</v>
      </c>
      <c r="G14" s="40">
        <v>880000</v>
      </c>
      <c r="H14" s="51"/>
      <c r="I14" s="41"/>
      <c r="J14" s="25"/>
      <c r="K14" s="99">
        <v>9</v>
      </c>
      <c r="L14" s="100" t="s">
        <v>174</v>
      </c>
      <c r="M14" s="101" t="s">
        <v>23</v>
      </c>
      <c r="N14" s="102">
        <v>3600000</v>
      </c>
      <c r="O14" s="107" t="s">
        <v>248</v>
      </c>
      <c r="P14" s="1"/>
    </row>
    <row r="15" spans="1:16">
      <c r="A15" s="28"/>
      <c r="B15" s="28" t="s">
        <v>197</v>
      </c>
      <c r="C15" s="11" t="s">
        <v>18</v>
      </c>
      <c r="D15" s="30">
        <v>5</v>
      </c>
      <c r="E15" s="11" t="s">
        <v>196</v>
      </c>
      <c r="F15" s="12">
        <v>800000</v>
      </c>
      <c r="G15" s="40">
        <v>400000</v>
      </c>
      <c r="H15" s="51" t="s">
        <v>201</v>
      </c>
      <c r="I15" s="41" t="s">
        <v>35</v>
      </c>
      <c r="J15" s="25"/>
      <c r="K15" s="45">
        <v>10</v>
      </c>
      <c r="L15" s="46" t="s">
        <v>174</v>
      </c>
      <c r="M15" s="47" t="s">
        <v>18</v>
      </c>
      <c r="N15" s="48">
        <v>8105000</v>
      </c>
      <c r="O15" s="49" t="s">
        <v>248</v>
      </c>
      <c r="P15" s="1"/>
    </row>
    <row r="16" spans="1:16">
      <c r="A16" s="28"/>
      <c r="B16" s="28" t="s">
        <v>198</v>
      </c>
      <c r="C16" s="11" t="s">
        <v>18</v>
      </c>
      <c r="D16" s="30">
        <v>4</v>
      </c>
      <c r="E16" s="11" t="s">
        <v>28</v>
      </c>
      <c r="F16" s="12">
        <v>375000</v>
      </c>
      <c r="G16" s="40">
        <v>1500000</v>
      </c>
      <c r="H16" s="51"/>
      <c r="I16" s="41"/>
      <c r="J16" s="25"/>
      <c r="K16" s="122">
        <v>11</v>
      </c>
      <c r="L16" s="123">
        <v>45768</v>
      </c>
      <c r="M16" s="124" t="s">
        <v>207</v>
      </c>
      <c r="N16" s="125">
        <v>1300000</v>
      </c>
      <c r="O16" s="126" t="s">
        <v>212</v>
      </c>
      <c r="P16" s="1"/>
    </row>
    <row r="17" spans="1:16">
      <c r="A17" s="31"/>
      <c r="B17" s="28" t="s">
        <v>199</v>
      </c>
      <c r="C17" s="11" t="s">
        <v>18</v>
      </c>
      <c r="D17" s="30">
        <v>9</v>
      </c>
      <c r="E17" s="11" t="s">
        <v>28</v>
      </c>
      <c r="F17" s="27">
        <v>90000</v>
      </c>
      <c r="G17" s="54">
        <v>810000</v>
      </c>
      <c r="H17" s="51"/>
      <c r="I17" s="41"/>
      <c r="J17" s="25"/>
      <c r="K17" s="122">
        <v>12</v>
      </c>
      <c r="L17" s="127">
        <v>45773</v>
      </c>
      <c r="M17" s="128" t="s">
        <v>207</v>
      </c>
      <c r="N17" s="128" t="s">
        <v>214</v>
      </c>
      <c r="O17" s="128" t="s">
        <v>250</v>
      </c>
      <c r="P17" s="1"/>
    </row>
    <row r="18" spans="1:16" ht="15.75" thickBot="1">
      <c r="A18" s="28"/>
      <c r="B18" s="28" t="s">
        <v>200</v>
      </c>
      <c r="C18" s="26" t="s">
        <v>18</v>
      </c>
      <c r="D18" s="30">
        <v>1</v>
      </c>
      <c r="E18" s="30" t="s">
        <v>42</v>
      </c>
      <c r="F18" s="27">
        <v>2500000</v>
      </c>
      <c r="G18" s="54">
        <v>2500000</v>
      </c>
      <c r="H18" s="56"/>
      <c r="I18" s="55"/>
      <c r="J18" s="25"/>
      <c r="K18" s="161">
        <v>13</v>
      </c>
      <c r="L18" s="162" t="s">
        <v>308</v>
      </c>
      <c r="M18" s="163" t="s">
        <v>47</v>
      </c>
      <c r="N18" s="164">
        <v>2295011</v>
      </c>
      <c r="O18" s="165" t="s">
        <v>453</v>
      </c>
      <c r="P18" s="1"/>
    </row>
    <row r="19" spans="1:16" ht="15.75" thickBot="1">
      <c r="A19" s="31">
        <v>45768</v>
      </c>
      <c r="B19" s="28" t="s">
        <v>206</v>
      </c>
      <c r="C19" s="26" t="s">
        <v>207</v>
      </c>
      <c r="D19" s="30">
        <v>2</v>
      </c>
      <c r="E19" s="30" t="s">
        <v>28</v>
      </c>
      <c r="F19" s="27">
        <v>650000</v>
      </c>
      <c r="G19" s="54">
        <v>1300000</v>
      </c>
      <c r="H19" s="111" t="s">
        <v>208</v>
      </c>
      <c r="I19" s="57" t="s">
        <v>34</v>
      </c>
      <c r="J19" s="25"/>
      <c r="K19" s="23">
        <v>14</v>
      </c>
      <c r="L19" s="15"/>
      <c r="M19" s="16"/>
      <c r="N19" s="29"/>
      <c r="O19" s="35"/>
      <c r="P19" s="1"/>
    </row>
    <row r="20" spans="1:16" ht="15.75" thickBot="1">
      <c r="A20" s="31">
        <v>45768</v>
      </c>
      <c r="B20" s="28" t="s">
        <v>209</v>
      </c>
      <c r="C20" s="26" t="s">
        <v>210</v>
      </c>
      <c r="D20" s="30">
        <v>4</v>
      </c>
      <c r="E20" s="30" t="s">
        <v>28</v>
      </c>
      <c r="F20" s="27">
        <v>950000</v>
      </c>
      <c r="G20" s="54">
        <v>3800000</v>
      </c>
      <c r="H20" s="111" t="s">
        <v>211</v>
      </c>
      <c r="I20" s="57" t="s">
        <v>33</v>
      </c>
      <c r="J20" s="25"/>
      <c r="K20" s="18">
        <v>15</v>
      </c>
      <c r="L20" s="24"/>
      <c r="M20" s="26"/>
      <c r="N20" s="27"/>
      <c r="O20" s="35"/>
      <c r="P20" s="1"/>
    </row>
    <row r="21" spans="1:16" ht="15.75" thickBot="1">
      <c r="A21" s="38">
        <v>45773</v>
      </c>
      <c r="B21" s="28" t="s">
        <v>213</v>
      </c>
      <c r="C21" s="26" t="s">
        <v>207</v>
      </c>
      <c r="D21" s="30">
        <v>1</v>
      </c>
      <c r="E21" s="30" t="s">
        <v>28</v>
      </c>
      <c r="F21" s="27">
        <v>2300000</v>
      </c>
      <c r="G21" s="54">
        <v>2300000</v>
      </c>
      <c r="H21" s="111" t="s">
        <v>214</v>
      </c>
      <c r="I21" s="57"/>
      <c r="J21" s="25"/>
      <c r="K21" s="18">
        <v>16</v>
      </c>
      <c r="L21" s="24"/>
      <c r="M21" s="26"/>
      <c r="N21" s="27"/>
      <c r="O21" s="35"/>
      <c r="P21" s="1"/>
    </row>
    <row r="22" spans="1:16" ht="15.75" thickBot="1">
      <c r="A22" s="31">
        <v>45776</v>
      </c>
      <c r="B22" s="28" t="s">
        <v>215</v>
      </c>
      <c r="C22" s="26" t="s">
        <v>23</v>
      </c>
      <c r="D22" s="30">
        <v>2</v>
      </c>
      <c r="E22" s="30" t="s">
        <v>28</v>
      </c>
      <c r="F22" s="27">
        <v>1100000</v>
      </c>
      <c r="G22" s="54">
        <v>2200000</v>
      </c>
      <c r="H22" s="59" t="s">
        <v>216</v>
      </c>
      <c r="I22" s="57" t="s">
        <v>35</v>
      </c>
      <c r="J22" s="25"/>
      <c r="K22" s="23">
        <v>17</v>
      </c>
      <c r="L22" s="24"/>
      <c r="M22" s="26"/>
      <c r="N22" s="27"/>
      <c r="O22" s="37"/>
      <c r="P22" s="1"/>
    </row>
    <row r="23" spans="1:16">
      <c r="A23" s="31">
        <v>45776</v>
      </c>
      <c r="B23" s="28" t="s">
        <v>217</v>
      </c>
      <c r="C23" s="26" t="s">
        <v>18</v>
      </c>
      <c r="D23" s="30">
        <v>3</v>
      </c>
      <c r="E23" s="30" t="s">
        <v>28</v>
      </c>
      <c r="F23" s="27">
        <v>250000</v>
      </c>
      <c r="G23" s="54">
        <v>750000</v>
      </c>
      <c r="H23" s="59"/>
      <c r="I23" s="57"/>
      <c r="J23" s="25"/>
      <c r="K23" s="18"/>
      <c r="L23" s="32"/>
      <c r="M23" s="11"/>
      <c r="N23" s="27"/>
      <c r="O23" s="35"/>
      <c r="P23" s="1"/>
    </row>
    <row r="24" spans="1:16">
      <c r="A24" s="28"/>
      <c r="B24" s="28" t="s">
        <v>27</v>
      </c>
      <c r="C24" s="26" t="s">
        <v>18</v>
      </c>
      <c r="D24" s="30">
        <v>15</v>
      </c>
      <c r="E24" s="30" t="s">
        <v>28</v>
      </c>
      <c r="F24" s="27">
        <v>170000</v>
      </c>
      <c r="G24" s="54">
        <v>2550000</v>
      </c>
      <c r="H24" s="58"/>
      <c r="I24" s="57"/>
      <c r="J24" s="25"/>
      <c r="K24" s="18"/>
      <c r="L24" s="24"/>
      <c r="M24" s="26"/>
      <c r="N24" s="27"/>
      <c r="O24" s="35"/>
      <c r="P24" s="1"/>
    </row>
    <row r="25" spans="1:16">
      <c r="A25" s="31"/>
      <c r="B25" s="28" t="s">
        <v>219</v>
      </c>
      <c r="C25" s="26" t="s">
        <v>18</v>
      </c>
      <c r="D25" s="30">
        <v>3</v>
      </c>
      <c r="E25" s="30" t="s">
        <v>28</v>
      </c>
      <c r="F25" s="27">
        <v>750000</v>
      </c>
      <c r="G25" s="54">
        <v>2250000</v>
      </c>
      <c r="H25" s="58" t="s">
        <v>221</v>
      </c>
      <c r="I25" s="57" t="s">
        <v>35</v>
      </c>
      <c r="J25" s="25"/>
      <c r="K25" s="23"/>
      <c r="L25" s="24"/>
      <c r="M25" s="26"/>
      <c r="N25" s="27"/>
      <c r="O25" s="35"/>
      <c r="P25" s="1"/>
    </row>
    <row r="26" spans="1:16">
      <c r="A26" s="28"/>
      <c r="B26" s="28" t="s">
        <v>218</v>
      </c>
      <c r="C26" s="26" t="s">
        <v>18</v>
      </c>
      <c r="D26" s="30">
        <v>3</v>
      </c>
      <c r="E26" s="30" t="s">
        <v>28</v>
      </c>
      <c r="F26" s="27">
        <v>750000</v>
      </c>
      <c r="G26" s="54">
        <v>2250000</v>
      </c>
      <c r="H26" s="58"/>
      <c r="I26" s="57"/>
      <c r="J26" s="25"/>
      <c r="K26" s="18"/>
      <c r="L26" s="24"/>
      <c r="M26" s="26"/>
      <c r="N26" s="27"/>
      <c r="O26" s="35"/>
      <c r="P26" s="1"/>
    </row>
    <row r="27" spans="1:16">
      <c r="A27" s="28"/>
      <c r="B27" s="28" t="s">
        <v>62</v>
      </c>
      <c r="C27" s="26" t="s">
        <v>18</v>
      </c>
      <c r="D27" s="30">
        <v>2</v>
      </c>
      <c r="E27" s="30" t="s">
        <v>28</v>
      </c>
      <c r="F27" s="27">
        <v>650000</v>
      </c>
      <c r="G27" s="54">
        <v>1300000</v>
      </c>
      <c r="H27" s="58"/>
      <c r="I27" s="57"/>
      <c r="J27" s="25"/>
      <c r="K27" s="28"/>
      <c r="L27" s="24"/>
      <c r="M27" s="26"/>
      <c r="N27" s="27"/>
      <c r="O27" s="28"/>
      <c r="P27" s="1"/>
    </row>
    <row r="28" spans="1:16" ht="15.75" thickBot="1">
      <c r="A28" s="28"/>
      <c r="B28" s="28" t="s">
        <v>220</v>
      </c>
      <c r="C28" s="26" t="s">
        <v>18</v>
      </c>
      <c r="D28" s="30">
        <v>2</v>
      </c>
      <c r="E28" s="30" t="s">
        <v>28</v>
      </c>
      <c r="F28" s="27">
        <v>750000</v>
      </c>
      <c r="G28" s="54">
        <v>1500000</v>
      </c>
      <c r="H28" s="56"/>
      <c r="I28" s="57"/>
      <c r="J28" s="25"/>
      <c r="K28" s="25"/>
      <c r="L28" s="33"/>
      <c r="M28" s="33"/>
      <c r="N28" s="25"/>
      <c r="O28" s="1"/>
      <c r="P28" s="1"/>
    </row>
    <row r="29" spans="1:16">
      <c r="A29" s="28"/>
      <c r="B29" s="28"/>
      <c r="C29" s="26"/>
      <c r="D29" s="30"/>
      <c r="E29" s="30"/>
      <c r="F29" s="27"/>
      <c r="G29" s="27"/>
      <c r="H29" s="89"/>
      <c r="I29" s="28"/>
      <c r="J29" s="25"/>
      <c r="K29" s="25"/>
      <c r="L29" s="33"/>
      <c r="M29" s="33"/>
      <c r="N29" s="34"/>
      <c r="O29" s="1"/>
      <c r="P29" s="1"/>
    </row>
    <row r="30" spans="1:16">
      <c r="A30" s="28"/>
      <c r="B30" s="28"/>
      <c r="C30" s="26"/>
      <c r="D30" s="30"/>
      <c r="E30" s="30"/>
      <c r="F30" s="27"/>
      <c r="G30" s="27"/>
      <c r="H30" s="27"/>
      <c r="I30" s="28"/>
      <c r="J30" s="25"/>
      <c r="K30" s="25"/>
      <c r="L30" s="33"/>
      <c r="M30" s="33"/>
      <c r="N30" s="25" t="s">
        <v>330</v>
      </c>
      <c r="O30" s="1"/>
      <c r="P30" s="1"/>
    </row>
    <row r="31" spans="1:16">
      <c r="A31" s="28"/>
      <c r="B31" s="28"/>
      <c r="C31" s="26"/>
      <c r="D31" s="30"/>
      <c r="E31" s="30"/>
      <c r="F31" s="27"/>
      <c r="G31" s="27"/>
      <c r="H31" s="27"/>
      <c r="I31" s="28"/>
      <c r="J31" s="25"/>
      <c r="K31" s="25"/>
      <c r="L31" s="33"/>
      <c r="M31" s="33"/>
      <c r="N31" s="25"/>
      <c r="O31" s="1"/>
      <c r="P31" s="1"/>
    </row>
    <row r="32" spans="1:16">
      <c r="A32" s="31"/>
      <c r="B32" s="28"/>
      <c r="C32" s="26"/>
      <c r="D32" s="30"/>
      <c r="E32" s="30"/>
      <c r="F32" s="27"/>
      <c r="G32" s="27"/>
      <c r="H32" s="27"/>
      <c r="I32" s="28"/>
      <c r="J32" s="25"/>
      <c r="K32" s="25"/>
      <c r="L32" s="33"/>
      <c r="M32" s="33"/>
      <c r="N32" s="25"/>
      <c r="O32" s="1"/>
      <c r="P32" s="1"/>
    </row>
    <row r="33" spans="1:16">
      <c r="A33" s="28"/>
      <c r="B33" s="28"/>
      <c r="C33" s="26"/>
      <c r="D33" s="30"/>
      <c r="E33" s="30"/>
      <c r="F33" s="27"/>
      <c r="G33" s="27"/>
      <c r="H33" s="27"/>
      <c r="I33" s="28"/>
      <c r="J33" s="25"/>
      <c r="K33" s="25"/>
      <c r="L33" s="33"/>
      <c r="M33" s="33"/>
      <c r="N33" s="25"/>
      <c r="O33" s="1"/>
      <c r="P33" s="1"/>
    </row>
    <row r="34" spans="1:16">
      <c r="A34" s="28"/>
      <c r="B34" s="28"/>
      <c r="C34" s="26"/>
      <c r="D34" s="30"/>
      <c r="E34" s="30"/>
      <c r="F34" s="27"/>
      <c r="G34" s="27"/>
      <c r="H34" s="27"/>
      <c r="I34" s="28"/>
      <c r="J34" s="25"/>
      <c r="K34" s="25"/>
      <c r="L34" s="33"/>
      <c r="M34" s="33"/>
      <c r="N34" s="25"/>
      <c r="O34" s="1"/>
      <c r="P34" s="1"/>
    </row>
    <row r="35" spans="1:16">
      <c r="A35" s="10"/>
      <c r="B35" s="28"/>
      <c r="C35" s="26"/>
      <c r="D35" s="30"/>
      <c r="E35" s="30"/>
      <c r="F35" s="27"/>
      <c r="G35" s="27"/>
      <c r="H35" s="27"/>
      <c r="I35" s="28"/>
      <c r="J35" s="25"/>
      <c r="K35" s="25"/>
      <c r="L35" s="33"/>
      <c r="M35" s="33"/>
      <c r="N35" s="25"/>
      <c r="O35" s="1"/>
      <c r="P35" s="1"/>
    </row>
    <row r="36" spans="1:16">
      <c r="A36" s="10"/>
      <c r="B36" s="28"/>
      <c r="C36" s="26"/>
      <c r="D36" s="30"/>
      <c r="E36" s="30"/>
      <c r="F36" s="27"/>
      <c r="G36" s="27"/>
      <c r="H36" s="27"/>
      <c r="I36" s="28"/>
      <c r="J36" s="25"/>
      <c r="K36" s="1"/>
      <c r="L36" s="33"/>
      <c r="M36" s="33"/>
      <c r="N36" s="25"/>
      <c r="O36" s="1"/>
      <c r="P36" s="1"/>
    </row>
    <row r="37" spans="1:16">
      <c r="A37" s="10"/>
      <c r="B37" s="10"/>
      <c r="C37" s="10"/>
      <c r="D37" s="10"/>
      <c r="E37" s="10"/>
      <c r="F37" s="12"/>
      <c r="G37" s="12"/>
      <c r="H37" s="12"/>
      <c r="I37" s="10"/>
      <c r="J37" s="1"/>
      <c r="K37" s="1"/>
      <c r="L37" s="1"/>
      <c r="M37" s="2"/>
      <c r="N37" s="1"/>
      <c r="O37" s="1"/>
      <c r="P37" s="1"/>
    </row>
    <row r="38" spans="1:16">
      <c r="A38" s="10"/>
      <c r="B38" s="10"/>
      <c r="C38" s="10"/>
      <c r="D38" s="10"/>
      <c r="E38" s="10"/>
      <c r="F38" s="12"/>
      <c r="G38" s="12"/>
      <c r="H38" s="12"/>
      <c r="I38" s="10"/>
      <c r="J38" s="1"/>
      <c r="K38" s="1"/>
      <c r="L38" s="1"/>
      <c r="M38" s="2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P38"/>
  <sheetViews>
    <sheetView topLeftCell="D1" workbookViewId="0">
      <selection activeCell="N19" sqref="N19"/>
    </sheetView>
  </sheetViews>
  <sheetFormatPr defaultRowHeight="15"/>
  <cols>
    <col min="1" max="1" width="9.5703125" customWidth="1"/>
    <col min="2" max="2" width="37.7109375" customWidth="1"/>
    <col min="3" max="3" width="17.7109375" customWidth="1"/>
    <col min="4" max="4" width="14.7109375" customWidth="1"/>
    <col min="5" max="5" width="11.28515625" customWidth="1"/>
    <col min="6" max="6" width="16" customWidth="1"/>
    <col min="7" max="7" width="18.42578125" customWidth="1"/>
    <col min="8" max="8" width="16.28515625" customWidth="1"/>
    <col min="9" max="9" width="20.42578125" customWidth="1"/>
    <col min="12" max="12" width="12.85546875" customWidth="1"/>
    <col min="13" max="13" width="15.42578125" customWidth="1"/>
    <col min="14" max="14" width="18.28515625" customWidth="1"/>
    <col min="15" max="15" width="16" customWidth="1"/>
  </cols>
  <sheetData>
    <row r="2" spans="1:16">
      <c r="A2" s="1" t="s">
        <v>33</v>
      </c>
      <c r="B2" s="1"/>
      <c r="C2" s="1"/>
      <c r="D2" s="1"/>
      <c r="E2" s="1"/>
      <c r="F2" s="1"/>
      <c r="G2" s="1"/>
      <c r="H2" s="1"/>
      <c r="I2" s="1"/>
      <c r="J2" s="1"/>
      <c r="K2" s="1" t="s">
        <v>35</v>
      </c>
      <c r="L2" s="1"/>
      <c r="M2" s="1"/>
      <c r="N2" s="1"/>
      <c r="O2" s="1"/>
      <c r="P2" s="1"/>
    </row>
    <row r="3" spans="1:16" ht="30.75" thickBot="1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43" t="s">
        <v>7</v>
      </c>
      <c r="I3" s="4" t="s">
        <v>8</v>
      </c>
      <c r="J3" s="1"/>
      <c r="K3" s="7" t="s">
        <v>9</v>
      </c>
      <c r="L3" s="8" t="s">
        <v>10</v>
      </c>
      <c r="M3" s="3" t="s">
        <v>11</v>
      </c>
      <c r="N3" s="6" t="s">
        <v>12</v>
      </c>
      <c r="O3" s="4" t="s">
        <v>8</v>
      </c>
      <c r="P3" s="1"/>
    </row>
    <row r="4" spans="1:16" ht="15.75" thickBot="1">
      <c r="A4" s="9" t="s">
        <v>222</v>
      </c>
      <c r="B4" s="10" t="s">
        <v>223</v>
      </c>
      <c r="C4" s="11" t="s">
        <v>207</v>
      </c>
      <c r="D4" s="11">
        <v>1</v>
      </c>
      <c r="E4" s="11" t="s">
        <v>28</v>
      </c>
      <c r="F4" s="12">
        <v>1950000</v>
      </c>
      <c r="G4" s="40">
        <v>1950000</v>
      </c>
      <c r="H4" s="42" t="s">
        <v>224</v>
      </c>
      <c r="I4" s="41" t="s">
        <v>35</v>
      </c>
      <c r="J4" s="14"/>
      <c r="K4" s="129">
        <v>1</v>
      </c>
      <c r="L4" s="130">
        <v>45761</v>
      </c>
      <c r="M4" s="131" t="s">
        <v>18</v>
      </c>
      <c r="N4" s="132">
        <v>6970000</v>
      </c>
      <c r="O4" s="133" t="s">
        <v>252</v>
      </c>
      <c r="P4" s="1"/>
    </row>
    <row r="5" spans="1:16" ht="15.75" thickBot="1">
      <c r="A5" s="10" t="s">
        <v>225</v>
      </c>
      <c r="B5" s="10" t="s">
        <v>226</v>
      </c>
      <c r="C5" s="11" t="s">
        <v>41</v>
      </c>
      <c r="D5" s="11">
        <v>1</v>
      </c>
      <c r="E5" s="11" t="s">
        <v>42</v>
      </c>
      <c r="F5" s="12">
        <v>9990000</v>
      </c>
      <c r="G5" s="40">
        <v>9990000</v>
      </c>
      <c r="H5" s="50" t="s">
        <v>43</v>
      </c>
      <c r="I5" s="41" t="s">
        <v>36</v>
      </c>
      <c r="J5" s="17"/>
      <c r="K5" s="129">
        <v>2</v>
      </c>
      <c r="L5" s="134">
        <v>45764</v>
      </c>
      <c r="M5" s="135" t="s">
        <v>18</v>
      </c>
      <c r="N5" s="135" t="s">
        <v>202</v>
      </c>
      <c r="O5" s="135" t="s">
        <v>252</v>
      </c>
      <c r="P5" s="1"/>
    </row>
    <row r="6" spans="1:16">
      <c r="A6" s="10" t="s">
        <v>225</v>
      </c>
      <c r="B6" s="10" t="s">
        <v>227</v>
      </c>
      <c r="C6" s="11" t="s">
        <v>41</v>
      </c>
      <c r="D6" s="11">
        <v>1</v>
      </c>
      <c r="E6" s="11" t="s">
        <v>42</v>
      </c>
      <c r="F6" s="12">
        <v>1110000</v>
      </c>
      <c r="G6" s="40">
        <v>1110000</v>
      </c>
      <c r="H6" s="50"/>
      <c r="I6" s="41"/>
      <c r="J6" s="22"/>
      <c r="K6" s="99">
        <v>3</v>
      </c>
      <c r="L6" s="100">
        <v>45776</v>
      </c>
      <c r="M6" s="101" t="s">
        <v>23</v>
      </c>
      <c r="N6" s="102">
        <v>2200000</v>
      </c>
      <c r="O6" s="103" t="s">
        <v>252</v>
      </c>
      <c r="P6" s="1"/>
    </row>
    <row r="7" spans="1:16">
      <c r="A7" s="10"/>
      <c r="B7" s="10" t="s">
        <v>228</v>
      </c>
      <c r="C7" s="11" t="s">
        <v>41</v>
      </c>
      <c r="D7" s="11">
        <v>2</v>
      </c>
      <c r="E7" s="11" t="s">
        <v>42</v>
      </c>
      <c r="F7" s="12">
        <v>1110000</v>
      </c>
      <c r="G7" s="40">
        <v>2200000</v>
      </c>
      <c r="H7" s="51" t="s">
        <v>537</v>
      </c>
      <c r="I7" s="41" t="s">
        <v>36</v>
      </c>
      <c r="J7" s="25"/>
      <c r="K7" s="129">
        <v>4</v>
      </c>
      <c r="L7" s="130">
        <v>45776</v>
      </c>
      <c r="M7" s="131" t="s">
        <v>18</v>
      </c>
      <c r="N7" s="132">
        <v>10600000</v>
      </c>
      <c r="O7" s="136" t="s">
        <v>252</v>
      </c>
      <c r="P7" s="1"/>
    </row>
    <row r="8" spans="1:16">
      <c r="A8" s="10"/>
      <c r="B8" s="10" t="s">
        <v>229</v>
      </c>
      <c r="C8" s="11" t="s">
        <v>41</v>
      </c>
      <c r="D8" s="11">
        <v>1</v>
      </c>
      <c r="E8" s="11" t="s">
        <v>42</v>
      </c>
      <c r="F8" s="12">
        <v>1110000</v>
      </c>
      <c r="G8" s="40">
        <v>1110000</v>
      </c>
      <c r="H8" s="51"/>
      <c r="I8" s="41"/>
      <c r="J8" s="25"/>
      <c r="K8" s="45">
        <v>5</v>
      </c>
      <c r="L8" s="46" t="s">
        <v>222</v>
      </c>
      <c r="M8" s="47" t="s">
        <v>207</v>
      </c>
      <c r="N8" s="48">
        <v>1950000</v>
      </c>
      <c r="O8" s="63" t="s">
        <v>250</v>
      </c>
      <c r="P8" s="1"/>
    </row>
    <row r="9" spans="1:16" ht="15.75" thickBot="1">
      <c r="A9" s="28"/>
      <c r="B9" s="10" t="s">
        <v>230</v>
      </c>
      <c r="C9" s="11" t="s">
        <v>41</v>
      </c>
      <c r="D9" s="11">
        <v>1</v>
      </c>
      <c r="E9" s="11" t="s">
        <v>42</v>
      </c>
      <c r="F9" s="12">
        <v>1942500</v>
      </c>
      <c r="G9" s="40">
        <v>1942500</v>
      </c>
      <c r="H9" s="93"/>
      <c r="I9" s="41"/>
      <c r="J9" s="25"/>
      <c r="K9" s="137">
        <v>6</v>
      </c>
      <c r="L9" s="138" t="s">
        <v>242</v>
      </c>
      <c r="M9" s="139" t="s">
        <v>245</v>
      </c>
      <c r="N9" s="140">
        <v>3500000</v>
      </c>
      <c r="O9" s="141" t="s">
        <v>503</v>
      </c>
      <c r="P9" s="1"/>
    </row>
    <row r="10" spans="1:16" ht="15.75" thickBot="1">
      <c r="A10" s="28" t="s">
        <v>225</v>
      </c>
      <c r="B10" s="10" t="s">
        <v>231</v>
      </c>
      <c r="C10" s="11" t="s">
        <v>18</v>
      </c>
      <c r="D10" s="11">
        <v>1</v>
      </c>
      <c r="E10" s="11" t="s">
        <v>42</v>
      </c>
      <c r="F10" s="12">
        <v>1300000</v>
      </c>
      <c r="G10" s="40">
        <v>1300000</v>
      </c>
      <c r="H10" s="42" t="s">
        <v>208</v>
      </c>
      <c r="I10" s="41" t="s">
        <v>36</v>
      </c>
      <c r="J10" s="25"/>
      <c r="K10" s="129">
        <v>7</v>
      </c>
      <c r="L10" s="130"/>
      <c r="M10" s="131" t="s">
        <v>18</v>
      </c>
      <c r="N10" s="160">
        <v>6000000</v>
      </c>
      <c r="O10" s="133" t="s">
        <v>252</v>
      </c>
      <c r="P10" s="1"/>
    </row>
    <row r="11" spans="1:16" ht="15.75" thickBot="1">
      <c r="A11" s="28" t="s">
        <v>232</v>
      </c>
      <c r="B11" s="28" t="s">
        <v>233</v>
      </c>
      <c r="C11" s="11" t="s">
        <v>18</v>
      </c>
      <c r="D11" s="30">
        <v>2</v>
      </c>
      <c r="E11" s="11" t="s">
        <v>28</v>
      </c>
      <c r="F11" s="12">
        <v>2350000</v>
      </c>
      <c r="G11" s="40">
        <v>4700000</v>
      </c>
      <c r="H11" s="50" t="s">
        <v>234</v>
      </c>
      <c r="I11" s="41" t="s">
        <v>36</v>
      </c>
      <c r="J11" s="25"/>
      <c r="K11" s="168">
        <v>8</v>
      </c>
      <c r="L11" s="169" t="s">
        <v>346</v>
      </c>
      <c r="M11" s="170" t="s">
        <v>47</v>
      </c>
      <c r="N11" s="183">
        <v>1805230</v>
      </c>
      <c r="O11" s="184" t="s">
        <v>503</v>
      </c>
      <c r="P11" s="1"/>
    </row>
    <row r="12" spans="1:16">
      <c r="A12" s="28" t="s">
        <v>235</v>
      </c>
      <c r="B12" s="28" t="s">
        <v>236</v>
      </c>
      <c r="C12" s="11" t="s">
        <v>18</v>
      </c>
      <c r="D12" s="30">
        <v>1</v>
      </c>
      <c r="E12" s="11" t="s">
        <v>42</v>
      </c>
      <c r="F12" s="12">
        <v>1300000</v>
      </c>
      <c r="G12" s="40">
        <v>1300000</v>
      </c>
      <c r="H12" s="50" t="s">
        <v>238</v>
      </c>
      <c r="I12" s="41" t="s">
        <v>36</v>
      </c>
      <c r="J12" s="25"/>
      <c r="K12" s="168">
        <v>9</v>
      </c>
      <c r="L12" s="169" t="s">
        <v>372</v>
      </c>
      <c r="M12" s="170" t="s">
        <v>47</v>
      </c>
      <c r="N12" s="183">
        <v>3493000</v>
      </c>
      <c r="O12" s="184" t="s">
        <v>503</v>
      </c>
      <c r="P12" s="1"/>
    </row>
    <row r="13" spans="1:16" ht="15.75" thickBot="1">
      <c r="A13" s="31"/>
      <c r="B13" s="28" t="s">
        <v>237</v>
      </c>
      <c r="C13" s="11" t="s">
        <v>18</v>
      </c>
      <c r="D13" s="30">
        <v>1</v>
      </c>
      <c r="E13" s="11" t="s">
        <v>42</v>
      </c>
      <c r="F13" s="27">
        <v>1300000</v>
      </c>
      <c r="G13" s="54">
        <v>1300000</v>
      </c>
      <c r="H13" s="93"/>
      <c r="I13" s="41"/>
      <c r="J13" s="25"/>
      <c r="K13" s="190">
        <v>10</v>
      </c>
      <c r="L13" s="195" t="s">
        <v>396</v>
      </c>
      <c r="M13" s="195" t="s">
        <v>401</v>
      </c>
      <c r="N13" s="195" t="s">
        <v>144</v>
      </c>
      <c r="O13" s="195"/>
      <c r="P13" s="1"/>
    </row>
    <row r="14" spans="1:16" ht="15.75" thickBot="1">
      <c r="A14" s="28" t="s">
        <v>242</v>
      </c>
      <c r="B14" s="28" t="s">
        <v>243</v>
      </c>
      <c r="C14" s="26" t="s">
        <v>23</v>
      </c>
      <c r="D14" s="30">
        <v>2</v>
      </c>
      <c r="E14" s="30" t="s">
        <v>28</v>
      </c>
      <c r="F14" s="27">
        <v>1000000</v>
      </c>
      <c r="G14" s="54">
        <v>1100000</v>
      </c>
      <c r="H14" s="111">
        <v>2200000</v>
      </c>
      <c r="I14" s="55" t="s">
        <v>36</v>
      </c>
      <c r="J14" s="25"/>
      <c r="K14" s="122">
        <v>11</v>
      </c>
      <c r="L14" s="123" t="s">
        <v>447</v>
      </c>
      <c r="M14" s="124" t="s">
        <v>448</v>
      </c>
      <c r="N14" s="125">
        <v>5000000</v>
      </c>
      <c r="O14" s="196">
        <v>45925</v>
      </c>
      <c r="P14" s="1"/>
    </row>
    <row r="15" spans="1:16">
      <c r="A15" s="28" t="s">
        <v>242</v>
      </c>
      <c r="B15" s="28" t="s">
        <v>244</v>
      </c>
      <c r="C15" s="26" t="s">
        <v>245</v>
      </c>
      <c r="D15" s="30">
        <v>2</v>
      </c>
      <c r="E15" s="30" t="s">
        <v>28</v>
      </c>
      <c r="F15" s="27">
        <v>1750000</v>
      </c>
      <c r="G15" s="27">
        <v>3500000</v>
      </c>
      <c r="H15" s="89" t="s">
        <v>251</v>
      </c>
      <c r="I15" s="28" t="s">
        <v>35</v>
      </c>
      <c r="J15" s="25"/>
      <c r="K15" s="23">
        <v>12</v>
      </c>
      <c r="L15" s="15"/>
      <c r="M15" s="16"/>
      <c r="N15" s="29"/>
      <c r="O15" s="35"/>
      <c r="P15" s="1"/>
    </row>
    <row r="16" spans="1:16" ht="15.75" thickBot="1">
      <c r="A16" s="28" t="s">
        <v>242</v>
      </c>
      <c r="B16" s="28" t="s">
        <v>246</v>
      </c>
      <c r="C16" s="26" t="s">
        <v>41</v>
      </c>
      <c r="D16" s="30">
        <v>1</v>
      </c>
      <c r="E16" s="30" t="s">
        <v>42</v>
      </c>
      <c r="F16" s="27">
        <v>2200000</v>
      </c>
      <c r="G16" s="27">
        <v>2200000</v>
      </c>
      <c r="H16" s="145" t="s">
        <v>538</v>
      </c>
      <c r="I16" s="28" t="s">
        <v>36</v>
      </c>
      <c r="J16" s="25"/>
      <c r="K16" s="18">
        <v>13</v>
      </c>
      <c r="L16" s="24"/>
      <c r="M16" s="26"/>
      <c r="N16" s="27"/>
      <c r="O16" s="35"/>
      <c r="P16" s="1"/>
    </row>
    <row r="17" spans="1:16">
      <c r="A17" s="38" t="s">
        <v>253</v>
      </c>
      <c r="B17" s="28" t="s">
        <v>254</v>
      </c>
      <c r="C17" s="26" t="s">
        <v>18</v>
      </c>
      <c r="D17" s="30">
        <v>1</v>
      </c>
      <c r="E17" s="30" t="s">
        <v>28</v>
      </c>
      <c r="F17" s="27">
        <v>1600000</v>
      </c>
      <c r="G17" s="54">
        <v>1600000</v>
      </c>
      <c r="H17" s="59" t="s">
        <v>211</v>
      </c>
      <c r="I17" s="57" t="s">
        <v>36</v>
      </c>
      <c r="J17" s="25"/>
      <c r="K17" s="18">
        <v>14</v>
      </c>
      <c r="L17" s="24"/>
      <c r="M17" s="26"/>
      <c r="N17" s="27"/>
      <c r="O17" s="35"/>
      <c r="P17" s="1"/>
    </row>
    <row r="18" spans="1:16" ht="15.75" thickBot="1">
      <c r="A18" s="31"/>
      <c r="B18" s="28" t="s">
        <v>255</v>
      </c>
      <c r="C18" s="26" t="s">
        <v>18</v>
      </c>
      <c r="D18" s="30">
        <v>1</v>
      </c>
      <c r="E18" s="30" t="s">
        <v>28</v>
      </c>
      <c r="F18" s="27">
        <v>1200000</v>
      </c>
      <c r="G18" s="54">
        <v>1200000</v>
      </c>
      <c r="H18" s="58"/>
      <c r="I18" s="57"/>
      <c r="J18" s="25"/>
      <c r="K18" s="23">
        <v>15</v>
      </c>
      <c r="L18" s="24"/>
      <c r="M18" s="26"/>
      <c r="N18" s="27"/>
      <c r="O18" s="37"/>
      <c r="P18" s="1"/>
    </row>
    <row r="19" spans="1:16">
      <c r="A19" s="28" t="s">
        <v>256</v>
      </c>
      <c r="B19" s="28" t="s">
        <v>257</v>
      </c>
      <c r="C19" s="26" t="s">
        <v>18</v>
      </c>
      <c r="D19" s="30">
        <v>1</v>
      </c>
      <c r="E19" s="30" t="s">
        <v>28</v>
      </c>
      <c r="F19" s="27">
        <v>2250000</v>
      </c>
      <c r="G19" s="54">
        <v>2250000</v>
      </c>
      <c r="H19" s="59"/>
      <c r="I19" s="57" t="s">
        <v>36</v>
      </c>
      <c r="J19" s="25"/>
      <c r="K19" s="18">
        <v>16</v>
      </c>
      <c r="L19" s="32"/>
      <c r="M19" s="11"/>
      <c r="N19" s="27"/>
      <c r="O19" s="35"/>
      <c r="P19" s="1"/>
    </row>
    <row r="20" spans="1:16" ht="15.75" thickBot="1">
      <c r="A20" s="28"/>
      <c r="B20" s="28" t="s">
        <v>258</v>
      </c>
      <c r="C20" s="26" t="s">
        <v>18</v>
      </c>
      <c r="D20" s="30">
        <v>3</v>
      </c>
      <c r="E20" s="30" t="s">
        <v>28</v>
      </c>
      <c r="F20" s="27">
        <v>850000</v>
      </c>
      <c r="G20" s="54">
        <v>2550000</v>
      </c>
      <c r="H20" s="56" t="s">
        <v>259</v>
      </c>
      <c r="I20" s="57"/>
      <c r="J20" s="25"/>
      <c r="K20" s="18">
        <v>17</v>
      </c>
      <c r="L20" s="24"/>
      <c r="M20" s="26"/>
      <c r="N20" s="27"/>
      <c r="O20" s="35"/>
      <c r="P20" s="1"/>
    </row>
    <row r="21" spans="1:16">
      <c r="A21" s="31"/>
      <c r="B21" s="28"/>
      <c r="C21" s="26"/>
      <c r="D21" s="30"/>
      <c r="E21" s="30"/>
      <c r="F21" s="27"/>
      <c r="G21" s="27"/>
      <c r="H21" s="89"/>
      <c r="I21" s="28"/>
      <c r="J21" s="25"/>
      <c r="K21" s="23">
        <v>18</v>
      </c>
      <c r="L21" s="24"/>
      <c r="M21" s="26"/>
      <c r="N21" s="27"/>
      <c r="O21" s="35"/>
      <c r="P21" s="1"/>
    </row>
    <row r="22" spans="1:16">
      <c r="A22" s="28"/>
      <c r="B22" s="28"/>
      <c r="C22" s="26"/>
      <c r="D22" s="30"/>
      <c r="E22" s="30"/>
      <c r="F22" s="27"/>
      <c r="G22" s="27"/>
      <c r="H22" s="27"/>
      <c r="I22" s="28"/>
      <c r="J22" s="25"/>
      <c r="K22" s="18">
        <v>19</v>
      </c>
      <c r="L22" s="24"/>
      <c r="M22" s="26"/>
      <c r="N22" s="27"/>
      <c r="O22" s="35"/>
      <c r="P22" s="1"/>
    </row>
    <row r="23" spans="1:16">
      <c r="A23" s="28"/>
      <c r="B23" s="28"/>
      <c r="C23" s="26"/>
      <c r="D23" s="30"/>
      <c r="E23" s="30"/>
      <c r="F23" s="27"/>
      <c r="G23" s="27"/>
      <c r="H23" s="27"/>
      <c r="I23" s="28"/>
      <c r="J23" s="25"/>
      <c r="K23" s="28"/>
      <c r="L23" s="24"/>
      <c r="M23" s="26"/>
      <c r="N23" s="27"/>
      <c r="O23" s="28"/>
      <c r="P23" s="1"/>
    </row>
    <row r="24" spans="1:16">
      <c r="A24" s="28"/>
      <c r="B24" s="28"/>
      <c r="C24" s="26"/>
      <c r="D24" s="30"/>
      <c r="E24" s="30"/>
      <c r="F24" s="27"/>
      <c r="G24" s="27"/>
      <c r="H24" s="27"/>
      <c r="I24" s="28"/>
      <c r="J24" s="25"/>
      <c r="K24" s="25"/>
      <c r="L24" s="33"/>
      <c r="M24" s="33"/>
      <c r="N24" s="25"/>
      <c r="O24" s="1"/>
      <c r="P24" s="1"/>
    </row>
    <row r="25" spans="1:16">
      <c r="A25" s="28"/>
      <c r="B25" s="28"/>
      <c r="C25" s="26"/>
      <c r="D25" s="30"/>
      <c r="E25" s="30"/>
      <c r="F25" s="27"/>
      <c r="G25" s="27"/>
      <c r="H25" s="27"/>
      <c r="I25" s="28"/>
      <c r="J25" s="25"/>
      <c r="K25" s="25"/>
      <c r="L25" s="33"/>
      <c r="M25" s="33"/>
      <c r="N25" s="34" t="s">
        <v>449</v>
      </c>
      <c r="O25" s="1"/>
      <c r="P25" s="1"/>
    </row>
    <row r="26" spans="1:16">
      <c r="A26" s="28"/>
      <c r="B26" s="28"/>
      <c r="C26" s="26"/>
      <c r="D26" s="30"/>
      <c r="E26" s="30"/>
      <c r="F26" s="27"/>
      <c r="G26" s="27"/>
      <c r="H26" s="27"/>
      <c r="I26" s="28"/>
      <c r="J26" s="25"/>
      <c r="K26" s="25"/>
      <c r="L26" s="33"/>
      <c r="M26" s="33"/>
      <c r="N26" s="25"/>
      <c r="O26" s="1"/>
      <c r="P26" s="1"/>
    </row>
    <row r="27" spans="1:16">
      <c r="A27" s="28"/>
      <c r="B27" s="28"/>
      <c r="C27" s="26"/>
      <c r="D27" s="30"/>
      <c r="E27" s="30"/>
      <c r="F27" s="27"/>
      <c r="G27" s="27"/>
      <c r="H27" s="27"/>
      <c r="I27" s="28"/>
      <c r="J27" s="25"/>
      <c r="K27" s="25"/>
      <c r="L27" s="33"/>
      <c r="M27" s="33"/>
      <c r="N27" s="25"/>
      <c r="O27" s="1"/>
      <c r="P27" s="1"/>
    </row>
    <row r="28" spans="1:16">
      <c r="A28" s="31"/>
      <c r="B28" s="28"/>
      <c r="C28" s="26"/>
      <c r="D28" s="30"/>
      <c r="E28" s="30"/>
      <c r="F28" s="27"/>
      <c r="G28" s="27"/>
      <c r="H28" s="27"/>
      <c r="I28" s="28"/>
      <c r="J28" s="25"/>
      <c r="K28" s="25"/>
      <c r="L28" s="33"/>
      <c r="M28" s="33"/>
      <c r="N28" s="25"/>
      <c r="O28" s="1"/>
      <c r="P28" s="1"/>
    </row>
    <row r="29" spans="1:16">
      <c r="A29" s="28"/>
      <c r="B29" s="28"/>
      <c r="C29" s="26"/>
      <c r="D29" s="30"/>
      <c r="E29" s="30"/>
      <c r="F29" s="27"/>
      <c r="G29" s="27"/>
      <c r="H29" s="27"/>
      <c r="I29" s="28"/>
      <c r="J29" s="25"/>
      <c r="K29" s="25"/>
      <c r="L29" s="33"/>
      <c r="M29" s="33"/>
      <c r="N29" s="25"/>
      <c r="O29" s="1"/>
      <c r="P29" s="1"/>
    </row>
    <row r="30" spans="1:16">
      <c r="A30" s="28"/>
      <c r="B30" s="28"/>
      <c r="C30" s="26"/>
      <c r="D30" s="30"/>
      <c r="E30" s="30"/>
      <c r="F30" s="27"/>
      <c r="G30" s="27"/>
      <c r="H30" s="27"/>
      <c r="I30" s="28"/>
      <c r="J30" s="25"/>
      <c r="K30" s="25"/>
      <c r="L30" s="33"/>
      <c r="M30" s="33"/>
      <c r="N30" s="25"/>
      <c r="O30" s="1"/>
      <c r="P30" s="1"/>
    </row>
    <row r="31" spans="1:16">
      <c r="A31" s="10"/>
      <c r="B31" s="28"/>
      <c r="C31" s="26"/>
      <c r="D31" s="30"/>
      <c r="E31" s="30"/>
      <c r="F31" s="27"/>
      <c r="G31" s="27"/>
      <c r="H31" s="27"/>
      <c r="I31" s="28"/>
      <c r="J31" s="25"/>
      <c r="K31" s="25"/>
      <c r="L31" s="33"/>
      <c r="M31" s="33"/>
      <c r="N31" s="25"/>
      <c r="O31" s="1"/>
      <c r="P31" s="1"/>
    </row>
    <row r="32" spans="1:16">
      <c r="A32" s="10"/>
      <c r="B32" s="28"/>
      <c r="C32" s="26"/>
      <c r="D32" s="30"/>
      <c r="E32" s="30"/>
      <c r="F32" s="27"/>
      <c r="G32" s="27"/>
      <c r="H32" s="27"/>
      <c r="I32" s="28"/>
      <c r="J32" s="25"/>
      <c r="K32" s="1"/>
      <c r="L32" s="33"/>
      <c r="M32" s="33"/>
      <c r="N32" s="25"/>
      <c r="O32" s="1"/>
      <c r="P32" s="1"/>
    </row>
    <row r="33" spans="1:16">
      <c r="A33" s="10"/>
      <c r="B33" s="10"/>
      <c r="C33" s="10"/>
      <c r="D33" s="10"/>
      <c r="E33" s="10"/>
      <c r="F33" s="12"/>
      <c r="G33" s="12"/>
      <c r="H33" s="12"/>
      <c r="I33" s="10"/>
      <c r="J33" s="1"/>
      <c r="K33" s="1"/>
      <c r="L33" s="1"/>
      <c r="M33" s="2"/>
      <c r="N33" s="1"/>
      <c r="O33" s="1"/>
      <c r="P33" s="1"/>
    </row>
    <row r="34" spans="1:16">
      <c r="A34" s="10"/>
      <c r="B34" s="10"/>
      <c r="C34" s="10"/>
      <c r="D34" s="10"/>
      <c r="E34" s="10"/>
      <c r="F34" s="12"/>
      <c r="G34" s="12"/>
      <c r="H34" s="12"/>
      <c r="I34" s="10"/>
      <c r="J34" s="1"/>
      <c r="K34" s="1"/>
      <c r="L34" s="1"/>
      <c r="M34" s="2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P59"/>
  <sheetViews>
    <sheetView topLeftCell="C1" workbookViewId="0">
      <selection activeCell="L21" sqref="L21"/>
    </sheetView>
  </sheetViews>
  <sheetFormatPr defaultRowHeight="15"/>
  <cols>
    <col min="1" max="1" width="13.28515625" customWidth="1"/>
    <col min="2" max="2" width="31.42578125" customWidth="1"/>
    <col min="3" max="3" width="14.140625" customWidth="1"/>
    <col min="6" max="6" width="13.85546875" customWidth="1"/>
    <col min="7" max="8" width="14.85546875" customWidth="1"/>
    <col min="9" max="9" width="12.7109375" customWidth="1"/>
    <col min="12" max="12" width="13.85546875" customWidth="1"/>
    <col min="13" max="13" width="16.140625" customWidth="1"/>
    <col min="14" max="15" width="19.42578125" customWidth="1"/>
  </cols>
  <sheetData>
    <row r="3" spans="1:16">
      <c r="A3" s="1" t="s">
        <v>15</v>
      </c>
      <c r="B3" s="1"/>
      <c r="C3" s="1"/>
      <c r="D3" s="1"/>
      <c r="E3" s="1"/>
      <c r="F3" s="1"/>
      <c r="G3" s="1"/>
      <c r="H3" s="1"/>
      <c r="I3" s="1"/>
      <c r="J3" s="1"/>
      <c r="K3" s="1" t="s">
        <v>36</v>
      </c>
      <c r="L3" s="1"/>
      <c r="M3" s="1"/>
      <c r="N3" s="1"/>
      <c r="O3" s="1"/>
      <c r="P3" s="1"/>
    </row>
    <row r="4" spans="1:16" ht="45.75" thickBot="1">
      <c r="A4" s="10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43" t="s">
        <v>7</v>
      </c>
      <c r="I4" s="4" t="s">
        <v>8</v>
      </c>
      <c r="J4" s="1"/>
      <c r="K4" s="7" t="s">
        <v>9</v>
      </c>
      <c r="L4" s="8" t="s">
        <v>10</v>
      </c>
      <c r="M4" s="3" t="s">
        <v>11</v>
      </c>
      <c r="N4" s="6" t="s">
        <v>12</v>
      </c>
      <c r="O4" s="4" t="s">
        <v>8</v>
      </c>
      <c r="P4" s="1"/>
    </row>
    <row r="5" spans="1:16">
      <c r="A5" s="9" t="s">
        <v>264</v>
      </c>
      <c r="B5" s="10" t="s">
        <v>266</v>
      </c>
      <c r="C5" s="11" t="s">
        <v>210</v>
      </c>
      <c r="D5" s="11">
        <v>5</v>
      </c>
      <c r="E5" s="11" t="s">
        <v>28</v>
      </c>
      <c r="F5" s="12">
        <v>1200000</v>
      </c>
      <c r="G5" s="40">
        <v>6000000</v>
      </c>
      <c r="H5" s="50" t="s">
        <v>267</v>
      </c>
      <c r="I5" s="41" t="s">
        <v>37</v>
      </c>
      <c r="J5" s="14"/>
      <c r="K5" s="137">
        <v>1</v>
      </c>
      <c r="L5" s="138" t="s">
        <v>225</v>
      </c>
      <c r="M5" s="139" t="s">
        <v>41</v>
      </c>
      <c r="N5" s="140">
        <v>9990000</v>
      </c>
      <c r="O5" s="142" t="s">
        <v>539</v>
      </c>
      <c r="P5" s="1"/>
    </row>
    <row r="6" spans="1:16" ht="15.75" thickBot="1">
      <c r="A6" s="10"/>
      <c r="B6" s="10" t="s">
        <v>265</v>
      </c>
      <c r="C6" s="11" t="s">
        <v>210</v>
      </c>
      <c r="D6" s="11">
        <v>1</v>
      </c>
      <c r="E6" s="11" t="s">
        <v>28</v>
      </c>
      <c r="F6" s="12">
        <v>1250000</v>
      </c>
      <c r="G6" s="40">
        <v>1250000</v>
      </c>
      <c r="H6" s="51"/>
      <c r="I6" s="41"/>
      <c r="J6" s="17"/>
      <c r="K6" s="137">
        <v>2</v>
      </c>
      <c r="L6" s="143" t="s">
        <v>225</v>
      </c>
      <c r="M6" s="144" t="s">
        <v>41</v>
      </c>
      <c r="N6" s="144" t="s">
        <v>537</v>
      </c>
      <c r="O6" s="144" t="s">
        <v>540</v>
      </c>
      <c r="P6" s="1"/>
    </row>
    <row r="7" spans="1:16">
      <c r="A7" s="10" t="s">
        <v>270</v>
      </c>
      <c r="B7" s="10" t="s">
        <v>271</v>
      </c>
      <c r="C7" s="11" t="s">
        <v>272</v>
      </c>
      <c r="D7" s="11">
        <v>5</v>
      </c>
      <c r="E7" s="11" t="s">
        <v>28</v>
      </c>
      <c r="F7" s="12">
        <v>375000</v>
      </c>
      <c r="G7" s="40">
        <v>1875000</v>
      </c>
      <c r="H7" s="50"/>
      <c r="I7" s="41" t="s">
        <v>36</v>
      </c>
      <c r="J7" s="22"/>
      <c r="K7" s="45">
        <v>3</v>
      </c>
      <c r="L7" s="46" t="s">
        <v>225</v>
      </c>
      <c r="M7" s="47" t="s">
        <v>18</v>
      </c>
      <c r="N7" s="62">
        <v>1300000</v>
      </c>
      <c r="O7" s="63" t="s">
        <v>331</v>
      </c>
      <c r="P7" s="204"/>
    </row>
    <row r="8" spans="1:16" ht="15.75" thickBot="1">
      <c r="A8" s="10"/>
      <c r="B8" s="10" t="s">
        <v>273</v>
      </c>
      <c r="C8" s="11" t="s">
        <v>272</v>
      </c>
      <c r="D8" s="11">
        <v>5</v>
      </c>
      <c r="E8" s="11" t="s">
        <v>28</v>
      </c>
      <c r="F8" s="12">
        <v>520000</v>
      </c>
      <c r="G8" s="40">
        <v>2600000</v>
      </c>
      <c r="H8" s="51" t="s">
        <v>274</v>
      </c>
      <c r="I8" s="41"/>
      <c r="J8" s="25"/>
      <c r="K8" s="45">
        <v>4</v>
      </c>
      <c r="L8" s="46" t="s">
        <v>232</v>
      </c>
      <c r="M8" s="47" t="s">
        <v>18</v>
      </c>
      <c r="N8" s="48">
        <v>4700000</v>
      </c>
      <c r="O8" s="63" t="s">
        <v>331</v>
      </c>
      <c r="P8" s="204"/>
    </row>
    <row r="9" spans="1:16">
      <c r="A9" s="10" t="s">
        <v>268</v>
      </c>
      <c r="B9" s="10" t="s">
        <v>57</v>
      </c>
      <c r="C9" s="11" t="s">
        <v>18</v>
      </c>
      <c r="D9" s="11">
        <v>2</v>
      </c>
      <c r="E9" s="11" t="s">
        <v>28</v>
      </c>
      <c r="F9" s="12">
        <v>1200000</v>
      </c>
      <c r="G9" s="40">
        <v>2400000</v>
      </c>
      <c r="H9" s="50"/>
      <c r="I9" s="41"/>
      <c r="J9" s="25"/>
      <c r="K9" s="45">
        <v>5</v>
      </c>
      <c r="L9" s="46" t="s">
        <v>235</v>
      </c>
      <c r="M9" s="47" t="s">
        <v>18</v>
      </c>
      <c r="N9" s="48">
        <v>2600000</v>
      </c>
      <c r="O9" s="63" t="s">
        <v>331</v>
      </c>
      <c r="P9" s="204"/>
    </row>
    <row r="10" spans="1:16">
      <c r="A10" s="28"/>
      <c r="B10" s="10" t="s">
        <v>275</v>
      </c>
      <c r="C10" s="11" t="s">
        <v>18</v>
      </c>
      <c r="D10" s="11">
        <v>1</v>
      </c>
      <c r="E10" s="11" t="s">
        <v>28</v>
      </c>
      <c r="F10" s="12">
        <v>1200000</v>
      </c>
      <c r="G10" s="40">
        <v>1200000</v>
      </c>
      <c r="H10" s="51" t="s">
        <v>276</v>
      </c>
      <c r="I10" s="41" t="s">
        <v>37</v>
      </c>
      <c r="J10" s="25"/>
      <c r="K10" s="137">
        <v>6</v>
      </c>
      <c r="L10" s="138" t="s">
        <v>242</v>
      </c>
      <c r="M10" s="139" t="s">
        <v>41</v>
      </c>
      <c r="N10" s="140">
        <v>2220000</v>
      </c>
      <c r="O10" s="141" t="s">
        <v>539</v>
      </c>
      <c r="P10" s="204"/>
    </row>
    <row r="11" spans="1:16" ht="15.75" thickBot="1">
      <c r="A11" s="28"/>
      <c r="B11" s="10" t="s">
        <v>54</v>
      </c>
      <c r="C11" s="11" t="s">
        <v>18</v>
      </c>
      <c r="D11" s="11">
        <v>1</v>
      </c>
      <c r="E11" s="11" t="s">
        <v>28</v>
      </c>
      <c r="F11" s="12">
        <v>1600000</v>
      </c>
      <c r="G11" s="40">
        <v>1600000</v>
      </c>
      <c r="H11" s="51"/>
      <c r="I11" s="41"/>
      <c r="J11" s="25"/>
      <c r="K11" s="99">
        <v>7</v>
      </c>
      <c r="L11" s="100" t="s">
        <v>242</v>
      </c>
      <c r="M11" s="101" t="s">
        <v>247</v>
      </c>
      <c r="N11" s="102">
        <v>2200000</v>
      </c>
      <c r="O11" s="107" t="s">
        <v>331</v>
      </c>
      <c r="P11" s="204"/>
    </row>
    <row r="12" spans="1:16">
      <c r="A12" s="28" t="s">
        <v>277</v>
      </c>
      <c r="B12" s="28" t="s">
        <v>278</v>
      </c>
      <c r="C12" s="11" t="s">
        <v>18</v>
      </c>
      <c r="D12" s="30">
        <v>5</v>
      </c>
      <c r="E12" s="11" t="s">
        <v>28</v>
      </c>
      <c r="F12" s="12">
        <v>90000</v>
      </c>
      <c r="G12" s="40">
        <v>450000</v>
      </c>
      <c r="H12" s="50"/>
      <c r="I12" s="41"/>
      <c r="J12" s="25"/>
      <c r="K12" s="45">
        <v>8</v>
      </c>
      <c r="L12" s="46" t="s">
        <v>253</v>
      </c>
      <c r="M12" s="47" t="s">
        <v>18</v>
      </c>
      <c r="N12" s="48">
        <v>2800000</v>
      </c>
      <c r="O12" s="49" t="s">
        <v>331</v>
      </c>
      <c r="P12" s="204"/>
    </row>
    <row r="13" spans="1:16" s="1" customFormat="1">
      <c r="A13" s="28"/>
      <c r="B13" s="28"/>
      <c r="C13" s="11"/>
      <c r="D13" s="30"/>
      <c r="E13" s="11"/>
      <c r="F13" s="12"/>
      <c r="G13" s="40"/>
      <c r="H13" s="51"/>
      <c r="I13" s="41"/>
      <c r="J13" s="25"/>
      <c r="K13" s="181">
        <v>9</v>
      </c>
      <c r="L13" s="46" t="s">
        <v>256</v>
      </c>
      <c r="M13" s="47" t="s">
        <v>18</v>
      </c>
      <c r="N13" s="48">
        <v>4800000</v>
      </c>
      <c r="O13" s="49" t="s">
        <v>331</v>
      </c>
      <c r="P13" s="204"/>
    </row>
    <row r="14" spans="1:16">
      <c r="A14" s="28"/>
      <c r="B14" s="28" t="s">
        <v>280</v>
      </c>
      <c r="C14" s="11" t="s">
        <v>18</v>
      </c>
      <c r="D14" s="30">
        <v>5</v>
      </c>
      <c r="E14" s="11" t="s">
        <v>28</v>
      </c>
      <c r="F14" s="12">
        <v>80000</v>
      </c>
      <c r="G14" s="40">
        <v>400000</v>
      </c>
      <c r="H14" s="51"/>
      <c r="I14" s="41"/>
      <c r="J14" s="25"/>
      <c r="K14" s="153">
        <v>10</v>
      </c>
      <c r="L14" s="154" t="s">
        <v>270</v>
      </c>
      <c r="M14" s="155" t="s">
        <v>272</v>
      </c>
      <c r="N14" s="156">
        <v>4475000</v>
      </c>
      <c r="O14" s="157" t="s">
        <v>331</v>
      </c>
      <c r="P14" s="204"/>
    </row>
    <row r="15" spans="1:16">
      <c r="A15" s="31"/>
      <c r="B15" s="28" t="s">
        <v>279</v>
      </c>
      <c r="C15" s="11" t="s">
        <v>18</v>
      </c>
      <c r="D15" s="30">
        <v>10</v>
      </c>
      <c r="E15" s="11" t="s">
        <v>28</v>
      </c>
      <c r="F15" s="27">
        <v>80000</v>
      </c>
      <c r="G15" s="54">
        <v>800000</v>
      </c>
      <c r="H15" s="51" t="s">
        <v>284</v>
      </c>
      <c r="I15" s="41"/>
      <c r="J15" s="25"/>
      <c r="K15" s="153">
        <v>11</v>
      </c>
      <c r="L15" s="158" t="s">
        <v>277</v>
      </c>
      <c r="M15" s="158" t="s">
        <v>272</v>
      </c>
      <c r="N15" s="158" t="s">
        <v>287</v>
      </c>
      <c r="O15" s="159" t="s">
        <v>331</v>
      </c>
      <c r="P15" s="204"/>
    </row>
    <row r="16" spans="1:16">
      <c r="A16" s="28"/>
      <c r="B16" s="28" t="s">
        <v>281</v>
      </c>
      <c r="C16" s="26" t="s">
        <v>18</v>
      </c>
      <c r="D16" s="30">
        <v>5</v>
      </c>
      <c r="E16" s="30" t="s">
        <v>28</v>
      </c>
      <c r="F16" s="27">
        <v>45000</v>
      </c>
      <c r="G16" s="54">
        <v>225000</v>
      </c>
      <c r="H16" s="58"/>
      <c r="I16" s="55"/>
      <c r="J16" s="25"/>
      <c r="K16" s="129">
        <v>11</v>
      </c>
      <c r="L16" s="130" t="s">
        <v>396</v>
      </c>
      <c r="M16" s="131" t="s">
        <v>401</v>
      </c>
      <c r="N16" s="132">
        <v>11000000</v>
      </c>
      <c r="O16" s="133"/>
      <c r="P16" s="1"/>
    </row>
    <row r="17" spans="1:16">
      <c r="A17" s="28"/>
      <c r="B17" s="28" t="s">
        <v>282</v>
      </c>
      <c r="C17" s="26" t="s">
        <v>18</v>
      </c>
      <c r="D17" s="30">
        <v>5</v>
      </c>
      <c r="E17" s="30" t="s">
        <v>28</v>
      </c>
      <c r="F17" s="27">
        <v>45000</v>
      </c>
      <c r="G17" s="54">
        <v>225000</v>
      </c>
      <c r="H17" s="58"/>
      <c r="I17" s="57"/>
      <c r="J17" s="25"/>
      <c r="K17" s="190">
        <v>12</v>
      </c>
      <c r="L17" s="191" t="s">
        <v>414</v>
      </c>
      <c r="M17" s="192" t="s">
        <v>47</v>
      </c>
      <c r="N17" s="193">
        <v>838600</v>
      </c>
      <c r="O17" s="194" t="s">
        <v>536</v>
      </c>
      <c r="P17" s="1"/>
    </row>
    <row r="18" spans="1:16" ht="15.75" thickBot="1">
      <c r="A18" s="28"/>
      <c r="B18" s="28" t="s">
        <v>283</v>
      </c>
      <c r="C18" s="26" t="s">
        <v>18</v>
      </c>
      <c r="D18" s="30">
        <v>2</v>
      </c>
      <c r="E18" s="30" t="s">
        <v>28</v>
      </c>
      <c r="F18" s="27">
        <v>600000</v>
      </c>
      <c r="G18" s="54">
        <v>1200000</v>
      </c>
      <c r="H18" s="58"/>
      <c r="I18" s="57"/>
      <c r="J18" s="25"/>
      <c r="K18" s="190">
        <v>13</v>
      </c>
      <c r="L18" s="191" t="s">
        <v>414</v>
      </c>
      <c r="M18" s="192" t="s">
        <v>47</v>
      </c>
      <c r="N18" s="193">
        <v>837900</v>
      </c>
      <c r="O18" s="194" t="s">
        <v>536</v>
      </c>
      <c r="P18" s="1"/>
    </row>
    <row r="19" spans="1:16">
      <c r="A19" s="38" t="s">
        <v>277</v>
      </c>
      <c r="B19" s="28" t="s">
        <v>285</v>
      </c>
      <c r="C19" s="26" t="s">
        <v>272</v>
      </c>
      <c r="D19" s="30">
        <v>3</v>
      </c>
      <c r="E19" s="30" t="s">
        <v>28</v>
      </c>
      <c r="F19" s="27">
        <v>375000</v>
      </c>
      <c r="G19" s="54">
        <v>1125000</v>
      </c>
      <c r="H19" s="59"/>
      <c r="I19" s="57"/>
      <c r="J19" s="25"/>
      <c r="K19" s="190">
        <v>14</v>
      </c>
      <c r="L19" s="191" t="s">
        <v>419</v>
      </c>
      <c r="M19" s="192" t="s">
        <v>47</v>
      </c>
      <c r="N19" s="193">
        <v>3748500</v>
      </c>
      <c r="O19" s="194" t="s">
        <v>536</v>
      </c>
      <c r="P19" s="1"/>
    </row>
    <row r="20" spans="1:16">
      <c r="A20" s="31"/>
      <c r="B20" s="28" t="s">
        <v>286</v>
      </c>
      <c r="C20" s="26" t="s">
        <v>272</v>
      </c>
      <c r="D20" s="30">
        <v>2</v>
      </c>
      <c r="E20" s="30" t="s">
        <v>28</v>
      </c>
      <c r="F20" s="27">
        <v>520000</v>
      </c>
      <c r="G20" s="54">
        <v>1040000</v>
      </c>
      <c r="H20" s="58"/>
      <c r="I20" s="57" t="s">
        <v>36</v>
      </c>
      <c r="J20" s="25"/>
      <c r="K20" s="122">
        <v>15</v>
      </c>
      <c r="L20" s="123" t="s">
        <v>447</v>
      </c>
      <c r="M20" s="124" t="s">
        <v>448</v>
      </c>
      <c r="N20" s="125">
        <v>5000000</v>
      </c>
      <c r="O20" s="197" t="s">
        <v>450</v>
      </c>
      <c r="P20" s="1"/>
    </row>
    <row r="21" spans="1:16">
      <c r="A21" s="28"/>
      <c r="B21" s="28" t="s">
        <v>271</v>
      </c>
      <c r="C21" s="26" t="s">
        <v>272</v>
      </c>
      <c r="D21" s="30">
        <v>2</v>
      </c>
      <c r="E21" s="30" t="s">
        <v>28</v>
      </c>
      <c r="F21" s="27">
        <v>375000</v>
      </c>
      <c r="G21" s="54">
        <v>750000</v>
      </c>
      <c r="H21" s="58" t="s">
        <v>287</v>
      </c>
      <c r="I21" s="57"/>
      <c r="J21" s="25"/>
      <c r="K21" s="18">
        <v>16</v>
      </c>
      <c r="L21" s="32"/>
      <c r="M21" s="11"/>
      <c r="N21" s="27"/>
      <c r="O21" s="35"/>
      <c r="P21" s="1"/>
    </row>
    <row r="22" spans="1:16" ht="15.75" thickBot="1">
      <c r="A22" s="28"/>
      <c r="B22" s="28" t="s">
        <v>273</v>
      </c>
      <c r="C22" s="26" t="s">
        <v>272</v>
      </c>
      <c r="D22" s="30">
        <v>2</v>
      </c>
      <c r="E22" s="30" t="s">
        <v>28</v>
      </c>
      <c r="F22" s="27">
        <v>520000</v>
      </c>
      <c r="G22" s="54">
        <v>1040000</v>
      </c>
      <c r="H22" s="56"/>
      <c r="I22" s="57"/>
      <c r="J22" s="25"/>
      <c r="K22" s="18">
        <v>17</v>
      </c>
      <c r="L22" s="24"/>
      <c r="M22" s="26"/>
      <c r="N22" s="27"/>
      <c r="O22" s="35"/>
      <c r="P22" s="1"/>
    </row>
    <row r="23" spans="1:16" ht="15.75" thickBot="1">
      <c r="A23" s="31" t="s">
        <v>288</v>
      </c>
      <c r="B23" s="28" t="s">
        <v>131</v>
      </c>
      <c r="C23" s="26" t="s">
        <v>18</v>
      </c>
      <c r="D23" s="30">
        <v>2</v>
      </c>
      <c r="E23" s="30" t="s">
        <v>28</v>
      </c>
      <c r="F23" s="27">
        <v>410000</v>
      </c>
      <c r="G23" s="54">
        <v>820000</v>
      </c>
      <c r="H23" s="59" t="s">
        <v>289</v>
      </c>
      <c r="I23" s="57" t="s">
        <v>37</v>
      </c>
      <c r="J23" s="25"/>
      <c r="K23" s="23">
        <v>18</v>
      </c>
      <c r="L23" s="24"/>
      <c r="M23" s="26"/>
      <c r="N23" s="27"/>
      <c r="O23" s="35"/>
      <c r="P23" s="1"/>
    </row>
    <row r="24" spans="1:16">
      <c r="A24" s="28" t="s">
        <v>288</v>
      </c>
      <c r="B24" s="28" t="s">
        <v>290</v>
      </c>
      <c r="C24" s="26" t="s">
        <v>23</v>
      </c>
      <c r="D24" s="30">
        <v>2</v>
      </c>
      <c r="E24" s="30" t="s">
        <v>28</v>
      </c>
      <c r="F24" s="27">
        <v>450000</v>
      </c>
      <c r="G24" s="54">
        <v>900000</v>
      </c>
      <c r="H24" s="59"/>
      <c r="I24" s="57"/>
      <c r="J24" s="25"/>
      <c r="K24" s="18">
        <v>19</v>
      </c>
      <c r="L24" s="24"/>
      <c r="M24" s="26"/>
      <c r="N24" s="27"/>
      <c r="O24" s="35"/>
      <c r="P24" s="1"/>
    </row>
    <row r="25" spans="1:16">
      <c r="A25" s="28"/>
      <c r="B25" s="28" t="s">
        <v>291</v>
      </c>
      <c r="C25" s="26" t="s">
        <v>23</v>
      </c>
      <c r="D25" s="30">
        <v>2</v>
      </c>
      <c r="E25" s="30" t="s">
        <v>28</v>
      </c>
      <c r="F25" s="27">
        <v>450000</v>
      </c>
      <c r="G25" s="54">
        <v>900000</v>
      </c>
      <c r="H25" s="58"/>
      <c r="I25" s="57"/>
      <c r="J25" s="25"/>
      <c r="K25" s="28"/>
      <c r="L25" s="24"/>
      <c r="M25" s="26"/>
      <c r="N25" s="27"/>
      <c r="O25" s="28"/>
      <c r="P25" s="1"/>
    </row>
    <row r="26" spans="1:16">
      <c r="A26" s="28"/>
      <c r="B26" s="28" t="s">
        <v>292</v>
      </c>
      <c r="C26" s="26" t="s">
        <v>23</v>
      </c>
      <c r="D26" s="30">
        <v>1</v>
      </c>
      <c r="E26" s="30" t="s">
        <v>28</v>
      </c>
      <c r="F26" s="27">
        <v>1500000</v>
      </c>
      <c r="G26" s="54">
        <v>1500000</v>
      </c>
      <c r="H26" s="58" t="s">
        <v>295</v>
      </c>
      <c r="I26" s="57" t="s">
        <v>37</v>
      </c>
      <c r="J26" s="25"/>
      <c r="K26" s="25"/>
      <c r="L26" s="33"/>
      <c r="M26" s="33"/>
      <c r="N26" s="25"/>
      <c r="O26" s="1"/>
      <c r="P26" s="1"/>
    </row>
    <row r="27" spans="1:16">
      <c r="A27" s="28"/>
      <c r="B27" s="28" t="s">
        <v>491</v>
      </c>
      <c r="C27" s="26" t="s">
        <v>23</v>
      </c>
      <c r="D27" s="30">
        <v>1</v>
      </c>
      <c r="E27" s="30" t="s">
        <v>28</v>
      </c>
      <c r="F27" s="27">
        <v>850000</v>
      </c>
      <c r="G27" s="54">
        <v>850000</v>
      </c>
      <c r="H27" s="58"/>
      <c r="I27" s="57"/>
      <c r="J27" s="25"/>
      <c r="K27" s="25"/>
      <c r="L27" s="33"/>
      <c r="M27" s="33"/>
      <c r="N27" s="34" t="s">
        <v>455</v>
      </c>
      <c r="O27" s="1"/>
      <c r="P27" s="1"/>
    </row>
    <row r="28" spans="1:16">
      <c r="A28" s="28"/>
      <c r="B28" s="28" t="s">
        <v>293</v>
      </c>
      <c r="C28" s="26" t="s">
        <v>23</v>
      </c>
      <c r="D28" s="30">
        <v>1</v>
      </c>
      <c r="E28" s="30" t="s">
        <v>28</v>
      </c>
      <c r="F28" s="27">
        <v>1350000</v>
      </c>
      <c r="G28" s="54">
        <v>1350000</v>
      </c>
      <c r="H28" s="58"/>
      <c r="I28" s="57"/>
      <c r="J28" s="25"/>
      <c r="K28" s="25"/>
      <c r="L28" s="33"/>
      <c r="M28" s="33"/>
      <c r="N28" s="25"/>
      <c r="O28" s="1"/>
      <c r="P28" s="1"/>
    </row>
    <row r="29" spans="1:16">
      <c r="A29" s="28"/>
      <c r="B29" s="28" t="s">
        <v>294</v>
      </c>
      <c r="C29" s="26" t="s">
        <v>23</v>
      </c>
      <c r="D29" s="30">
        <v>1</v>
      </c>
      <c r="E29" s="30" t="s">
        <v>28</v>
      </c>
      <c r="F29" s="27">
        <v>200000</v>
      </c>
      <c r="G29" s="54">
        <v>200000</v>
      </c>
      <c r="H29" s="58"/>
      <c r="I29" s="57"/>
      <c r="J29" s="25"/>
      <c r="K29" s="25"/>
      <c r="L29" s="33"/>
      <c r="M29" s="33"/>
      <c r="N29" s="25"/>
      <c r="O29" s="1"/>
      <c r="P29" s="1"/>
    </row>
    <row r="30" spans="1:16" ht="15.75" thickBot="1">
      <c r="A30" s="31"/>
      <c r="B30" s="28" t="s">
        <v>176</v>
      </c>
      <c r="C30" s="26" t="s">
        <v>23</v>
      </c>
      <c r="D30" s="30">
        <v>3</v>
      </c>
      <c r="E30" s="30" t="s">
        <v>28</v>
      </c>
      <c r="F30" s="27">
        <v>750000</v>
      </c>
      <c r="G30" s="54">
        <v>2250000</v>
      </c>
      <c r="H30" s="58"/>
      <c r="I30" s="57"/>
      <c r="J30" s="25"/>
      <c r="K30" s="25"/>
      <c r="L30" s="33"/>
      <c r="M30" s="33"/>
      <c r="N30" s="25"/>
      <c r="O30" s="1"/>
      <c r="P30" s="1"/>
    </row>
    <row r="31" spans="1:16">
      <c r="A31" s="28" t="s">
        <v>296</v>
      </c>
      <c r="B31" s="28" t="s">
        <v>27</v>
      </c>
      <c r="C31" s="26" t="s">
        <v>18</v>
      </c>
      <c r="D31" s="30">
        <v>15</v>
      </c>
      <c r="E31" s="30" t="s">
        <v>28</v>
      </c>
      <c r="F31" s="27">
        <v>170000</v>
      </c>
      <c r="G31" s="54">
        <v>2550000</v>
      </c>
      <c r="H31" s="59"/>
      <c r="I31" s="57"/>
      <c r="J31" s="25"/>
      <c r="K31" s="25"/>
      <c r="L31" s="33"/>
      <c r="M31" s="33"/>
      <c r="N31" s="25"/>
      <c r="O31" s="1"/>
      <c r="P31" s="1"/>
    </row>
    <row r="32" spans="1:16">
      <c r="A32" s="28"/>
      <c r="B32" s="28" t="s">
        <v>167</v>
      </c>
      <c r="C32" s="26" t="s">
        <v>18</v>
      </c>
      <c r="D32" s="30">
        <v>3</v>
      </c>
      <c r="E32" s="30" t="s">
        <v>28</v>
      </c>
      <c r="F32" s="27">
        <v>170000</v>
      </c>
      <c r="G32" s="54">
        <v>525000</v>
      </c>
      <c r="H32" s="58" t="s">
        <v>298</v>
      </c>
      <c r="I32" s="57" t="s">
        <v>37</v>
      </c>
      <c r="J32" s="25"/>
      <c r="K32" s="25"/>
      <c r="L32" s="33"/>
      <c r="M32" s="33"/>
      <c r="N32" s="25"/>
      <c r="O32" s="1"/>
      <c r="P32" s="1"/>
    </row>
    <row r="33" spans="1:16" ht="15.75" thickBot="1">
      <c r="A33" s="10"/>
      <c r="B33" s="28" t="s">
        <v>297</v>
      </c>
      <c r="C33" s="26" t="s">
        <v>18</v>
      </c>
      <c r="D33" s="30">
        <v>3</v>
      </c>
      <c r="E33" s="30" t="s">
        <v>28</v>
      </c>
      <c r="F33" s="27">
        <v>750000</v>
      </c>
      <c r="G33" s="54">
        <v>2250000</v>
      </c>
      <c r="H33" s="58"/>
      <c r="I33" s="57"/>
      <c r="J33" s="25"/>
      <c r="K33" s="25"/>
      <c r="L33" s="33"/>
      <c r="M33" s="33"/>
      <c r="N33" s="25"/>
      <c r="O33" s="1"/>
      <c r="P33" s="1"/>
    </row>
    <row r="34" spans="1:16">
      <c r="A34" s="10" t="s">
        <v>300</v>
      </c>
      <c r="B34" s="28" t="s">
        <v>301</v>
      </c>
      <c r="C34" s="26" t="s">
        <v>18</v>
      </c>
      <c r="D34" s="30">
        <v>5</v>
      </c>
      <c r="E34" s="30" t="s">
        <v>28</v>
      </c>
      <c r="F34" s="27">
        <v>155000</v>
      </c>
      <c r="G34" s="54">
        <v>775000</v>
      </c>
      <c r="H34" s="59" t="s">
        <v>304</v>
      </c>
      <c r="I34" s="57" t="s">
        <v>37</v>
      </c>
      <c r="J34" s="25"/>
      <c r="K34" s="1"/>
      <c r="L34" s="33"/>
      <c r="M34" s="33"/>
      <c r="N34" s="25"/>
      <c r="O34" s="1"/>
      <c r="P34" s="1"/>
    </row>
    <row r="35" spans="1:16" s="1" customFormat="1" ht="15.75" thickBot="1">
      <c r="A35" s="10"/>
      <c r="B35" s="146" t="s">
        <v>302</v>
      </c>
      <c r="C35" s="47" t="s">
        <v>18</v>
      </c>
      <c r="D35" s="147">
        <v>30</v>
      </c>
      <c r="E35" s="147" t="s">
        <v>28</v>
      </c>
      <c r="F35" s="48">
        <v>15000</v>
      </c>
      <c r="G35" s="148">
        <v>450000</v>
      </c>
      <c r="H35" s="149" t="s">
        <v>303</v>
      </c>
      <c r="I35" s="57"/>
      <c r="J35" s="25"/>
      <c r="L35" s="33"/>
      <c r="M35" s="33"/>
      <c r="N35" s="25"/>
    </row>
    <row r="36" spans="1:16" s="1" customFormat="1">
      <c r="A36" s="10" t="s">
        <v>307</v>
      </c>
      <c r="B36" s="28" t="s">
        <v>310</v>
      </c>
      <c r="C36" s="26" t="s">
        <v>18</v>
      </c>
      <c r="D36" s="30">
        <v>5</v>
      </c>
      <c r="E36" s="30" t="s">
        <v>28</v>
      </c>
      <c r="F36" s="27">
        <v>80000</v>
      </c>
      <c r="G36" s="54">
        <v>400000</v>
      </c>
      <c r="H36" s="59"/>
      <c r="I36" s="57"/>
      <c r="J36" s="25"/>
      <c r="L36" s="33"/>
      <c r="M36" s="33"/>
      <c r="N36" s="25"/>
    </row>
    <row r="37" spans="1:16" s="1" customFormat="1">
      <c r="A37" s="10"/>
      <c r="B37" s="28" t="s">
        <v>311</v>
      </c>
      <c r="C37" s="26" t="s">
        <v>18</v>
      </c>
      <c r="D37" s="30">
        <v>10</v>
      </c>
      <c r="E37" s="30" t="s">
        <v>28</v>
      </c>
      <c r="F37" s="27">
        <v>200000</v>
      </c>
      <c r="G37" s="54">
        <v>2000000</v>
      </c>
      <c r="H37" s="58"/>
      <c r="I37" s="57"/>
      <c r="J37" s="25"/>
      <c r="L37" s="33"/>
      <c r="M37" s="33"/>
      <c r="N37" s="25"/>
    </row>
    <row r="38" spans="1:16">
      <c r="A38" s="10"/>
      <c r="B38" s="10" t="s">
        <v>312</v>
      </c>
      <c r="C38" s="11" t="s">
        <v>18</v>
      </c>
      <c r="D38" s="10">
        <v>2</v>
      </c>
      <c r="E38" s="10" t="s">
        <v>28</v>
      </c>
      <c r="F38" s="12">
        <v>250000</v>
      </c>
      <c r="G38" s="40">
        <v>500000</v>
      </c>
      <c r="H38" s="82"/>
      <c r="I38" s="79"/>
      <c r="J38" s="1"/>
      <c r="K38" s="1"/>
      <c r="L38" s="1"/>
      <c r="M38" s="2"/>
      <c r="N38" s="1"/>
      <c r="O38" s="1"/>
      <c r="P38" s="1"/>
    </row>
    <row r="39" spans="1:16" s="1" customFormat="1">
      <c r="A39" s="10"/>
      <c r="B39" s="10" t="s">
        <v>313</v>
      </c>
      <c r="C39" s="11" t="s">
        <v>18</v>
      </c>
      <c r="D39" s="10">
        <v>2</v>
      </c>
      <c r="E39" s="10" t="s">
        <v>28</v>
      </c>
      <c r="F39" s="12">
        <v>200000</v>
      </c>
      <c r="G39" s="40">
        <v>400000</v>
      </c>
      <c r="H39" s="82"/>
      <c r="I39" s="79"/>
      <c r="M39" s="2"/>
    </row>
    <row r="40" spans="1:16" s="1" customFormat="1">
      <c r="A40" s="10"/>
      <c r="B40" s="10" t="s">
        <v>315</v>
      </c>
      <c r="C40" s="11" t="s">
        <v>18</v>
      </c>
      <c r="D40" s="10">
        <v>2</v>
      </c>
      <c r="E40" s="10" t="s">
        <v>28</v>
      </c>
      <c r="F40" s="12">
        <v>1600000</v>
      </c>
      <c r="G40" s="40">
        <v>3200000</v>
      </c>
      <c r="H40" s="82" t="s">
        <v>322</v>
      </c>
      <c r="I40" s="79"/>
      <c r="M40" s="2"/>
    </row>
    <row r="41" spans="1:16" s="1" customFormat="1">
      <c r="A41" s="10"/>
      <c r="B41" s="10" t="s">
        <v>314</v>
      </c>
      <c r="C41" s="11" t="s">
        <v>18</v>
      </c>
      <c r="D41" s="10">
        <v>2</v>
      </c>
      <c r="E41" s="10" t="s">
        <v>28</v>
      </c>
      <c r="F41" s="12">
        <v>1200000</v>
      </c>
      <c r="G41" s="40">
        <v>2400000</v>
      </c>
      <c r="H41" s="82"/>
      <c r="I41" s="79" t="s">
        <v>37</v>
      </c>
      <c r="M41" s="2"/>
    </row>
    <row r="42" spans="1:16" s="1" customFormat="1">
      <c r="A42" s="10"/>
      <c r="B42" s="10" t="s">
        <v>115</v>
      </c>
      <c r="C42" s="11" t="s">
        <v>18</v>
      </c>
      <c r="D42" s="10">
        <v>10</v>
      </c>
      <c r="E42" s="10" t="s">
        <v>28</v>
      </c>
      <c r="F42" s="12">
        <v>80000</v>
      </c>
      <c r="G42" s="40">
        <v>800000</v>
      </c>
      <c r="H42" s="82"/>
      <c r="I42" s="79"/>
      <c r="M42" s="2"/>
    </row>
    <row r="43" spans="1:16" s="1" customFormat="1">
      <c r="A43" s="10"/>
      <c r="B43" s="10" t="s">
        <v>316</v>
      </c>
      <c r="C43" s="11" t="s">
        <v>18</v>
      </c>
      <c r="D43" s="10">
        <v>5</v>
      </c>
      <c r="E43" s="10" t="s">
        <v>28</v>
      </c>
      <c r="F43" s="12">
        <v>130000</v>
      </c>
      <c r="G43" s="40">
        <v>600000</v>
      </c>
      <c r="H43" s="82"/>
      <c r="I43" s="79"/>
      <c r="M43" s="2"/>
    </row>
    <row r="44" spans="1:16" s="1" customFormat="1">
      <c r="A44" s="10"/>
      <c r="B44" s="10" t="s">
        <v>317</v>
      </c>
      <c r="C44" s="11" t="s">
        <v>18</v>
      </c>
      <c r="D44" s="10">
        <v>5</v>
      </c>
      <c r="E44" s="10" t="s">
        <v>28</v>
      </c>
      <c r="F44" s="12">
        <v>130000</v>
      </c>
      <c r="G44" s="40">
        <v>6000000</v>
      </c>
      <c r="H44" s="82"/>
      <c r="I44" s="79"/>
      <c r="M44" s="2"/>
    </row>
    <row r="45" spans="1:16" s="1" customFormat="1">
      <c r="A45" s="10"/>
      <c r="B45" s="10" t="s">
        <v>318</v>
      </c>
      <c r="C45" s="11" t="s">
        <v>18</v>
      </c>
      <c r="D45" s="10">
        <v>5</v>
      </c>
      <c r="E45" s="10" t="s">
        <v>28</v>
      </c>
      <c r="F45" s="12">
        <v>80000</v>
      </c>
      <c r="G45" s="40">
        <v>400000</v>
      </c>
      <c r="H45" s="82"/>
      <c r="I45" s="79"/>
      <c r="M45" s="2"/>
    </row>
    <row r="46" spans="1:16" s="1" customFormat="1">
      <c r="A46" s="10"/>
      <c r="B46" s="10" t="s">
        <v>319</v>
      </c>
      <c r="C46" s="11" t="s">
        <v>18</v>
      </c>
      <c r="D46" s="10">
        <v>5</v>
      </c>
      <c r="E46" s="10" t="s">
        <v>28</v>
      </c>
      <c r="F46" s="12">
        <v>50000</v>
      </c>
      <c r="G46" s="40">
        <v>250000</v>
      </c>
      <c r="H46" s="82"/>
      <c r="I46" s="79"/>
      <c r="M46" s="2"/>
    </row>
    <row r="47" spans="1:16" s="1" customFormat="1" ht="15.75" thickBot="1">
      <c r="A47" s="10"/>
      <c r="B47" s="10" t="s">
        <v>320</v>
      </c>
      <c r="C47" s="11" t="s">
        <v>18</v>
      </c>
      <c r="D47" s="10">
        <v>5</v>
      </c>
      <c r="E47" s="10" t="s">
        <v>28</v>
      </c>
      <c r="F47" s="12">
        <v>225000</v>
      </c>
      <c r="G47" s="40">
        <v>1125000</v>
      </c>
      <c r="H47" s="83"/>
      <c r="I47" s="79"/>
      <c r="M47" s="2"/>
    </row>
    <row r="48" spans="1:16" s="1" customFormat="1" ht="15.75" thickBot="1">
      <c r="A48" s="10" t="s">
        <v>308</v>
      </c>
      <c r="B48" s="10" t="s">
        <v>309</v>
      </c>
      <c r="C48" s="10" t="s">
        <v>47</v>
      </c>
      <c r="D48" s="10">
        <v>1</v>
      </c>
      <c r="E48" s="10" t="s">
        <v>28</v>
      </c>
      <c r="F48" s="12">
        <v>2324250</v>
      </c>
      <c r="G48" s="40">
        <v>2324250</v>
      </c>
      <c r="H48" s="150" t="s">
        <v>323</v>
      </c>
      <c r="I48" s="79" t="s">
        <v>34</v>
      </c>
      <c r="M48" s="2"/>
    </row>
    <row r="49" spans="1:16" s="1" customFormat="1">
      <c r="A49" s="10" t="s">
        <v>324</v>
      </c>
      <c r="B49" s="10" t="s">
        <v>325</v>
      </c>
      <c r="C49" s="10" t="s">
        <v>23</v>
      </c>
      <c r="D49" s="10">
        <v>1</v>
      </c>
      <c r="E49" s="10" t="s">
        <v>28</v>
      </c>
      <c r="F49" s="12">
        <v>1100000</v>
      </c>
      <c r="G49" s="40">
        <v>1100000</v>
      </c>
      <c r="H49" s="151" t="s">
        <v>327</v>
      </c>
      <c r="I49" s="79" t="s">
        <v>37</v>
      </c>
      <c r="M49" s="2"/>
    </row>
    <row r="50" spans="1:16" s="1" customFormat="1" ht="15.75" thickBot="1">
      <c r="A50" s="10"/>
      <c r="B50" s="10" t="s">
        <v>326</v>
      </c>
      <c r="C50" s="10" t="s">
        <v>23</v>
      </c>
      <c r="D50" s="10">
        <v>7</v>
      </c>
      <c r="E50" s="10" t="s">
        <v>28</v>
      </c>
      <c r="F50" s="12">
        <v>140000</v>
      </c>
      <c r="G50" s="40">
        <v>980000</v>
      </c>
      <c r="H50" s="152"/>
      <c r="I50" s="79"/>
      <c r="M50" s="2"/>
    </row>
    <row r="51" spans="1:16" s="1" customFormat="1" ht="15.75" thickBot="1">
      <c r="A51" s="10" t="s">
        <v>370</v>
      </c>
      <c r="B51" s="10" t="s">
        <v>328</v>
      </c>
      <c r="C51" s="10" t="s">
        <v>23</v>
      </c>
      <c r="D51" s="10">
        <v>2</v>
      </c>
      <c r="E51" s="10" t="s">
        <v>28</v>
      </c>
      <c r="F51" s="12">
        <v>1600000</v>
      </c>
      <c r="G51" s="40">
        <v>3200000</v>
      </c>
      <c r="H51" s="150" t="s">
        <v>329</v>
      </c>
      <c r="I51" s="79" t="s">
        <v>38</v>
      </c>
      <c r="M51" s="2"/>
    </row>
    <row r="52" spans="1:16" s="1" customFormat="1">
      <c r="A52" s="10"/>
      <c r="B52" s="10"/>
      <c r="C52" s="10"/>
      <c r="D52" s="10"/>
      <c r="E52" s="10"/>
      <c r="F52" s="12"/>
      <c r="G52" s="12"/>
      <c r="H52" s="81"/>
      <c r="I52" s="10"/>
      <c r="M52" s="2"/>
    </row>
    <row r="53" spans="1:16" s="1" customFormat="1">
      <c r="A53" s="10"/>
      <c r="B53" s="10"/>
      <c r="C53" s="10"/>
      <c r="D53" s="10"/>
      <c r="E53" s="10"/>
      <c r="F53" s="12"/>
      <c r="G53" s="12"/>
      <c r="H53" s="12"/>
      <c r="I53" s="10"/>
      <c r="M53" s="2"/>
    </row>
    <row r="54" spans="1:16" s="1" customFormat="1">
      <c r="A54" s="10"/>
      <c r="B54" s="10"/>
      <c r="C54" s="10"/>
      <c r="D54" s="10"/>
      <c r="E54" s="10"/>
      <c r="F54" s="12"/>
      <c r="G54" s="12"/>
      <c r="H54" s="12"/>
      <c r="I54" s="10"/>
      <c r="M54" s="2"/>
    </row>
    <row r="55" spans="1:16">
      <c r="A55" s="10"/>
      <c r="B55" s="10"/>
      <c r="C55" s="10"/>
      <c r="D55" s="10"/>
      <c r="E55" s="10"/>
      <c r="F55" s="12"/>
      <c r="G55" s="12"/>
      <c r="H55" s="12"/>
      <c r="I55" s="10"/>
      <c r="J55" s="1"/>
      <c r="K55" s="1"/>
      <c r="L55" s="1"/>
      <c r="M55" s="2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P40"/>
  <sheetViews>
    <sheetView tabSelected="1" workbookViewId="0">
      <selection activeCell="H22" sqref="H22"/>
    </sheetView>
  </sheetViews>
  <sheetFormatPr defaultRowHeight="15"/>
  <cols>
    <col min="1" max="1" width="14.140625" customWidth="1"/>
    <col min="2" max="2" width="34.28515625" customWidth="1"/>
    <col min="3" max="3" width="18.5703125" customWidth="1"/>
    <col min="4" max="4" width="12.140625" customWidth="1"/>
    <col min="5" max="5" width="11.85546875" customWidth="1"/>
    <col min="6" max="6" width="18.28515625" customWidth="1"/>
    <col min="7" max="7" width="17" customWidth="1"/>
    <col min="8" max="8" width="15.28515625" customWidth="1"/>
    <col min="9" max="9" width="15.85546875" customWidth="1"/>
    <col min="12" max="12" width="12.85546875" customWidth="1"/>
    <col min="13" max="13" width="18.28515625" customWidth="1"/>
    <col min="14" max="14" width="17.85546875" customWidth="1"/>
    <col min="15" max="15" width="17.28515625" customWidth="1"/>
  </cols>
  <sheetData>
    <row r="3" spans="1:16">
      <c r="A3" s="1" t="s">
        <v>17</v>
      </c>
      <c r="B3" s="1"/>
      <c r="C3" s="1"/>
      <c r="D3" s="1"/>
      <c r="E3" s="1"/>
      <c r="F3" s="1"/>
      <c r="G3" s="1"/>
      <c r="H3" s="1"/>
      <c r="I3" s="1"/>
      <c r="J3" s="1"/>
      <c r="K3" s="1" t="s">
        <v>37</v>
      </c>
      <c r="L3" s="1"/>
      <c r="M3" s="1"/>
      <c r="N3" s="1"/>
      <c r="O3" s="1"/>
      <c r="P3" s="1"/>
    </row>
    <row r="4" spans="1:16" ht="30.75" thickBot="1">
      <c r="A4" s="10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43" t="s">
        <v>7</v>
      </c>
      <c r="I4" s="4" t="s">
        <v>8</v>
      </c>
      <c r="J4" s="1"/>
      <c r="K4" s="7" t="s">
        <v>9</v>
      </c>
      <c r="L4" s="8" t="s">
        <v>10</v>
      </c>
      <c r="M4" s="3" t="s">
        <v>11</v>
      </c>
      <c r="N4" s="6" t="s">
        <v>12</v>
      </c>
      <c r="O4" s="4" t="s">
        <v>8</v>
      </c>
      <c r="P4" s="1"/>
    </row>
    <row r="5" spans="1:16" ht="15.75" thickBot="1">
      <c r="A5" s="9" t="s">
        <v>334</v>
      </c>
      <c r="B5" s="10" t="s">
        <v>335</v>
      </c>
      <c r="C5" s="11" t="s">
        <v>41</v>
      </c>
      <c r="D5" s="11">
        <v>1</v>
      </c>
      <c r="E5" s="11" t="s">
        <v>42</v>
      </c>
      <c r="F5" s="12">
        <v>9990000</v>
      </c>
      <c r="G5" s="40">
        <v>9990000</v>
      </c>
      <c r="H5" s="42" t="s">
        <v>43</v>
      </c>
      <c r="I5" s="41" t="s">
        <v>38</v>
      </c>
      <c r="J5" s="14"/>
      <c r="K5" s="99">
        <v>1</v>
      </c>
      <c r="L5" s="100" t="s">
        <v>268</v>
      </c>
      <c r="M5" s="101" t="s">
        <v>269</v>
      </c>
      <c r="N5" s="104">
        <v>7250000</v>
      </c>
      <c r="O5" s="107" t="s">
        <v>384</v>
      </c>
      <c r="P5" s="204"/>
    </row>
    <row r="6" spans="1:16" ht="15.75" thickBot="1">
      <c r="A6" s="10" t="s">
        <v>334</v>
      </c>
      <c r="B6" s="10" t="s">
        <v>336</v>
      </c>
      <c r="C6" s="11" t="s">
        <v>157</v>
      </c>
      <c r="D6" s="11">
        <v>3</v>
      </c>
      <c r="E6" s="11" t="s">
        <v>28</v>
      </c>
      <c r="F6" s="12">
        <v>600000</v>
      </c>
      <c r="G6" s="40">
        <v>1800000</v>
      </c>
      <c r="H6" s="50" t="s">
        <v>337</v>
      </c>
      <c r="I6" s="41" t="s">
        <v>37</v>
      </c>
      <c r="J6" s="17"/>
      <c r="K6" s="45">
        <v>2</v>
      </c>
      <c r="L6" s="60" t="s">
        <v>268</v>
      </c>
      <c r="M6" s="61" t="s">
        <v>18</v>
      </c>
      <c r="N6" s="61" t="s">
        <v>276</v>
      </c>
      <c r="O6" s="61" t="s">
        <v>385</v>
      </c>
      <c r="P6" s="204"/>
    </row>
    <row r="7" spans="1:16">
      <c r="A7" s="10" t="s">
        <v>334</v>
      </c>
      <c r="B7" s="10" t="s">
        <v>338</v>
      </c>
      <c r="C7" s="11" t="s">
        <v>23</v>
      </c>
      <c r="D7" s="11">
        <v>1</v>
      </c>
      <c r="E7" s="11" t="s">
        <v>28</v>
      </c>
      <c r="F7" s="12">
        <v>7000000</v>
      </c>
      <c r="G7" s="40">
        <v>7000000</v>
      </c>
      <c r="H7" s="50" t="s">
        <v>144</v>
      </c>
      <c r="I7" s="41" t="s">
        <v>38</v>
      </c>
      <c r="J7" s="22"/>
      <c r="K7" s="45">
        <v>3</v>
      </c>
      <c r="L7" s="46" t="s">
        <v>277</v>
      </c>
      <c r="M7" s="47" t="s">
        <v>18</v>
      </c>
      <c r="N7" s="62">
        <v>3300000</v>
      </c>
      <c r="O7" s="63" t="s">
        <v>385</v>
      </c>
      <c r="P7" s="204"/>
    </row>
    <row r="8" spans="1:16" ht="15.75" thickBot="1">
      <c r="A8" s="10"/>
      <c r="B8" s="10" t="s">
        <v>339</v>
      </c>
      <c r="C8" s="11" t="s">
        <v>23</v>
      </c>
      <c r="D8" s="11">
        <v>1</v>
      </c>
      <c r="E8" s="11" t="s">
        <v>28</v>
      </c>
      <c r="F8" s="12">
        <v>3000000</v>
      </c>
      <c r="G8" s="40">
        <v>3000000</v>
      </c>
      <c r="H8" s="93"/>
      <c r="I8" s="41"/>
      <c r="J8" s="25"/>
      <c r="K8" s="45">
        <v>4</v>
      </c>
      <c r="L8" s="46" t="s">
        <v>288</v>
      </c>
      <c r="M8" s="47" t="s">
        <v>18</v>
      </c>
      <c r="N8" s="48">
        <v>820000</v>
      </c>
      <c r="O8" s="63" t="s">
        <v>385</v>
      </c>
      <c r="P8" s="204"/>
    </row>
    <row r="9" spans="1:16">
      <c r="A9" s="10" t="s">
        <v>340</v>
      </c>
      <c r="B9" s="10" t="s">
        <v>341</v>
      </c>
      <c r="C9" s="11" t="s">
        <v>18</v>
      </c>
      <c r="D9" s="11">
        <v>2</v>
      </c>
      <c r="E9" s="11" t="s">
        <v>28</v>
      </c>
      <c r="F9" s="12">
        <v>1200000</v>
      </c>
      <c r="G9" s="12">
        <v>2400000</v>
      </c>
      <c r="H9" s="44" t="s">
        <v>342</v>
      </c>
      <c r="I9" s="13" t="s">
        <v>38</v>
      </c>
      <c r="J9" s="25"/>
      <c r="K9" s="161">
        <v>5</v>
      </c>
      <c r="L9" s="162" t="s">
        <v>288</v>
      </c>
      <c r="M9" s="163" t="s">
        <v>23</v>
      </c>
      <c r="N9" s="164">
        <v>7950000</v>
      </c>
      <c r="O9" s="167"/>
      <c r="P9" s="204"/>
    </row>
    <row r="10" spans="1:16">
      <c r="A10" s="28" t="s">
        <v>346</v>
      </c>
      <c r="B10" s="10" t="s">
        <v>347</v>
      </c>
      <c r="C10" s="11" t="s">
        <v>47</v>
      </c>
      <c r="D10" s="11">
        <v>1</v>
      </c>
      <c r="E10" s="11" t="s">
        <v>28</v>
      </c>
      <c r="F10" s="12">
        <v>1805230</v>
      </c>
      <c r="G10" s="12">
        <v>1805230</v>
      </c>
      <c r="H10" s="13" t="s">
        <v>348</v>
      </c>
      <c r="I10" s="13" t="s">
        <v>35</v>
      </c>
      <c r="J10" s="25"/>
      <c r="K10" s="45">
        <v>6</v>
      </c>
      <c r="L10" s="46" t="s">
        <v>296</v>
      </c>
      <c r="M10" s="47" t="s">
        <v>18</v>
      </c>
      <c r="N10" s="48">
        <v>5325000</v>
      </c>
      <c r="O10" s="63" t="s">
        <v>385</v>
      </c>
      <c r="P10" s="204"/>
    </row>
    <row r="11" spans="1:16" ht="15.75" thickBot="1">
      <c r="A11" s="28" t="s">
        <v>349</v>
      </c>
      <c r="B11" s="10" t="s">
        <v>350</v>
      </c>
      <c r="C11" s="11" t="s">
        <v>23</v>
      </c>
      <c r="D11" s="11">
        <v>2</v>
      </c>
      <c r="E11" s="11" t="s">
        <v>28</v>
      </c>
      <c r="F11" s="12">
        <v>1100000</v>
      </c>
      <c r="G11" s="12">
        <v>2200000</v>
      </c>
      <c r="H11" s="175" t="s">
        <v>216</v>
      </c>
      <c r="I11" s="13" t="s">
        <v>38</v>
      </c>
      <c r="J11" s="25"/>
      <c r="K11" s="45">
        <v>7</v>
      </c>
      <c r="L11" s="46" t="s">
        <v>305</v>
      </c>
      <c r="M11" s="47" t="s">
        <v>18</v>
      </c>
      <c r="N11" s="62">
        <v>850000</v>
      </c>
      <c r="O11" s="49" t="s">
        <v>385</v>
      </c>
      <c r="P11" s="204"/>
    </row>
    <row r="12" spans="1:16">
      <c r="A12" s="28" t="s">
        <v>351</v>
      </c>
      <c r="B12" s="28" t="s">
        <v>352</v>
      </c>
      <c r="C12" s="11" t="s">
        <v>18</v>
      </c>
      <c r="D12" s="30">
        <v>5</v>
      </c>
      <c r="E12" s="11" t="s">
        <v>28</v>
      </c>
      <c r="F12" s="12">
        <v>140000</v>
      </c>
      <c r="G12" s="40">
        <v>700000</v>
      </c>
      <c r="H12" s="50"/>
      <c r="I12" s="41"/>
      <c r="J12" s="25"/>
      <c r="K12" s="45">
        <v>8</v>
      </c>
      <c r="L12" s="46" t="s">
        <v>321</v>
      </c>
      <c r="M12" s="47" t="s">
        <v>18</v>
      </c>
      <c r="N12" s="48">
        <v>12675000</v>
      </c>
      <c r="O12" s="49" t="s">
        <v>385</v>
      </c>
      <c r="P12" s="204"/>
    </row>
    <row r="13" spans="1:16">
      <c r="A13" s="28"/>
      <c r="B13" s="28" t="s">
        <v>353</v>
      </c>
      <c r="C13" s="11" t="s">
        <v>18</v>
      </c>
      <c r="D13" s="30">
        <v>5</v>
      </c>
      <c r="E13" s="11" t="s">
        <v>28</v>
      </c>
      <c r="F13" s="12">
        <v>150000</v>
      </c>
      <c r="G13" s="40">
        <v>750000</v>
      </c>
      <c r="H13" s="51"/>
      <c r="I13" s="41"/>
      <c r="J13" s="25"/>
      <c r="K13" s="161">
        <v>9</v>
      </c>
      <c r="L13" s="162" t="s">
        <v>324</v>
      </c>
      <c r="M13" s="163" t="s">
        <v>23</v>
      </c>
      <c r="N13" s="164">
        <v>2080000</v>
      </c>
      <c r="O13" s="165"/>
      <c r="P13" s="204"/>
    </row>
    <row r="14" spans="1:16">
      <c r="A14" s="31"/>
      <c r="B14" s="28" t="s">
        <v>357</v>
      </c>
      <c r="C14" s="11" t="s">
        <v>18</v>
      </c>
      <c r="D14" s="30">
        <v>2</v>
      </c>
      <c r="E14" s="11" t="s">
        <v>28</v>
      </c>
      <c r="F14" s="27">
        <v>300000</v>
      </c>
      <c r="G14" s="54">
        <v>600000</v>
      </c>
      <c r="H14" s="51"/>
      <c r="I14" s="41"/>
      <c r="J14" s="25"/>
      <c r="K14" s="168">
        <v>10</v>
      </c>
      <c r="L14" s="172" t="s">
        <v>334</v>
      </c>
      <c r="M14" s="172" t="s">
        <v>157</v>
      </c>
      <c r="N14" s="172" t="s">
        <v>337</v>
      </c>
      <c r="O14" s="172" t="s">
        <v>609</v>
      </c>
      <c r="P14" s="204"/>
    </row>
    <row r="15" spans="1:16">
      <c r="A15" s="28"/>
      <c r="B15" s="28" t="s">
        <v>354</v>
      </c>
      <c r="C15" s="26" t="s">
        <v>18</v>
      </c>
      <c r="D15" s="30">
        <v>2</v>
      </c>
      <c r="E15" s="30" t="s">
        <v>28</v>
      </c>
      <c r="F15" s="27">
        <v>140000</v>
      </c>
      <c r="G15" s="54">
        <v>280000</v>
      </c>
      <c r="H15" s="58" t="s">
        <v>359</v>
      </c>
      <c r="I15" s="55" t="s">
        <v>38</v>
      </c>
      <c r="J15" s="25"/>
      <c r="K15" s="176">
        <v>11</v>
      </c>
      <c r="L15" s="177" t="s">
        <v>360</v>
      </c>
      <c r="M15" s="178" t="s">
        <v>245</v>
      </c>
      <c r="N15" s="179">
        <v>1650000</v>
      </c>
      <c r="O15" s="180" t="s">
        <v>609</v>
      </c>
      <c r="P15" s="204"/>
    </row>
    <row r="16" spans="1:16">
      <c r="A16" s="28"/>
      <c r="B16" s="28" t="s">
        <v>355</v>
      </c>
      <c r="C16" s="26" t="s">
        <v>18</v>
      </c>
      <c r="D16" s="30">
        <v>3</v>
      </c>
      <c r="E16" s="30" t="s">
        <v>28</v>
      </c>
      <c r="F16" s="27">
        <v>140000</v>
      </c>
      <c r="G16" s="54">
        <v>420000</v>
      </c>
      <c r="H16" s="58"/>
      <c r="I16" s="57"/>
      <c r="J16" s="25"/>
      <c r="K16" s="176">
        <v>12</v>
      </c>
      <c r="L16" s="177" t="s">
        <v>368</v>
      </c>
      <c r="M16" s="178" t="s">
        <v>245</v>
      </c>
      <c r="N16" s="179">
        <v>2900000</v>
      </c>
      <c r="O16" s="180" t="s">
        <v>609</v>
      </c>
      <c r="P16" s="204"/>
    </row>
    <row r="17" spans="1:16">
      <c r="A17" s="28"/>
      <c r="B17" s="28" t="s">
        <v>356</v>
      </c>
      <c r="C17" s="26" t="s">
        <v>18</v>
      </c>
      <c r="D17" s="30">
        <v>20</v>
      </c>
      <c r="E17" s="30" t="s">
        <v>42</v>
      </c>
      <c r="F17" s="27">
        <v>16000</v>
      </c>
      <c r="G17" s="54">
        <v>320000</v>
      </c>
      <c r="H17" s="58"/>
      <c r="I17" s="57"/>
      <c r="J17" s="25"/>
      <c r="K17" s="45">
        <v>13</v>
      </c>
      <c r="L17" s="46" t="s">
        <v>370</v>
      </c>
      <c r="M17" s="47" t="s">
        <v>18</v>
      </c>
      <c r="N17" s="48">
        <v>3200000</v>
      </c>
      <c r="O17" s="49" t="s">
        <v>385</v>
      </c>
      <c r="P17" s="204"/>
    </row>
    <row r="18" spans="1:16">
      <c r="A18" s="38"/>
      <c r="B18" s="28" t="s">
        <v>280</v>
      </c>
      <c r="C18" s="26" t="s">
        <v>18</v>
      </c>
      <c r="D18" s="30">
        <v>5</v>
      </c>
      <c r="E18" s="30" t="s">
        <v>28</v>
      </c>
      <c r="F18" s="27">
        <v>80000</v>
      </c>
      <c r="G18" s="54">
        <v>400000</v>
      </c>
      <c r="H18" s="58"/>
      <c r="I18" s="57"/>
      <c r="J18" s="25"/>
      <c r="K18" s="129">
        <v>14</v>
      </c>
      <c r="L18" s="130" t="s">
        <v>410</v>
      </c>
      <c r="M18" s="131" t="s">
        <v>173</v>
      </c>
      <c r="N18" s="132">
        <v>7500000</v>
      </c>
      <c r="O18" s="133" t="s">
        <v>605</v>
      </c>
      <c r="P18" s="204"/>
    </row>
    <row r="19" spans="1:16" ht="15.75" thickBot="1">
      <c r="A19" s="31"/>
      <c r="B19" s="28" t="s">
        <v>358</v>
      </c>
      <c r="C19" s="26" t="s">
        <v>18</v>
      </c>
      <c r="D19" s="30">
        <v>3</v>
      </c>
      <c r="E19" s="30" t="s">
        <v>28</v>
      </c>
      <c r="F19" s="27">
        <v>250000</v>
      </c>
      <c r="G19" s="54">
        <v>750000</v>
      </c>
      <c r="H19" s="56"/>
      <c r="I19" s="57"/>
      <c r="J19" s="25"/>
      <c r="K19" s="117">
        <v>15</v>
      </c>
      <c r="L19" s="119">
        <v>45917</v>
      </c>
      <c r="M19" s="120" t="s">
        <v>47</v>
      </c>
      <c r="N19" s="121">
        <v>4198500</v>
      </c>
      <c r="O19" s="210" t="s">
        <v>605</v>
      </c>
      <c r="P19" s="204"/>
    </row>
    <row r="20" spans="1:16" ht="15.75" thickBot="1">
      <c r="A20" s="28" t="s">
        <v>360</v>
      </c>
      <c r="B20" s="28" t="s">
        <v>361</v>
      </c>
      <c r="C20" s="26" t="s">
        <v>23</v>
      </c>
      <c r="D20" s="30">
        <v>1</v>
      </c>
      <c r="E20" s="30" t="s">
        <v>28</v>
      </c>
      <c r="F20" s="27">
        <v>3800000</v>
      </c>
      <c r="G20" s="54">
        <v>3800000</v>
      </c>
      <c r="H20" s="111" t="s">
        <v>211</v>
      </c>
      <c r="I20" s="57" t="s">
        <v>38</v>
      </c>
      <c r="J20" s="25"/>
      <c r="K20" s="18">
        <v>16</v>
      </c>
      <c r="L20" s="32"/>
      <c r="M20" s="11"/>
      <c r="N20" s="27"/>
      <c r="O20" s="35"/>
      <c r="P20" s="1"/>
    </row>
    <row r="21" spans="1:16" ht="15.75" thickBot="1">
      <c r="A21" s="28" t="s">
        <v>360</v>
      </c>
      <c r="B21" s="28" t="s">
        <v>362</v>
      </c>
      <c r="C21" s="26" t="s">
        <v>23</v>
      </c>
      <c r="D21" s="30">
        <v>1</v>
      </c>
      <c r="E21" s="30" t="s">
        <v>28</v>
      </c>
      <c r="F21" s="27">
        <v>6500000</v>
      </c>
      <c r="G21" s="54">
        <v>6500000</v>
      </c>
      <c r="H21" s="111" t="s">
        <v>363</v>
      </c>
      <c r="I21" s="57" t="s">
        <v>38</v>
      </c>
      <c r="J21" s="25"/>
      <c r="K21" s="18">
        <v>17</v>
      </c>
      <c r="L21" s="24"/>
      <c r="M21" s="26"/>
      <c r="N21" s="27"/>
      <c r="O21" s="35"/>
      <c r="P21" s="1"/>
    </row>
    <row r="22" spans="1:16" ht="15.75" thickBot="1">
      <c r="A22" s="31" t="s">
        <v>360</v>
      </c>
      <c r="B22" s="28" t="s">
        <v>350</v>
      </c>
      <c r="C22" s="26" t="s">
        <v>245</v>
      </c>
      <c r="D22" s="30">
        <v>1</v>
      </c>
      <c r="E22" s="30" t="s">
        <v>28</v>
      </c>
      <c r="F22" s="27">
        <v>1650000</v>
      </c>
      <c r="G22" s="54">
        <v>1650000</v>
      </c>
      <c r="H22" s="111" t="s">
        <v>365</v>
      </c>
      <c r="I22" s="57" t="s">
        <v>37</v>
      </c>
      <c r="J22" s="25"/>
      <c r="K22" s="23">
        <v>18</v>
      </c>
      <c r="L22" s="24"/>
      <c r="M22" s="26"/>
      <c r="N22" s="27"/>
      <c r="O22" s="35"/>
      <c r="P22" s="1"/>
    </row>
    <row r="23" spans="1:16" ht="15.75" thickBot="1">
      <c r="A23" s="28" t="s">
        <v>366</v>
      </c>
      <c r="B23" s="28" t="s">
        <v>367</v>
      </c>
      <c r="C23" s="26" t="s">
        <v>23</v>
      </c>
      <c r="D23" s="30">
        <v>2</v>
      </c>
      <c r="E23" s="30" t="s">
        <v>28</v>
      </c>
      <c r="F23" s="27">
        <v>1100000</v>
      </c>
      <c r="G23" s="54">
        <v>2200000</v>
      </c>
      <c r="H23" s="111" t="s">
        <v>216</v>
      </c>
      <c r="I23" s="57" t="s">
        <v>38</v>
      </c>
      <c r="J23" s="25"/>
      <c r="K23" s="18">
        <v>19</v>
      </c>
      <c r="L23" s="24"/>
      <c r="M23" s="26"/>
      <c r="N23" s="27"/>
      <c r="O23" s="35"/>
      <c r="P23" s="1"/>
    </row>
    <row r="24" spans="1:16" ht="15.75" thickBot="1">
      <c r="A24" s="28" t="s">
        <v>368</v>
      </c>
      <c r="B24" s="28" t="s">
        <v>369</v>
      </c>
      <c r="C24" s="26" t="s">
        <v>245</v>
      </c>
      <c r="D24" s="30">
        <v>2</v>
      </c>
      <c r="E24" s="30" t="s">
        <v>42</v>
      </c>
      <c r="F24" s="27">
        <v>1450000</v>
      </c>
      <c r="G24" s="54">
        <v>2900000</v>
      </c>
      <c r="H24" s="59" t="s">
        <v>610</v>
      </c>
      <c r="I24" s="57" t="s">
        <v>37</v>
      </c>
      <c r="J24" s="25"/>
      <c r="K24" s="28"/>
      <c r="L24" s="24"/>
      <c r="M24" s="26"/>
      <c r="N24" s="27"/>
      <c r="O24" s="28"/>
      <c r="P24" s="1"/>
    </row>
    <row r="25" spans="1:16">
      <c r="A25" s="28" t="s">
        <v>372</v>
      </c>
      <c r="B25" s="28" t="s">
        <v>373</v>
      </c>
      <c r="C25" s="26" t="s">
        <v>18</v>
      </c>
      <c r="D25" s="30">
        <v>2</v>
      </c>
      <c r="E25" s="30" t="s">
        <v>28</v>
      </c>
      <c r="F25" s="27">
        <v>55000</v>
      </c>
      <c r="G25" s="54">
        <v>110000</v>
      </c>
      <c r="H25" s="59"/>
      <c r="I25" s="57"/>
      <c r="J25" s="25"/>
      <c r="K25" s="25"/>
      <c r="L25" s="33"/>
      <c r="M25" s="33"/>
      <c r="N25" s="25"/>
      <c r="O25" s="1"/>
      <c r="P25" s="1"/>
    </row>
    <row r="26" spans="1:16">
      <c r="A26" s="28"/>
      <c r="B26" s="28" t="s">
        <v>374</v>
      </c>
      <c r="C26" s="26" t="s">
        <v>18</v>
      </c>
      <c r="D26" s="30">
        <v>5</v>
      </c>
      <c r="E26" s="30" t="s">
        <v>28</v>
      </c>
      <c r="F26" s="27">
        <v>130000</v>
      </c>
      <c r="G26" s="54">
        <v>650000</v>
      </c>
      <c r="H26" s="58" t="s">
        <v>376</v>
      </c>
      <c r="I26" s="57" t="s">
        <v>38</v>
      </c>
      <c r="J26" s="25"/>
      <c r="K26" s="25"/>
      <c r="L26" s="33"/>
      <c r="M26" s="33"/>
      <c r="N26" s="34"/>
      <c r="O26" s="1"/>
      <c r="P26" s="1"/>
    </row>
    <row r="27" spans="1:16">
      <c r="A27" s="28"/>
      <c r="B27" s="28" t="s">
        <v>375</v>
      </c>
      <c r="C27" s="26" t="s">
        <v>18</v>
      </c>
      <c r="D27" s="30">
        <v>5</v>
      </c>
      <c r="E27" s="30" t="s">
        <v>28</v>
      </c>
      <c r="F27" s="27">
        <v>130000</v>
      </c>
      <c r="G27" s="54">
        <v>650000</v>
      </c>
      <c r="H27" s="58"/>
      <c r="I27" s="57"/>
      <c r="J27" s="25"/>
      <c r="K27" s="25"/>
      <c r="L27" s="33"/>
      <c r="M27" s="33"/>
      <c r="N27" s="25"/>
      <c r="O27" s="1"/>
      <c r="P27" s="1"/>
    </row>
    <row r="28" spans="1:16" s="1" customFormat="1" ht="15.75" thickBot="1">
      <c r="A28" s="28" t="s">
        <v>381</v>
      </c>
      <c r="B28" s="28" t="s">
        <v>382</v>
      </c>
      <c r="C28" s="26" t="s">
        <v>47</v>
      </c>
      <c r="D28" s="30">
        <v>10</v>
      </c>
      <c r="E28" s="30" t="s">
        <v>28</v>
      </c>
      <c r="F28" s="27">
        <v>349300</v>
      </c>
      <c r="G28" s="54">
        <v>3493000</v>
      </c>
      <c r="H28" s="58" t="s">
        <v>383</v>
      </c>
      <c r="I28" s="57" t="s">
        <v>35</v>
      </c>
      <c r="J28" s="25"/>
      <c r="K28" s="25"/>
      <c r="L28" s="33"/>
      <c r="M28" s="33"/>
      <c r="N28" s="25" t="s">
        <v>541</v>
      </c>
    </row>
    <row r="29" spans="1:16">
      <c r="A29" s="28" t="s">
        <v>377</v>
      </c>
      <c r="B29" s="28" t="s">
        <v>378</v>
      </c>
      <c r="C29" s="26" t="s">
        <v>18</v>
      </c>
      <c r="D29" s="30">
        <v>1</v>
      </c>
      <c r="E29" s="30" t="s">
        <v>28</v>
      </c>
      <c r="F29" s="27">
        <v>2250000</v>
      </c>
      <c r="G29" s="54">
        <v>2250000</v>
      </c>
      <c r="H29" s="59"/>
      <c r="I29" s="57"/>
      <c r="J29" s="25"/>
      <c r="K29" s="25"/>
      <c r="L29" s="33"/>
      <c r="M29" s="33"/>
      <c r="N29" s="25"/>
      <c r="O29" s="1"/>
      <c r="P29" s="1"/>
    </row>
    <row r="30" spans="1:16">
      <c r="A30" s="31"/>
      <c r="B30" s="28" t="s">
        <v>379</v>
      </c>
      <c r="C30" s="26" t="s">
        <v>18</v>
      </c>
      <c r="D30" s="30">
        <v>10</v>
      </c>
      <c r="E30" s="30" t="s">
        <v>28</v>
      </c>
      <c r="F30" s="27">
        <v>90000</v>
      </c>
      <c r="G30" s="54">
        <v>900000</v>
      </c>
      <c r="H30" s="58"/>
      <c r="I30" s="57"/>
      <c r="J30" s="25"/>
      <c r="K30" s="25"/>
      <c r="L30" s="33"/>
      <c r="M30" s="33"/>
      <c r="N30" s="25"/>
      <c r="O30" s="1"/>
      <c r="P30" s="1"/>
    </row>
    <row r="31" spans="1:16">
      <c r="A31" s="28"/>
      <c r="B31" s="28" t="s">
        <v>105</v>
      </c>
      <c r="C31" s="26" t="s">
        <v>18</v>
      </c>
      <c r="D31" s="30">
        <v>5</v>
      </c>
      <c r="E31" s="30" t="s">
        <v>28</v>
      </c>
      <c r="F31" s="27">
        <v>175000</v>
      </c>
      <c r="G31" s="54">
        <v>875000</v>
      </c>
      <c r="H31" s="58" t="s">
        <v>380</v>
      </c>
      <c r="I31" s="57" t="s">
        <v>38</v>
      </c>
      <c r="J31" s="25"/>
      <c r="K31" s="25"/>
      <c r="L31" s="33"/>
      <c r="M31" s="33"/>
      <c r="N31" s="25" t="s">
        <v>586</v>
      </c>
      <c r="O31" s="1"/>
      <c r="P31" s="1"/>
    </row>
    <row r="32" spans="1:16">
      <c r="A32" s="28"/>
      <c r="B32" s="28" t="s">
        <v>355</v>
      </c>
      <c r="C32" s="26" t="s">
        <v>18</v>
      </c>
      <c r="D32" s="30">
        <v>2</v>
      </c>
      <c r="E32" s="30" t="s">
        <v>28</v>
      </c>
      <c r="F32" s="27">
        <v>140000</v>
      </c>
      <c r="G32" s="54">
        <v>280000</v>
      </c>
      <c r="H32" s="58"/>
      <c r="I32" s="57"/>
      <c r="J32" s="25"/>
      <c r="K32" s="25"/>
      <c r="L32" s="33"/>
      <c r="M32" s="33"/>
      <c r="N32" s="25"/>
      <c r="O32" s="1"/>
      <c r="P32" s="1"/>
    </row>
    <row r="33" spans="1:16" ht="15.75" thickBot="1">
      <c r="A33" s="10"/>
      <c r="B33" s="28" t="s">
        <v>354</v>
      </c>
      <c r="C33" s="26" t="s">
        <v>18</v>
      </c>
      <c r="D33" s="30">
        <v>3</v>
      </c>
      <c r="E33" s="30" t="s">
        <v>28</v>
      </c>
      <c r="F33" s="27">
        <v>140000</v>
      </c>
      <c r="G33" s="54">
        <v>420000</v>
      </c>
      <c r="H33" s="56"/>
      <c r="I33" s="57"/>
      <c r="J33" s="25"/>
      <c r="K33" s="25"/>
      <c r="L33" s="33"/>
      <c r="M33" s="33"/>
      <c r="N33" s="25"/>
      <c r="O33" s="1"/>
      <c r="P33" s="1"/>
    </row>
    <row r="34" spans="1:16">
      <c r="A34" s="10"/>
      <c r="B34" s="28"/>
      <c r="C34" s="26"/>
      <c r="D34" s="30"/>
      <c r="E34" s="30"/>
      <c r="F34" s="27"/>
      <c r="G34" s="27"/>
      <c r="H34" s="89"/>
      <c r="I34" s="28"/>
      <c r="J34" s="25"/>
      <c r="K34" s="1"/>
      <c r="L34" s="33"/>
      <c r="M34" s="33"/>
      <c r="N34" s="25"/>
      <c r="O34" s="1"/>
      <c r="P34" s="1"/>
    </row>
    <row r="35" spans="1:16">
      <c r="A35" s="10"/>
      <c r="B35" s="10"/>
      <c r="C35" s="10"/>
      <c r="D35" s="10"/>
      <c r="E35" s="10"/>
      <c r="F35" s="12"/>
      <c r="G35" s="12"/>
      <c r="H35" s="12"/>
      <c r="I35" s="10"/>
      <c r="J35" s="1"/>
      <c r="K35" s="1"/>
      <c r="L35" s="1"/>
      <c r="M35" s="2"/>
      <c r="N35" s="1"/>
      <c r="O35" s="1"/>
      <c r="P35" s="1"/>
    </row>
    <row r="36" spans="1:16">
      <c r="A36" s="10"/>
      <c r="B36" s="10"/>
      <c r="C36" s="10"/>
      <c r="D36" s="10"/>
      <c r="E36" s="10"/>
      <c r="F36" s="12"/>
      <c r="G36" s="12"/>
      <c r="H36" s="12"/>
      <c r="I36" s="10"/>
      <c r="J36" s="1"/>
      <c r="K36" s="1"/>
      <c r="L36" s="1"/>
      <c r="M36" s="2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P53"/>
  <sheetViews>
    <sheetView topLeftCell="A10" workbookViewId="0">
      <selection activeCell="C10" sqref="C1:C1048576"/>
    </sheetView>
  </sheetViews>
  <sheetFormatPr defaultRowHeight="15"/>
  <cols>
    <col min="1" max="1" width="15.140625" customWidth="1"/>
    <col min="2" max="2" width="32.140625" customWidth="1"/>
    <col min="3" max="3" width="16.42578125" style="2" customWidth="1"/>
    <col min="4" max="4" width="12.7109375" customWidth="1"/>
    <col min="5" max="5" width="12" customWidth="1"/>
    <col min="6" max="6" width="16.5703125" customWidth="1"/>
    <col min="7" max="7" width="18.5703125" customWidth="1"/>
    <col min="8" max="8" width="14.140625" customWidth="1"/>
    <col min="9" max="9" width="13.42578125" customWidth="1"/>
    <col min="12" max="12" width="12.5703125" customWidth="1"/>
    <col min="13" max="13" width="14" customWidth="1"/>
    <col min="14" max="14" width="20.42578125" customWidth="1"/>
    <col min="15" max="15" width="18.5703125" customWidth="1"/>
  </cols>
  <sheetData>
    <row r="2" spans="1:16">
      <c r="A2" s="1" t="s">
        <v>34</v>
      </c>
      <c r="B2" s="1"/>
      <c r="D2" s="1"/>
      <c r="E2" s="1"/>
      <c r="F2" s="1"/>
      <c r="G2" s="1"/>
      <c r="H2" s="1"/>
      <c r="I2" s="1"/>
      <c r="J2" s="1"/>
      <c r="K2" s="1" t="s">
        <v>38</v>
      </c>
      <c r="L2" s="1"/>
      <c r="M2" s="1"/>
      <c r="N2" s="1"/>
      <c r="O2" s="1"/>
      <c r="P2" s="1"/>
    </row>
    <row r="3" spans="1:16" ht="30.75" thickBot="1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43" t="s">
        <v>7</v>
      </c>
      <c r="I3" s="4" t="s">
        <v>8</v>
      </c>
      <c r="J3" s="1"/>
      <c r="K3" s="7" t="s">
        <v>9</v>
      </c>
      <c r="L3" s="8" t="s">
        <v>10</v>
      </c>
      <c r="M3" s="3" t="s">
        <v>11</v>
      </c>
      <c r="N3" s="6" t="s">
        <v>12</v>
      </c>
      <c r="O3" s="4" t="s">
        <v>8</v>
      </c>
      <c r="P3" s="1"/>
    </row>
    <row r="4" spans="1:16" ht="15.75" thickBot="1">
      <c r="A4" s="9" t="s">
        <v>386</v>
      </c>
      <c r="B4" s="10" t="s">
        <v>387</v>
      </c>
      <c r="C4" s="11" t="s">
        <v>245</v>
      </c>
      <c r="D4" s="11">
        <v>1</v>
      </c>
      <c r="E4" s="11" t="s">
        <v>28</v>
      </c>
      <c r="F4" s="12">
        <v>375000</v>
      </c>
      <c r="G4" s="40">
        <v>375000</v>
      </c>
      <c r="H4" s="50" t="s">
        <v>388</v>
      </c>
      <c r="I4" s="41" t="s">
        <v>38</v>
      </c>
      <c r="J4" s="14"/>
      <c r="K4" s="45">
        <v>1</v>
      </c>
      <c r="L4" s="46" t="s">
        <v>334</v>
      </c>
      <c r="M4" s="47" t="s">
        <v>41</v>
      </c>
      <c r="N4" s="48">
        <v>9990000</v>
      </c>
      <c r="O4" s="49" t="s">
        <v>658</v>
      </c>
      <c r="P4" s="204"/>
    </row>
    <row r="5" spans="1:16">
      <c r="A5" s="10" t="s">
        <v>389</v>
      </c>
      <c r="B5" s="10" t="s">
        <v>115</v>
      </c>
      <c r="C5" s="11" t="s">
        <v>18</v>
      </c>
      <c r="D5" s="11">
        <v>20</v>
      </c>
      <c r="E5" s="11" t="s">
        <v>28</v>
      </c>
      <c r="F5" s="12">
        <v>80000</v>
      </c>
      <c r="G5" s="40">
        <v>1600000</v>
      </c>
      <c r="H5" s="50" t="s">
        <v>391</v>
      </c>
      <c r="I5" s="41" t="s">
        <v>13</v>
      </c>
      <c r="J5" s="17"/>
      <c r="K5" s="190">
        <v>2</v>
      </c>
      <c r="L5" s="212" t="s">
        <v>334</v>
      </c>
      <c r="M5" s="213" t="s">
        <v>23</v>
      </c>
      <c r="N5" s="213" t="s">
        <v>144</v>
      </c>
      <c r="O5" s="213" t="s">
        <v>658</v>
      </c>
      <c r="P5" s="204"/>
    </row>
    <row r="6" spans="1:16" ht="15.75" thickBot="1">
      <c r="A6" s="10"/>
      <c r="B6" s="10" t="s">
        <v>390</v>
      </c>
      <c r="C6" s="11" t="s">
        <v>18</v>
      </c>
      <c r="D6" s="11">
        <v>5</v>
      </c>
      <c r="E6" s="11" t="s">
        <v>28</v>
      </c>
      <c r="F6" s="12">
        <v>90000</v>
      </c>
      <c r="G6" s="40">
        <v>450000</v>
      </c>
      <c r="H6" s="51"/>
      <c r="I6" s="41"/>
      <c r="J6" s="22"/>
      <c r="K6" s="168">
        <v>3</v>
      </c>
      <c r="L6" s="169" t="s">
        <v>340</v>
      </c>
      <c r="M6" s="170" t="s">
        <v>18</v>
      </c>
      <c r="N6" s="171">
        <v>3700000</v>
      </c>
      <c r="O6" s="172" t="s">
        <v>592</v>
      </c>
      <c r="P6" s="204"/>
    </row>
    <row r="7" spans="1:16">
      <c r="A7" s="10" t="s">
        <v>392</v>
      </c>
      <c r="B7" s="10" t="s">
        <v>393</v>
      </c>
      <c r="C7" s="11" t="s">
        <v>23</v>
      </c>
      <c r="D7" s="11">
        <v>1</v>
      </c>
      <c r="E7" s="11" t="s">
        <v>28</v>
      </c>
      <c r="F7" s="12">
        <v>3800000</v>
      </c>
      <c r="G7" s="40">
        <v>3800000</v>
      </c>
      <c r="H7" s="50" t="s">
        <v>211</v>
      </c>
      <c r="I7" s="41" t="s">
        <v>13</v>
      </c>
      <c r="J7" s="25"/>
      <c r="K7" s="190">
        <v>4</v>
      </c>
      <c r="L7" s="191" t="s">
        <v>349</v>
      </c>
      <c r="M7" s="192" t="s">
        <v>23</v>
      </c>
      <c r="N7" s="193">
        <v>2200000</v>
      </c>
      <c r="O7" s="195" t="s">
        <v>658</v>
      </c>
      <c r="P7" s="204"/>
    </row>
    <row r="8" spans="1:16" ht="15.75" thickBot="1">
      <c r="A8" s="10"/>
      <c r="B8" s="63" t="s">
        <v>394</v>
      </c>
      <c r="C8" s="61" t="s">
        <v>23</v>
      </c>
      <c r="D8" s="61">
        <v>10</v>
      </c>
      <c r="E8" s="61" t="s">
        <v>28</v>
      </c>
      <c r="F8" s="185"/>
      <c r="G8" s="186"/>
      <c r="H8" s="188"/>
      <c r="I8" s="187" t="s">
        <v>395</v>
      </c>
      <c r="J8" s="25"/>
      <c r="K8" s="168">
        <v>5</v>
      </c>
      <c r="L8" s="169" t="s">
        <v>351</v>
      </c>
      <c r="M8" s="170" t="s">
        <v>18</v>
      </c>
      <c r="N8" s="183">
        <v>4220000</v>
      </c>
      <c r="O8" s="172" t="s">
        <v>592</v>
      </c>
      <c r="P8" s="204"/>
    </row>
    <row r="9" spans="1:16" s="1" customFormat="1">
      <c r="A9" s="10" t="s">
        <v>635</v>
      </c>
      <c r="B9" s="39" t="s">
        <v>598</v>
      </c>
      <c r="C9" s="214" t="s">
        <v>41</v>
      </c>
      <c r="D9" s="214">
        <v>1</v>
      </c>
      <c r="E9" s="214" t="s">
        <v>42</v>
      </c>
      <c r="F9" s="215">
        <v>1100000</v>
      </c>
      <c r="G9" s="216">
        <v>1100000</v>
      </c>
      <c r="H9" s="90"/>
      <c r="I9" s="217"/>
      <c r="J9" s="25"/>
      <c r="K9" s="168"/>
      <c r="L9" s="169"/>
      <c r="M9" s="170"/>
      <c r="N9" s="183"/>
      <c r="O9" s="172"/>
      <c r="P9" s="204"/>
    </row>
    <row r="10" spans="1:16" s="1" customFormat="1">
      <c r="A10" s="10"/>
      <c r="B10" s="39" t="s">
        <v>599</v>
      </c>
      <c r="C10" s="214" t="s">
        <v>41</v>
      </c>
      <c r="D10" s="214">
        <v>1</v>
      </c>
      <c r="E10" s="214" t="s">
        <v>42</v>
      </c>
      <c r="F10" s="215">
        <v>1100000</v>
      </c>
      <c r="G10" s="216">
        <v>1100000</v>
      </c>
      <c r="H10" s="90" t="s">
        <v>600</v>
      </c>
      <c r="I10" s="217" t="s">
        <v>428</v>
      </c>
      <c r="J10" s="25"/>
      <c r="K10" s="168"/>
      <c r="L10" s="169"/>
      <c r="M10" s="170"/>
      <c r="N10" s="183"/>
      <c r="O10" s="172"/>
      <c r="P10" s="204"/>
    </row>
    <row r="11" spans="1:16" s="1" customFormat="1" ht="15.75" thickBot="1">
      <c r="A11" s="10"/>
      <c r="B11" s="39" t="s">
        <v>229</v>
      </c>
      <c r="C11" s="214" t="s">
        <v>41</v>
      </c>
      <c r="D11" s="214">
        <v>2</v>
      </c>
      <c r="E11" s="214" t="s">
        <v>42</v>
      </c>
      <c r="F11" s="215">
        <v>1100000</v>
      </c>
      <c r="G11" s="216">
        <v>2200000</v>
      </c>
      <c r="H11" s="90"/>
      <c r="I11" s="217"/>
      <c r="J11" s="25"/>
      <c r="K11" s="168"/>
      <c r="L11" s="169"/>
      <c r="M11" s="170"/>
      <c r="N11" s="183"/>
      <c r="O11" s="172"/>
      <c r="P11" s="204"/>
    </row>
    <row r="12" spans="1:16" ht="15.75" thickBot="1">
      <c r="A12" s="28" t="s">
        <v>396</v>
      </c>
      <c r="B12" s="10" t="s">
        <v>397</v>
      </c>
      <c r="C12" s="11" t="s">
        <v>41</v>
      </c>
      <c r="D12" s="11">
        <v>1</v>
      </c>
      <c r="E12" s="11" t="s">
        <v>42</v>
      </c>
      <c r="F12" s="12">
        <v>9990000</v>
      </c>
      <c r="G12" s="40">
        <v>9990000</v>
      </c>
      <c r="H12" s="50" t="s">
        <v>43</v>
      </c>
      <c r="I12" s="41" t="s">
        <v>13</v>
      </c>
      <c r="J12" s="25"/>
      <c r="K12" s="161">
        <v>6</v>
      </c>
      <c r="L12" s="162" t="s">
        <v>360</v>
      </c>
      <c r="M12" s="163" t="s">
        <v>23</v>
      </c>
      <c r="N12" s="164">
        <v>3800000</v>
      </c>
      <c r="O12" s="167" t="s">
        <v>659</v>
      </c>
      <c r="P12" s="204"/>
    </row>
    <row r="13" spans="1:16">
      <c r="A13" s="28" t="s">
        <v>396</v>
      </c>
      <c r="B13" s="10" t="s">
        <v>398</v>
      </c>
      <c r="C13" s="11" t="s">
        <v>263</v>
      </c>
      <c r="D13" s="11">
        <v>1</v>
      </c>
      <c r="E13" s="11" t="s">
        <v>42</v>
      </c>
      <c r="F13" s="12">
        <v>10000000</v>
      </c>
      <c r="G13" s="40">
        <v>10000000</v>
      </c>
      <c r="H13" s="52" t="s">
        <v>400</v>
      </c>
      <c r="I13" s="41" t="s">
        <v>402</v>
      </c>
      <c r="J13" s="25"/>
      <c r="K13" s="161">
        <v>7</v>
      </c>
      <c r="L13" s="162" t="s">
        <v>364</v>
      </c>
      <c r="M13" s="163" t="s">
        <v>23</v>
      </c>
      <c r="N13" s="166">
        <v>6500000</v>
      </c>
      <c r="O13" s="220" t="s">
        <v>660</v>
      </c>
      <c r="P13" s="204"/>
    </row>
    <row r="14" spans="1:16" ht="15.75" thickBot="1">
      <c r="A14" s="28"/>
      <c r="B14" s="28" t="s">
        <v>399</v>
      </c>
      <c r="C14" s="11" t="s">
        <v>263</v>
      </c>
      <c r="D14" s="30">
        <v>1</v>
      </c>
      <c r="E14" s="11" t="s">
        <v>42</v>
      </c>
      <c r="F14" s="12">
        <v>11000000</v>
      </c>
      <c r="G14" s="40">
        <v>11000000</v>
      </c>
      <c r="H14" s="90"/>
      <c r="I14" s="41"/>
      <c r="J14" s="25"/>
      <c r="K14" s="161">
        <v>8</v>
      </c>
      <c r="L14" s="162" t="s">
        <v>366</v>
      </c>
      <c r="M14" s="163" t="s">
        <v>23</v>
      </c>
      <c r="N14" s="164">
        <v>2200000</v>
      </c>
      <c r="O14" s="165" t="s">
        <v>660</v>
      </c>
      <c r="P14" s="204"/>
    </row>
    <row r="15" spans="1:16">
      <c r="A15" s="28" t="s">
        <v>396</v>
      </c>
      <c r="B15" s="28" t="s">
        <v>403</v>
      </c>
      <c r="C15" s="11" t="s">
        <v>18</v>
      </c>
      <c r="D15" s="30">
        <v>5</v>
      </c>
      <c r="E15" s="11" t="s">
        <v>28</v>
      </c>
      <c r="F15" s="12">
        <v>750000</v>
      </c>
      <c r="G15" s="40">
        <v>3750000</v>
      </c>
      <c r="H15" s="50"/>
      <c r="I15" s="41"/>
      <c r="J15" s="25"/>
      <c r="K15" s="168">
        <v>10</v>
      </c>
      <c r="L15" s="182" t="s">
        <v>372</v>
      </c>
      <c r="M15" s="182" t="s">
        <v>18</v>
      </c>
      <c r="N15" s="182" t="s">
        <v>376</v>
      </c>
      <c r="O15" s="172" t="s">
        <v>592</v>
      </c>
      <c r="P15" s="204"/>
    </row>
    <row r="16" spans="1:16">
      <c r="A16" s="31"/>
      <c r="B16" s="28" t="s">
        <v>258</v>
      </c>
      <c r="C16" s="11" t="s">
        <v>18</v>
      </c>
      <c r="D16" s="30">
        <v>2</v>
      </c>
      <c r="E16" s="11" t="s">
        <v>28</v>
      </c>
      <c r="F16" s="27">
        <v>750000</v>
      </c>
      <c r="G16" s="54">
        <v>1500000</v>
      </c>
      <c r="H16" s="51"/>
      <c r="I16" s="41"/>
      <c r="J16" s="25"/>
      <c r="K16" s="168">
        <v>11</v>
      </c>
      <c r="L16" s="169" t="s">
        <v>377</v>
      </c>
      <c r="M16" s="170" t="s">
        <v>18</v>
      </c>
      <c r="N16" s="183">
        <v>4725000</v>
      </c>
      <c r="O16" s="184" t="s">
        <v>592</v>
      </c>
      <c r="P16" s="204"/>
    </row>
    <row r="17" spans="1:16">
      <c r="A17" s="28"/>
      <c r="B17" s="28" t="s">
        <v>407</v>
      </c>
      <c r="C17" s="26" t="s">
        <v>18</v>
      </c>
      <c r="D17" s="30">
        <v>5</v>
      </c>
      <c r="E17" s="30" t="s">
        <v>28</v>
      </c>
      <c r="F17" s="27">
        <v>170000</v>
      </c>
      <c r="G17" s="54">
        <v>1700000</v>
      </c>
      <c r="H17" s="58"/>
      <c r="I17" s="55"/>
      <c r="J17" s="25"/>
      <c r="K17" s="221">
        <v>12</v>
      </c>
      <c r="L17" s="222" t="s">
        <v>386</v>
      </c>
      <c r="M17" s="223" t="s">
        <v>245</v>
      </c>
      <c r="N17" s="224">
        <v>375000</v>
      </c>
      <c r="O17" s="225" t="s">
        <v>303</v>
      </c>
      <c r="P17" s="1"/>
    </row>
    <row r="18" spans="1:16" s="1" customFormat="1">
      <c r="A18" s="28"/>
      <c r="B18" s="28" t="s">
        <v>408</v>
      </c>
      <c r="C18" s="26" t="s">
        <v>18</v>
      </c>
      <c r="D18" s="30">
        <v>5</v>
      </c>
      <c r="E18" s="30" t="s">
        <v>28</v>
      </c>
      <c r="F18" s="27">
        <v>170000</v>
      </c>
      <c r="G18" s="54">
        <v>850000</v>
      </c>
      <c r="H18" s="58" t="s">
        <v>409</v>
      </c>
      <c r="I18" s="55" t="s">
        <v>13</v>
      </c>
      <c r="J18" s="25"/>
      <c r="K18" s="129">
        <v>13</v>
      </c>
      <c r="L18" s="130" t="s">
        <v>423</v>
      </c>
      <c r="M18" s="131" t="s">
        <v>425</v>
      </c>
      <c r="N18" s="132">
        <v>12000000</v>
      </c>
      <c r="O18" s="133" t="s">
        <v>671</v>
      </c>
    </row>
    <row r="19" spans="1:16">
      <c r="A19" s="28"/>
      <c r="B19" s="28" t="s">
        <v>404</v>
      </c>
      <c r="C19" s="26" t="s">
        <v>18</v>
      </c>
      <c r="D19" s="30">
        <v>5</v>
      </c>
      <c r="E19" s="30" t="s">
        <v>28</v>
      </c>
      <c r="F19" s="27">
        <v>175000</v>
      </c>
      <c r="G19" s="54">
        <v>875000</v>
      </c>
      <c r="H19" s="58"/>
      <c r="I19" s="57"/>
      <c r="J19" s="25"/>
      <c r="K19" s="137">
        <v>13</v>
      </c>
      <c r="L19" s="138" t="s">
        <v>521</v>
      </c>
      <c r="M19" s="139" t="s">
        <v>47</v>
      </c>
      <c r="N19" s="140">
        <v>4198500</v>
      </c>
      <c r="O19" s="142" t="s">
        <v>660</v>
      </c>
      <c r="P19" s="1"/>
    </row>
    <row r="20" spans="1:16">
      <c r="A20" s="28"/>
      <c r="B20" s="28" t="s">
        <v>167</v>
      </c>
      <c r="C20" s="26" t="s">
        <v>18</v>
      </c>
      <c r="D20" s="30">
        <v>5</v>
      </c>
      <c r="E20" s="30" t="s">
        <v>28</v>
      </c>
      <c r="F20" s="27">
        <v>175000</v>
      </c>
      <c r="G20" s="54">
        <v>875000</v>
      </c>
      <c r="H20" s="58"/>
      <c r="I20" s="57"/>
      <c r="J20" s="25"/>
      <c r="K20" s="137">
        <v>14</v>
      </c>
      <c r="L20" s="138" t="s">
        <v>521</v>
      </c>
      <c r="M20" s="139" t="s">
        <v>47</v>
      </c>
      <c r="N20" s="140">
        <v>1675800</v>
      </c>
      <c r="O20" s="142" t="s">
        <v>660</v>
      </c>
      <c r="P20" s="1"/>
    </row>
    <row r="21" spans="1:16">
      <c r="A21" s="38"/>
      <c r="B21" s="28" t="s">
        <v>405</v>
      </c>
      <c r="C21" s="26" t="s">
        <v>18</v>
      </c>
      <c r="D21" s="30">
        <v>5</v>
      </c>
      <c r="E21" s="30" t="s">
        <v>28</v>
      </c>
      <c r="F21" s="27">
        <v>170000</v>
      </c>
      <c r="G21" s="54">
        <v>850000</v>
      </c>
      <c r="H21" s="58"/>
      <c r="I21" s="57"/>
      <c r="J21" s="25"/>
      <c r="K21" s="137">
        <v>15</v>
      </c>
      <c r="L21" s="138" t="s">
        <v>569</v>
      </c>
      <c r="M21" s="139" t="s">
        <v>47</v>
      </c>
      <c r="N21" s="140">
        <v>2199250</v>
      </c>
      <c r="O21" s="219" t="s">
        <v>660</v>
      </c>
      <c r="P21" s="1"/>
    </row>
    <row r="22" spans="1:16" ht="15.75" thickBot="1">
      <c r="A22" s="31"/>
      <c r="B22" s="28" t="s">
        <v>406</v>
      </c>
      <c r="C22" s="26" t="s">
        <v>18</v>
      </c>
      <c r="D22" s="30">
        <v>1</v>
      </c>
      <c r="E22" s="30" t="s">
        <v>28</v>
      </c>
      <c r="F22" s="27">
        <v>2250000</v>
      </c>
      <c r="G22" s="54">
        <v>2250000</v>
      </c>
      <c r="H22" s="56"/>
      <c r="I22" s="57"/>
      <c r="J22" s="25"/>
      <c r="K22" s="18">
        <v>16</v>
      </c>
      <c r="L22" s="32"/>
      <c r="M22" s="11"/>
      <c r="N22" s="27"/>
      <c r="O22" s="35"/>
      <c r="P22" s="1"/>
    </row>
    <row r="23" spans="1:16" ht="15.75" thickBot="1">
      <c r="A23" s="28" t="s">
        <v>410</v>
      </c>
      <c r="B23" s="28" t="s">
        <v>411</v>
      </c>
      <c r="C23" s="26" t="s">
        <v>23</v>
      </c>
      <c r="D23" s="30">
        <v>3</v>
      </c>
      <c r="E23" s="30" t="s">
        <v>28</v>
      </c>
      <c r="F23" s="27">
        <v>450000</v>
      </c>
      <c r="G23" s="54">
        <v>1350000</v>
      </c>
      <c r="H23" s="59" t="s">
        <v>412</v>
      </c>
      <c r="I23" s="57" t="s">
        <v>13</v>
      </c>
      <c r="J23" s="25"/>
      <c r="K23" s="18">
        <v>17</v>
      </c>
      <c r="L23" s="24"/>
      <c r="M23" s="26"/>
      <c r="N23" s="27"/>
      <c r="O23" s="35"/>
      <c r="P23" s="1"/>
    </row>
    <row r="24" spans="1:16">
      <c r="A24" s="28" t="s">
        <v>410</v>
      </c>
      <c r="B24" s="28" t="s">
        <v>413</v>
      </c>
      <c r="C24" s="26" t="s">
        <v>173</v>
      </c>
      <c r="D24" s="30">
        <v>1</v>
      </c>
      <c r="E24" s="30" t="s">
        <v>28</v>
      </c>
      <c r="F24" s="27">
        <v>1900000</v>
      </c>
      <c r="G24" s="54">
        <v>1900000</v>
      </c>
      <c r="H24" s="59"/>
      <c r="I24" s="57" t="s">
        <v>37</v>
      </c>
      <c r="J24" s="25"/>
      <c r="K24" s="23">
        <v>18</v>
      </c>
      <c r="L24" s="24"/>
      <c r="M24" s="26"/>
      <c r="N24" s="27"/>
      <c r="O24" s="35"/>
      <c r="P24" s="1"/>
    </row>
    <row r="25" spans="1:16" ht="15.75" thickBot="1">
      <c r="A25" s="31"/>
      <c r="B25" s="28" t="s">
        <v>413</v>
      </c>
      <c r="C25" s="26" t="s">
        <v>173</v>
      </c>
      <c r="D25" s="30">
        <v>4</v>
      </c>
      <c r="E25" s="30" t="s">
        <v>28</v>
      </c>
      <c r="F25" s="27">
        <v>1400000</v>
      </c>
      <c r="G25" s="54">
        <v>5600000</v>
      </c>
      <c r="H25" s="56" t="s">
        <v>161</v>
      </c>
      <c r="I25" s="57"/>
      <c r="J25" s="25"/>
      <c r="K25" s="18">
        <v>19</v>
      </c>
      <c r="L25" s="24"/>
      <c r="M25" s="26"/>
      <c r="N25" s="27"/>
      <c r="O25" s="35"/>
      <c r="P25" s="1"/>
    </row>
    <row r="26" spans="1:16" ht="15.75" thickBot="1">
      <c r="A26" s="28" t="s">
        <v>414</v>
      </c>
      <c r="B26" s="28" t="s">
        <v>416</v>
      </c>
      <c r="C26" s="26" t="s">
        <v>47</v>
      </c>
      <c r="D26" s="30">
        <v>2</v>
      </c>
      <c r="E26" s="30" t="s">
        <v>28</v>
      </c>
      <c r="F26" s="27">
        <v>419300</v>
      </c>
      <c r="G26" s="54">
        <v>838600</v>
      </c>
      <c r="H26" s="111" t="s">
        <v>415</v>
      </c>
      <c r="I26" s="57" t="s">
        <v>36</v>
      </c>
      <c r="J26" s="25"/>
      <c r="K26" s="28"/>
      <c r="L26" s="24"/>
      <c r="M26" s="26"/>
      <c r="N26" s="27"/>
      <c r="O26" s="28"/>
      <c r="P26" s="1"/>
    </row>
    <row r="27" spans="1:16" ht="15.75" thickBot="1">
      <c r="A27" s="28" t="s">
        <v>414</v>
      </c>
      <c r="B27" s="28" t="s">
        <v>417</v>
      </c>
      <c r="C27" s="26" t="s">
        <v>47</v>
      </c>
      <c r="D27" s="30">
        <v>3</v>
      </c>
      <c r="E27" s="30" t="s">
        <v>28</v>
      </c>
      <c r="F27" s="27">
        <v>279300</v>
      </c>
      <c r="G27" s="54">
        <v>837900</v>
      </c>
      <c r="H27" s="59" t="s">
        <v>418</v>
      </c>
      <c r="I27" s="57" t="s">
        <v>36</v>
      </c>
      <c r="J27" s="25"/>
      <c r="K27" s="25"/>
      <c r="L27" s="33"/>
      <c r="M27" s="33"/>
      <c r="N27" s="25"/>
      <c r="O27" s="1"/>
      <c r="P27" s="1" t="s">
        <v>618</v>
      </c>
    </row>
    <row r="28" spans="1:16">
      <c r="A28" s="28" t="s">
        <v>419</v>
      </c>
      <c r="B28" s="28" t="s">
        <v>420</v>
      </c>
      <c r="C28" s="26" t="s">
        <v>47</v>
      </c>
      <c r="D28" s="30">
        <v>1</v>
      </c>
      <c r="E28" s="30" t="s">
        <v>28</v>
      </c>
      <c r="F28" s="27">
        <v>2099250</v>
      </c>
      <c r="G28" s="54">
        <v>2099250</v>
      </c>
      <c r="H28" s="59"/>
      <c r="I28" s="57"/>
      <c r="J28" s="25"/>
      <c r="K28" s="25"/>
      <c r="L28" s="33"/>
      <c r="M28" s="33"/>
      <c r="N28" s="34" t="s">
        <v>616</v>
      </c>
      <c r="O28" s="1"/>
      <c r="P28" s="1"/>
    </row>
    <row r="29" spans="1:16" ht="15.75" thickBot="1">
      <c r="A29" s="28"/>
      <c r="B29" s="28" t="s">
        <v>421</v>
      </c>
      <c r="C29" s="26" t="s">
        <v>47</v>
      </c>
      <c r="D29" s="30">
        <v>1</v>
      </c>
      <c r="E29" s="30" t="s">
        <v>28</v>
      </c>
      <c r="F29" s="27">
        <v>1649250</v>
      </c>
      <c r="G29" s="54">
        <v>1649250</v>
      </c>
      <c r="H29" s="189" t="s">
        <v>422</v>
      </c>
      <c r="I29" s="57" t="s">
        <v>36</v>
      </c>
      <c r="J29" s="25"/>
      <c r="K29" s="25"/>
      <c r="L29" s="33"/>
      <c r="M29" s="33"/>
      <c r="N29" s="25"/>
      <c r="O29" s="1"/>
      <c r="P29" s="1"/>
    </row>
    <row r="30" spans="1:16">
      <c r="A30" s="28" t="s">
        <v>423</v>
      </c>
      <c r="B30" s="28" t="s">
        <v>424</v>
      </c>
      <c r="C30" s="26" t="s">
        <v>425</v>
      </c>
      <c r="D30" s="30">
        <v>1</v>
      </c>
      <c r="E30" s="30" t="s">
        <v>42</v>
      </c>
      <c r="F30" s="27">
        <v>12000000</v>
      </c>
      <c r="G30" s="27">
        <v>12000000</v>
      </c>
      <c r="H30" s="89" t="s">
        <v>426</v>
      </c>
      <c r="I30" s="28" t="s">
        <v>38</v>
      </c>
      <c r="J30" s="25"/>
      <c r="K30" s="25"/>
      <c r="L30" s="33"/>
      <c r="M30" s="33"/>
      <c r="N30" s="25"/>
      <c r="O30" s="1"/>
      <c r="P30" s="1"/>
    </row>
    <row r="31" spans="1:16" ht="15.75" thickBot="1">
      <c r="A31" s="28" t="s">
        <v>423</v>
      </c>
      <c r="B31" s="28" t="s">
        <v>427</v>
      </c>
      <c r="C31" s="26" t="s">
        <v>41</v>
      </c>
      <c r="D31" s="30">
        <v>1</v>
      </c>
      <c r="E31" s="30" t="s">
        <v>42</v>
      </c>
      <c r="F31" s="27">
        <v>9990000</v>
      </c>
      <c r="G31" s="27">
        <v>9990000</v>
      </c>
      <c r="H31" s="145" t="s">
        <v>43</v>
      </c>
      <c r="I31" s="28" t="s">
        <v>428</v>
      </c>
      <c r="J31" s="25"/>
      <c r="K31" s="25"/>
      <c r="L31" s="33"/>
      <c r="M31" s="33"/>
      <c r="N31" s="25"/>
      <c r="O31" s="1"/>
      <c r="P31" s="1"/>
    </row>
    <row r="32" spans="1:16">
      <c r="A32" s="31" t="s">
        <v>423</v>
      </c>
      <c r="B32" s="28" t="s">
        <v>429</v>
      </c>
      <c r="C32" s="26" t="s">
        <v>18</v>
      </c>
      <c r="D32" s="30">
        <v>5</v>
      </c>
      <c r="E32" s="30" t="s">
        <v>28</v>
      </c>
      <c r="F32" s="27">
        <v>375000</v>
      </c>
      <c r="G32" s="54">
        <v>1875000</v>
      </c>
      <c r="H32" s="59"/>
      <c r="I32" s="57"/>
      <c r="J32" s="25"/>
      <c r="K32" s="25"/>
      <c r="L32" s="33"/>
      <c r="M32" s="33"/>
      <c r="N32" s="25"/>
      <c r="O32" s="1"/>
      <c r="P32" s="1"/>
    </row>
    <row r="33" spans="1:16">
      <c r="A33" s="28"/>
      <c r="B33" s="28" t="s">
        <v>430</v>
      </c>
      <c r="C33" s="26" t="s">
        <v>18</v>
      </c>
      <c r="D33" s="30">
        <v>5</v>
      </c>
      <c r="E33" s="30" t="s">
        <v>28</v>
      </c>
      <c r="F33" s="27">
        <v>80000</v>
      </c>
      <c r="G33" s="54">
        <v>400000</v>
      </c>
      <c r="H33" s="58" t="s">
        <v>433</v>
      </c>
      <c r="I33" s="57" t="s">
        <v>13</v>
      </c>
      <c r="J33" s="25"/>
      <c r="K33" s="25"/>
      <c r="L33" s="33"/>
      <c r="M33" s="33"/>
      <c r="N33" s="25"/>
      <c r="O33" s="1"/>
      <c r="P33" s="1"/>
    </row>
    <row r="34" spans="1:16">
      <c r="A34" s="28"/>
      <c r="B34" s="28" t="s">
        <v>431</v>
      </c>
      <c r="C34" s="26" t="s">
        <v>18</v>
      </c>
      <c r="D34" s="30">
        <v>5</v>
      </c>
      <c r="E34" s="30" t="s">
        <v>28</v>
      </c>
      <c r="F34" s="27">
        <v>90000</v>
      </c>
      <c r="G34" s="54">
        <v>450000</v>
      </c>
      <c r="H34" s="58"/>
      <c r="I34" s="57"/>
      <c r="J34" s="25"/>
      <c r="K34" s="25"/>
      <c r="L34" s="33"/>
      <c r="M34" s="33"/>
      <c r="N34" s="25"/>
      <c r="O34" s="1"/>
      <c r="P34" s="1"/>
    </row>
    <row r="35" spans="1:16" ht="15.75" thickBot="1">
      <c r="A35" s="10"/>
      <c r="B35" s="28" t="s">
        <v>432</v>
      </c>
      <c r="C35" s="26" t="s">
        <v>18</v>
      </c>
      <c r="D35" s="30">
        <v>3</v>
      </c>
      <c r="E35" s="30" t="s">
        <v>28</v>
      </c>
      <c r="F35" s="27">
        <v>50000</v>
      </c>
      <c r="G35" s="54">
        <v>150000</v>
      </c>
      <c r="H35" s="56"/>
      <c r="I35" s="57"/>
      <c r="J35" s="25"/>
      <c r="K35" s="1"/>
      <c r="L35" s="33"/>
      <c r="M35" s="33"/>
      <c r="N35" s="25"/>
      <c r="O35" s="1"/>
      <c r="P35" s="1"/>
    </row>
    <row r="36" spans="1:16" ht="15.75" thickBot="1">
      <c r="A36" s="10" t="s">
        <v>434</v>
      </c>
      <c r="B36" s="28" t="s">
        <v>435</v>
      </c>
      <c r="C36" s="26" t="s">
        <v>18</v>
      </c>
      <c r="D36" s="30">
        <v>1</v>
      </c>
      <c r="E36" s="30" t="s">
        <v>42</v>
      </c>
      <c r="F36" s="27">
        <v>1300000</v>
      </c>
      <c r="G36" s="54">
        <v>1300000</v>
      </c>
      <c r="H36" s="59" t="s">
        <v>208</v>
      </c>
      <c r="I36" s="57" t="s">
        <v>13</v>
      </c>
      <c r="J36" s="25"/>
      <c r="K36" s="1"/>
      <c r="L36" s="1"/>
      <c r="M36" s="2"/>
      <c r="N36" s="1"/>
      <c r="O36" s="1"/>
      <c r="P36" s="1"/>
    </row>
    <row r="37" spans="1:16">
      <c r="A37" s="10" t="s">
        <v>436</v>
      </c>
      <c r="B37" s="10" t="s">
        <v>408</v>
      </c>
      <c r="C37" s="11" t="s">
        <v>18</v>
      </c>
      <c r="D37" s="11">
        <v>5</v>
      </c>
      <c r="E37" s="11" t="s">
        <v>28</v>
      </c>
      <c r="F37" s="12">
        <v>170000</v>
      </c>
      <c r="G37" s="40">
        <v>850000</v>
      </c>
      <c r="H37" s="84"/>
      <c r="I37" s="79"/>
      <c r="J37" s="1"/>
      <c r="K37" s="1"/>
      <c r="L37" s="1"/>
      <c r="M37" s="2"/>
      <c r="N37" s="1"/>
      <c r="O37" s="1"/>
      <c r="P37" s="1"/>
    </row>
    <row r="38" spans="1:16" s="1" customFormat="1">
      <c r="A38" s="10"/>
      <c r="B38" s="10" t="s">
        <v>106</v>
      </c>
      <c r="C38" s="11" t="s">
        <v>18</v>
      </c>
      <c r="D38" s="11">
        <v>5</v>
      </c>
      <c r="E38" s="11" t="s">
        <v>28</v>
      </c>
      <c r="F38" s="12">
        <v>175000</v>
      </c>
      <c r="G38" s="40">
        <v>875000</v>
      </c>
      <c r="H38" s="82"/>
      <c r="I38" s="79" t="s">
        <v>13</v>
      </c>
      <c r="M38" s="2"/>
    </row>
    <row r="39" spans="1:16" s="1" customFormat="1">
      <c r="A39" s="10"/>
      <c r="B39" s="10" t="s">
        <v>437</v>
      </c>
      <c r="C39" s="11" t="s">
        <v>18</v>
      </c>
      <c r="D39" s="11">
        <v>2</v>
      </c>
      <c r="E39" s="11" t="s">
        <v>28</v>
      </c>
      <c r="F39" s="12">
        <v>375000</v>
      </c>
      <c r="G39" s="40">
        <v>750000</v>
      </c>
      <c r="H39" s="82" t="s">
        <v>439</v>
      </c>
      <c r="I39" s="79"/>
      <c r="M39" s="2"/>
    </row>
    <row r="40" spans="1:16" s="1" customFormat="1" ht="15.75" thickBot="1">
      <c r="A40" s="10"/>
      <c r="B40" s="10" t="s">
        <v>438</v>
      </c>
      <c r="C40" s="11" t="s">
        <v>18</v>
      </c>
      <c r="D40" s="11">
        <v>20</v>
      </c>
      <c r="E40" s="11" t="s">
        <v>42</v>
      </c>
      <c r="F40" s="12">
        <v>13000</v>
      </c>
      <c r="G40" s="40">
        <v>260000</v>
      </c>
      <c r="H40" s="82"/>
      <c r="I40" s="79"/>
      <c r="M40" s="2"/>
    </row>
    <row r="41" spans="1:16" s="1" customFormat="1">
      <c r="A41" s="10" t="s">
        <v>440</v>
      </c>
      <c r="B41" s="10" t="s">
        <v>441</v>
      </c>
      <c r="C41" s="11" t="s">
        <v>18</v>
      </c>
      <c r="D41" s="11">
        <v>5</v>
      </c>
      <c r="E41" s="11" t="s">
        <v>28</v>
      </c>
      <c r="F41" s="12">
        <v>80000</v>
      </c>
      <c r="G41" s="40">
        <v>450000</v>
      </c>
      <c r="H41" s="84"/>
      <c r="I41" s="79"/>
      <c r="M41" s="2"/>
    </row>
    <row r="42" spans="1:16" s="1" customFormat="1">
      <c r="A42" s="10"/>
      <c r="B42" s="10" t="s">
        <v>442</v>
      </c>
      <c r="C42" s="11" t="s">
        <v>18</v>
      </c>
      <c r="D42" s="11">
        <v>5</v>
      </c>
      <c r="E42" s="11" t="s">
        <v>28</v>
      </c>
      <c r="F42" s="12">
        <v>225000</v>
      </c>
      <c r="G42" s="40">
        <v>1125000</v>
      </c>
      <c r="H42" s="82"/>
      <c r="I42" s="79" t="s">
        <v>13</v>
      </c>
      <c r="M42" s="2"/>
    </row>
    <row r="43" spans="1:16" s="1" customFormat="1">
      <c r="A43" s="10"/>
      <c r="B43" s="10" t="s">
        <v>443</v>
      </c>
      <c r="C43" s="11" t="s">
        <v>18</v>
      </c>
      <c r="D43" s="11">
        <v>5</v>
      </c>
      <c r="E43" s="11" t="s">
        <v>28</v>
      </c>
      <c r="F43" s="12">
        <v>140000</v>
      </c>
      <c r="G43" s="40">
        <v>700000</v>
      </c>
      <c r="H43" s="82" t="s">
        <v>446</v>
      </c>
      <c r="I43" s="79"/>
      <c r="M43" s="2"/>
    </row>
    <row r="44" spans="1:16" s="1" customFormat="1">
      <c r="A44" s="10"/>
      <c r="B44" s="10" t="s">
        <v>444</v>
      </c>
      <c r="C44" s="11" t="s">
        <v>18</v>
      </c>
      <c r="D44" s="11">
        <v>10</v>
      </c>
      <c r="E44" s="11" t="s">
        <v>28</v>
      </c>
      <c r="F44" s="12">
        <v>90000</v>
      </c>
      <c r="G44" s="40">
        <v>900000</v>
      </c>
      <c r="H44" s="82"/>
      <c r="I44" s="79"/>
      <c r="M44" s="2"/>
    </row>
    <row r="45" spans="1:16" s="1" customFormat="1" ht="15.75" thickBot="1">
      <c r="A45" s="10"/>
      <c r="B45" s="10" t="s">
        <v>445</v>
      </c>
      <c r="C45" s="11" t="s">
        <v>18</v>
      </c>
      <c r="D45" s="11">
        <v>2</v>
      </c>
      <c r="E45" s="11" t="s">
        <v>28</v>
      </c>
      <c r="F45" s="12">
        <v>1250000</v>
      </c>
      <c r="G45" s="40">
        <v>2500000</v>
      </c>
      <c r="H45" s="87"/>
      <c r="I45" s="79"/>
      <c r="M45" s="2"/>
    </row>
    <row r="46" spans="1:16" s="1" customFormat="1">
      <c r="A46" s="10" t="s">
        <v>451</v>
      </c>
      <c r="B46" s="10" t="s">
        <v>57</v>
      </c>
      <c r="C46" s="11" t="s">
        <v>18</v>
      </c>
      <c r="D46" s="11">
        <v>1</v>
      </c>
      <c r="E46" s="11" t="s">
        <v>28</v>
      </c>
      <c r="F46" s="12">
        <v>1600000</v>
      </c>
      <c r="G46" s="12">
        <v>1600000</v>
      </c>
      <c r="H46" s="81" t="s">
        <v>454</v>
      </c>
      <c r="I46" s="10" t="s">
        <v>13</v>
      </c>
      <c r="M46" s="2"/>
    </row>
    <row r="47" spans="1:16" s="1" customFormat="1">
      <c r="A47" s="10"/>
      <c r="B47" s="10"/>
      <c r="C47" s="11"/>
      <c r="D47" s="10"/>
      <c r="E47" s="10"/>
      <c r="F47" s="12"/>
      <c r="G47" s="12"/>
      <c r="H47" s="12"/>
      <c r="I47" s="10"/>
      <c r="M47" s="2"/>
    </row>
    <row r="48" spans="1:16" s="1" customFormat="1">
      <c r="A48" s="10"/>
      <c r="B48" s="10"/>
      <c r="C48" s="11"/>
      <c r="D48" s="10"/>
      <c r="E48" s="10"/>
      <c r="F48" s="12"/>
      <c r="G48" s="12"/>
      <c r="H48" s="12"/>
      <c r="I48" s="10"/>
      <c r="M48" s="2"/>
    </row>
    <row r="49" spans="1:16">
      <c r="A49" s="10"/>
      <c r="B49" s="10"/>
      <c r="C49" s="11"/>
      <c r="D49" s="10"/>
      <c r="E49" s="10"/>
      <c r="F49" s="12"/>
      <c r="G49" s="12"/>
      <c r="H49" s="12"/>
      <c r="I49" s="10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D53" s="1"/>
      <c r="E53" s="1"/>
      <c r="F53" s="1"/>
      <c r="G53" s="1"/>
      <c r="H53" s="1"/>
      <c r="I53" s="1"/>
      <c r="J53" s="1"/>
      <c r="P53" s="1"/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P53"/>
  <sheetViews>
    <sheetView workbookViewId="0">
      <selection activeCell="C1" sqref="C1:C1048576"/>
    </sheetView>
  </sheetViews>
  <sheetFormatPr defaultRowHeight="15"/>
  <cols>
    <col min="1" max="1" width="11.85546875" customWidth="1"/>
    <col min="2" max="2" width="41" customWidth="1"/>
    <col min="3" max="3" width="15.7109375" style="2" customWidth="1"/>
    <col min="4" max="4" width="10.7109375" customWidth="1"/>
    <col min="5" max="5" width="13.7109375" customWidth="1"/>
    <col min="6" max="6" width="15.5703125" customWidth="1"/>
    <col min="7" max="7" width="19" customWidth="1"/>
    <col min="8" max="8" width="15" customWidth="1"/>
    <col min="9" max="9" width="16.7109375" customWidth="1"/>
    <col min="12" max="12" width="14" customWidth="1"/>
    <col min="13" max="13" width="16.5703125" customWidth="1"/>
    <col min="14" max="14" width="14.85546875" customWidth="1"/>
    <col min="15" max="15" width="20.28515625" customWidth="1"/>
  </cols>
  <sheetData>
    <row r="2" spans="1:16">
      <c r="A2" s="1" t="s">
        <v>35</v>
      </c>
      <c r="B2" s="1"/>
      <c r="D2" s="1"/>
      <c r="E2" s="1"/>
      <c r="F2" s="1"/>
      <c r="G2" s="1"/>
      <c r="H2" s="1"/>
      <c r="I2" s="1"/>
      <c r="J2" s="1"/>
      <c r="K2" s="1" t="s">
        <v>343</v>
      </c>
      <c r="L2" s="1"/>
      <c r="M2" s="1"/>
      <c r="N2" s="1"/>
      <c r="O2" s="1"/>
      <c r="P2" s="1"/>
    </row>
    <row r="3" spans="1:16" ht="30.75" thickBot="1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43" t="s">
        <v>7</v>
      </c>
      <c r="I3" s="4" t="s">
        <v>8</v>
      </c>
      <c r="J3" s="1"/>
      <c r="K3" s="7" t="s">
        <v>9</v>
      </c>
      <c r="L3" s="8" t="s">
        <v>10</v>
      </c>
      <c r="M3" s="3" t="s">
        <v>11</v>
      </c>
      <c r="N3" s="6" t="s">
        <v>12</v>
      </c>
      <c r="O3" s="4" t="s">
        <v>8</v>
      </c>
      <c r="P3" s="1"/>
    </row>
    <row r="4" spans="1:16" ht="15.75" thickBot="1">
      <c r="A4" s="9">
        <v>45901</v>
      </c>
      <c r="B4" s="10" t="s">
        <v>325</v>
      </c>
      <c r="C4" s="11" t="s">
        <v>23</v>
      </c>
      <c r="D4" s="11">
        <v>3</v>
      </c>
      <c r="E4" s="11" t="s">
        <v>28</v>
      </c>
      <c r="F4" s="12">
        <v>1100000</v>
      </c>
      <c r="G4" s="40">
        <v>3300000</v>
      </c>
      <c r="H4" s="50" t="s">
        <v>284</v>
      </c>
      <c r="I4" s="41" t="s">
        <v>428</v>
      </c>
      <c r="J4" s="14"/>
      <c r="K4" s="45">
        <v>1</v>
      </c>
      <c r="L4" s="46" t="s">
        <v>389</v>
      </c>
      <c r="M4" s="47" t="s">
        <v>18</v>
      </c>
      <c r="N4" s="48">
        <v>2050000</v>
      </c>
      <c r="O4" s="49" t="s">
        <v>593</v>
      </c>
      <c r="P4" s="1"/>
    </row>
    <row r="5" spans="1:16">
      <c r="A5" s="9">
        <v>45904</v>
      </c>
      <c r="B5" s="10" t="s">
        <v>456</v>
      </c>
      <c r="C5" s="11" t="s">
        <v>18</v>
      </c>
      <c r="D5" s="11">
        <v>10</v>
      </c>
      <c r="E5" s="11" t="s">
        <v>28</v>
      </c>
      <c r="F5" s="12">
        <v>80000</v>
      </c>
      <c r="G5" s="40">
        <v>800000</v>
      </c>
      <c r="H5" s="50"/>
      <c r="I5" s="41"/>
      <c r="J5" s="17"/>
      <c r="K5" s="99">
        <v>2</v>
      </c>
      <c r="L5" s="105" t="s">
        <v>392</v>
      </c>
      <c r="M5" s="106" t="s">
        <v>23</v>
      </c>
      <c r="N5" s="106" t="s">
        <v>211</v>
      </c>
      <c r="O5" s="106" t="s">
        <v>683</v>
      </c>
      <c r="P5" s="1"/>
    </row>
    <row r="6" spans="1:16">
      <c r="A6" s="10"/>
      <c r="B6" s="10" t="s">
        <v>457</v>
      </c>
      <c r="C6" s="11" t="s">
        <v>18</v>
      </c>
      <c r="D6" s="11">
        <v>15</v>
      </c>
      <c r="E6" s="11" t="s">
        <v>42</v>
      </c>
      <c r="F6" s="12">
        <v>38500</v>
      </c>
      <c r="G6" s="40">
        <v>577500</v>
      </c>
      <c r="H6" s="51" t="s">
        <v>459</v>
      </c>
      <c r="I6" s="41" t="s">
        <v>428</v>
      </c>
      <c r="J6" s="22"/>
      <c r="K6" s="168">
        <v>3</v>
      </c>
      <c r="L6" s="169" t="s">
        <v>396</v>
      </c>
      <c r="M6" s="170" t="s">
        <v>41</v>
      </c>
      <c r="N6" s="171">
        <v>9990000</v>
      </c>
      <c r="O6" s="172" t="s">
        <v>683</v>
      </c>
      <c r="P6" s="1"/>
    </row>
    <row r="7" spans="1:16" ht="15.75" thickBot="1">
      <c r="A7" s="10"/>
      <c r="B7" s="10" t="s">
        <v>458</v>
      </c>
      <c r="C7" s="11" t="s">
        <v>18</v>
      </c>
      <c r="D7" s="11">
        <v>10</v>
      </c>
      <c r="E7" s="11" t="s">
        <v>42</v>
      </c>
      <c r="F7" s="12">
        <v>13000</v>
      </c>
      <c r="G7" s="40">
        <v>130000</v>
      </c>
      <c r="H7" s="93"/>
      <c r="I7" s="41"/>
      <c r="J7" s="25"/>
      <c r="K7" s="45">
        <v>4</v>
      </c>
      <c r="L7" s="46" t="s">
        <v>396</v>
      </c>
      <c r="M7" s="47" t="s">
        <v>18</v>
      </c>
      <c r="N7" s="48">
        <v>12650000</v>
      </c>
      <c r="O7" s="63" t="s">
        <v>593</v>
      </c>
      <c r="P7" s="1"/>
    </row>
    <row r="8" spans="1:16" ht="15.75" thickBot="1">
      <c r="A8" s="9">
        <v>45904</v>
      </c>
      <c r="B8" s="10" t="s">
        <v>460</v>
      </c>
      <c r="C8" s="11" t="s">
        <v>461</v>
      </c>
      <c r="D8" s="11">
        <v>5</v>
      </c>
      <c r="E8" s="11" t="s">
        <v>28</v>
      </c>
      <c r="F8" s="12">
        <v>65000</v>
      </c>
      <c r="G8" s="40">
        <v>325000</v>
      </c>
      <c r="H8" s="42" t="s">
        <v>462</v>
      </c>
      <c r="I8" s="41" t="s">
        <v>13</v>
      </c>
      <c r="J8" s="25"/>
      <c r="K8" s="99">
        <v>5</v>
      </c>
      <c r="L8" s="100" t="s">
        <v>410</v>
      </c>
      <c r="M8" s="101" t="s">
        <v>23</v>
      </c>
      <c r="N8" s="104">
        <v>1350000</v>
      </c>
      <c r="O8" s="103" t="s">
        <v>683</v>
      </c>
      <c r="P8" s="1"/>
    </row>
    <row r="9" spans="1:16" ht="15.75" thickBot="1">
      <c r="A9" s="31">
        <v>45904</v>
      </c>
      <c r="B9" s="10" t="s">
        <v>463</v>
      </c>
      <c r="C9" s="11" t="s">
        <v>461</v>
      </c>
      <c r="D9" s="11">
        <v>1</v>
      </c>
      <c r="E9" s="11" t="s">
        <v>42</v>
      </c>
      <c r="F9" s="12">
        <v>750000</v>
      </c>
      <c r="G9" s="40">
        <v>750000</v>
      </c>
      <c r="H9" s="42" t="s">
        <v>464</v>
      </c>
      <c r="I9" s="41" t="s">
        <v>13</v>
      </c>
      <c r="J9" s="25"/>
      <c r="K9" s="45">
        <v>6</v>
      </c>
      <c r="L9" s="46" t="s">
        <v>423</v>
      </c>
      <c r="M9" s="47" t="s">
        <v>18</v>
      </c>
      <c r="N9" s="48">
        <v>2875000</v>
      </c>
      <c r="O9" s="63" t="s">
        <v>593</v>
      </c>
      <c r="P9" s="1"/>
    </row>
    <row r="10" spans="1:16" ht="15.75" thickBot="1">
      <c r="A10" s="31">
        <v>45905</v>
      </c>
      <c r="B10" s="10" t="s">
        <v>465</v>
      </c>
      <c r="C10" s="11" t="s">
        <v>466</v>
      </c>
      <c r="D10" s="11">
        <v>3</v>
      </c>
      <c r="E10" s="11" t="s">
        <v>28</v>
      </c>
      <c r="F10" s="12">
        <v>600000</v>
      </c>
      <c r="G10" s="40">
        <v>1800000</v>
      </c>
      <c r="H10" s="50" t="s">
        <v>337</v>
      </c>
      <c r="I10" s="41" t="s">
        <v>428</v>
      </c>
      <c r="J10" s="25"/>
      <c r="K10" s="45">
        <v>7</v>
      </c>
      <c r="L10" s="46" t="s">
        <v>434</v>
      </c>
      <c r="M10" s="47" t="s">
        <v>18</v>
      </c>
      <c r="N10" s="62">
        <v>1300000</v>
      </c>
      <c r="O10" s="49" t="s">
        <v>593</v>
      </c>
      <c r="P10" s="1"/>
    </row>
    <row r="11" spans="1:16">
      <c r="A11" s="31">
        <v>45908</v>
      </c>
      <c r="B11" s="28" t="s">
        <v>467</v>
      </c>
      <c r="C11" s="11" t="s">
        <v>18</v>
      </c>
      <c r="D11" s="30">
        <v>3</v>
      </c>
      <c r="E11" s="11" t="s">
        <v>28</v>
      </c>
      <c r="F11" s="12">
        <v>375000</v>
      </c>
      <c r="G11" s="40">
        <v>1125000</v>
      </c>
      <c r="H11" s="50"/>
      <c r="I11" s="41" t="s">
        <v>428</v>
      </c>
      <c r="J11" s="25"/>
      <c r="K11" s="45">
        <v>8</v>
      </c>
      <c r="L11" s="46" t="s">
        <v>436</v>
      </c>
      <c r="M11" s="47" t="s">
        <v>18</v>
      </c>
      <c r="N11" s="48">
        <v>2735000</v>
      </c>
      <c r="O11" s="49" t="s">
        <v>593</v>
      </c>
      <c r="P11" s="1"/>
    </row>
    <row r="12" spans="1:16" ht="15.75" thickBot="1">
      <c r="A12" s="28"/>
      <c r="B12" s="28" t="s">
        <v>468</v>
      </c>
      <c r="C12" s="11" t="s">
        <v>18</v>
      </c>
      <c r="D12" s="30">
        <v>5</v>
      </c>
      <c r="E12" s="11" t="s">
        <v>28</v>
      </c>
      <c r="F12" s="12">
        <v>375000</v>
      </c>
      <c r="G12" s="40">
        <v>1875000</v>
      </c>
      <c r="H12" s="51" t="s">
        <v>240</v>
      </c>
      <c r="I12" s="41"/>
      <c r="J12" s="25"/>
      <c r="K12" s="45">
        <v>9</v>
      </c>
      <c r="L12" s="46" t="s">
        <v>440</v>
      </c>
      <c r="M12" s="47" t="s">
        <v>18</v>
      </c>
      <c r="N12" s="48">
        <v>5625000</v>
      </c>
      <c r="O12" s="49" t="s">
        <v>593</v>
      </c>
      <c r="P12" s="1"/>
    </row>
    <row r="13" spans="1:16">
      <c r="A13" s="31">
        <v>45908</v>
      </c>
      <c r="B13" s="28" t="s">
        <v>469</v>
      </c>
      <c r="C13" s="11" t="s">
        <v>18</v>
      </c>
      <c r="D13" s="30">
        <v>2</v>
      </c>
      <c r="E13" s="11" t="s">
        <v>28</v>
      </c>
      <c r="F13" s="27">
        <v>280000</v>
      </c>
      <c r="G13" s="54">
        <v>560000</v>
      </c>
      <c r="H13" s="50"/>
      <c r="I13" s="41"/>
      <c r="J13" s="25"/>
      <c r="K13" s="198">
        <v>10</v>
      </c>
      <c r="L13" s="61" t="s">
        <v>452</v>
      </c>
      <c r="M13" s="61" t="s">
        <v>18</v>
      </c>
      <c r="N13" s="61">
        <v>1200000</v>
      </c>
      <c r="O13" s="63" t="s">
        <v>593</v>
      </c>
      <c r="P13" s="1"/>
    </row>
    <row r="14" spans="1:16">
      <c r="A14" s="31">
        <v>45908</v>
      </c>
      <c r="B14" s="28" t="s">
        <v>182</v>
      </c>
      <c r="C14" s="26" t="s">
        <v>18</v>
      </c>
      <c r="D14" s="30">
        <v>5</v>
      </c>
      <c r="E14" s="30" t="s">
        <v>28</v>
      </c>
      <c r="F14" s="27">
        <v>45000</v>
      </c>
      <c r="G14" s="54">
        <v>225000</v>
      </c>
      <c r="H14" s="58"/>
      <c r="I14" s="55"/>
      <c r="J14" s="25"/>
      <c r="K14" s="199">
        <v>11</v>
      </c>
      <c r="L14" s="200">
        <v>45904</v>
      </c>
      <c r="M14" s="201" t="s">
        <v>461</v>
      </c>
      <c r="N14" s="202">
        <v>325000</v>
      </c>
      <c r="O14" s="203" t="s">
        <v>685</v>
      </c>
      <c r="P14" s="1"/>
    </row>
    <row r="15" spans="1:16">
      <c r="A15" s="28"/>
      <c r="B15" s="28" t="s">
        <v>470</v>
      </c>
      <c r="C15" s="26" t="s">
        <v>18</v>
      </c>
      <c r="D15" s="30">
        <v>1</v>
      </c>
      <c r="E15" s="30" t="s">
        <v>28</v>
      </c>
      <c r="F15" s="27">
        <v>1200000</v>
      </c>
      <c r="G15" s="54">
        <v>1200000</v>
      </c>
      <c r="H15" s="58" t="s">
        <v>472</v>
      </c>
      <c r="I15" s="57" t="s">
        <v>428</v>
      </c>
      <c r="J15" s="25"/>
      <c r="K15" s="199">
        <v>12</v>
      </c>
      <c r="L15" s="200">
        <v>45904</v>
      </c>
      <c r="M15" s="201" t="s">
        <v>461</v>
      </c>
      <c r="N15" s="202">
        <v>750000</v>
      </c>
      <c r="O15" s="203" t="s">
        <v>685</v>
      </c>
      <c r="P15" s="1"/>
    </row>
    <row r="16" spans="1:16" ht="15.75" thickBot="1">
      <c r="A16" s="28"/>
      <c r="B16" s="28" t="s">
        <v>471</v>
      </c>
      <c r="C16" s="26" t="s">
        <v>18</v>
      </c>
      <c r="D16" s="30">
        <v>14</v>
      </c>
      <c r="E16" s="30" t="s">
        <v>28</v>
      </c>
      <c r="F16" s="27">
        <v>1600000</v>
      </c>
      <c r="G16" s="54">
        <v>1600000</v>
      </c>
      <c r="H16" s="56"/>
      <c r="I16" s="57"/>
      <c r="J16" s="25"/>
      <c r="K16" s="190">
        <v>13</v>
      </c>
      <c r="L16" s="191">
        <v>45912</v>
      </c>
      <c r="M16" s="192" t="s">
        <v>478</v>
      </c>
      <c r="N16" s="193">
        <v>3400000</v>
      </c>
      <c r="O16" s="194" t="s">
        <v>683</v>
      </c>
      <c r="P16" s="1"/>
    </row>
    <row r="17" spans="1:16" ht="15.75" thickBot="1">
      <c r="A17" s="38">
        <v>45908</v>
      </c>
      <c r="B17" s="28" t="s">
        <v>473</v>
      </c>
      <c r="C17" s="26" t="s">
        <v>23</v>
      </c>
      <c r="D17" s="30">
        <v>2</v>
      </c>
      <c r="E17" s="30" t="s">
        <v>28</v>
      </c>
      <c r="F17" s="27">
        <v>1250000</v>
      </c>
      <c r="G17" s="54">
        <v>2500000</v>
      </c>
      <c r="H17" s="111" t="s">
        <v>474</v>
      </c>
      <c r="I17" s="57" t="s">
        <v>428</v>
      </c>
      <c r="J17" s="25"/>
      <c r="K17" s="190">
        <v>14</v>
      </c>
      <c r="L17" s="191">
        <v>45912</v>
      </c>
      <c r="M17" s="192" t="s">
        <v>478</v>
      </c>
      <c r="N17" s="193">
        <v>120000</v>
      </c>
      <c r="O17" s="194" t="s">
        <v>683</v>
      </c>
      <c r="P17" s="1"/>
    </row>
    <row r="18" spans="1:16" ht="15.75" thickBot="1">
      <c r="A18" s="31">
        <v>45908</v>
      </c>
      <c r="B18" s="28" t="s">
        <v>475</v>
      </c>
      <c r="C18" s="26" t="s">
        <v>23</v>
      </c>
      <c r="D18" s="30">
        <v>3</v>
      </c>
      <c r="E18" s="30" t="s">
        <v>28</v>
      </c>
      <c r="F18" s="27">
        <v>1100000</v>
      </c>
      <c r="G18" s="54">
        <v>3300000</v>
      </c>
      <c r="H18" s="59" t="s">
        <v>284</v>
      </c>
      <c r="I18" s="57" t="s">
        <v>428</v>
      </c>
      <c r="J18" s="25"/>
      <c r="K18" s="94">
        <v>15</v>
      </c>
      <c r="L18" s="95">
        <v>45913</v>
      </c>
      <c r="M18" s="96" t="s">
        <v>461</v>
      </c>
      <c r="N18" s="97">
        <v>1590000</v>
      </c>
      <c r="O18" s="226" t="s">
        <v>685</v>
      </c>
      <c r="P18" s="1"/>
    </row>
    <row r="19" spans="1:16">
      <c r="A19" s="31">
        <v>45912</v>
      </c>
      <c r="B19" s="28" t="s">
        <v>476</v>
      </c>
      <c r="C19" s="26" t="s">
        <v>23</v>
      </c>
      <c r="D19" s="30">
        <v>1</v>
      </c>
      <c r="E19" s="30" t="s">
        <v>28</v>
      </c>
      <c r="F19" s="27">
        <v>1100000</v>
      </c>
      <c r="G19" s="54">
        <v>1100000</v>
      </c>
      <c r="H19" s="205" t="s">
        <v>479</v>
      </c>
      <c r="I19" s="57" t="s">
        <v>13</v>
      </c>
      <c r="J19" s="25"/>
      <c r="K19" s="45">
        <v>16</v>
      </c>
      <c r="L19" s="60"/>
      <c r="M19" s="61" t="s">
        <v>18</v>
      </c>
      <c r="N19" s="48">
        <v>12000000</v>
      </c>
      <c r="O19" s="49" t="s">
        <v>593</v>
      </c>
      <c r="P19" s="1"/>
    </row>
    <row r="20" spans="1:16" ht="15.75" thickBot="1">
      <c r="A20" s="31">
        <v>45912</v>
      </c>
      <c r="B20" s="28" t="s">
        <v>477</v>
      </c>
      <c r="C20" s="26" t="s">
        <v>478</v>
      </c>
      <c r="D20" s="30">
        <v>4</v>
      </c>
      <c r="E20" s="30" t="s">
        <v>28</v>
      </c>
      <c r="F20" s="27">
        <v>850000</v>
      </c>
      <c r="G20" s="54">
        <v>3400000</v>
      </c>
      <c r="H20" s="189"/>
      <c r="I20" s="57"/>
      <c r="J20" s="25"/>
      <c r="K20" s="137">
        <v>17</v>
      </c>
      <c r="L20" s="138"/>
      <c r="M20" s="139"/>
      <c r="N20" s="140"/>
      <c r="O20" s="142"/>
      <c r="P20" s="1"/>
    </row>
    <row r="21" spans="1:16" ht="15.75" thickBot="1">
      <c r="A21" s="31">
        <v>45912</v>
      </c>
      <c r="B21" s="28" t="s">
        <v>480</v>
      </c>
      <c r="C21" s="26" t="s">
        <v>478</v>
      </c>
      <c r="D21" s="30">
        <v>2</v>
      </c>
      <c r="E21" s="30" t="s">
        <v>28</v>
      </c>
      <c r="F21" s="27">
        <v>60000</v>
      </c>
      <c r="G21" s="54">
        <v>120000</v>
      </c>
      <c r="H21" s="59" t="s">
        <v>481</v>
      </c>
      <c r="I21" s="57" t="s">
        <v>13</v>
      </c>
      <c r="J21" s="25"/>
      <c r="K21" s="137">
        <v>18</v>
      </c>
      <c r="L21" s="138">
        <v>45985</v>
      </c>
      <c r="M21" s="139" t="s">
        <v>47</v>
      </c>
      <c r="N21" s="140">
        <v>2099250</v>
      </c>
      <c r="O21" s="142" t="s">
        <v>683</v>
      </c>
      <c r="P21" s="1"/>
    </row>
    <row r="22" spans="1:16">
      <c r="A22" s="31">
        <v>45912</v>
      </c>
      <c r="B22" s="28" t="s">
        <v>482</v>
      </c>
      <c r="C22" s="26" t="s">
        <v>18</v>
      </c>
      <c r="D22" s="30">
        <v>1</v>
      </c>
      <c r="E22" s="30" t="s">
        <v>28</v>
      </c>
      <c r="F22" s="27">
        <v>1600000</v>
      </c>
      <c r="G22" s="54">
        <v>1600000</v>
      </c>
      <c r="H22" s="59"/>
      <c r="I22" s="57"/>
      <c r="J22" s="25"/>
      <c r="K22" s="137">
        <v>19</v>
      </c>
      <c r="L22" s="138" t="s">
        <v>569</v>
      </c>
      <c r="M22" s="139" t="s">
        <v>47</v>
      </c>
      <c r="N22" s="140">
        <v>4198500</v>
      </c>
      <c r="O22" s="227" t="s">
        <v>683</v>
      </c>
      <c r="P22" s="1"/>
    </row>
    <row r="23" spans="1:16">
      <c r="A23" s="28"/>
      <c r="B23" s="28" t="s">
        <v>471</v>
      </c>
      <c r="C23" s="26" t="s">
        <v>18</v>
      </c>
      <c r="D23" s="30">
        <v>1</v>
      </c>
      <c r="E23" s="30" t="s">
        <v>28</v>
      </c>
      <c r="F23" s="27">
        <v>1600000</v>
      </c>
      <c r="G23" s="54">
        <v>1600000</v>
      </c>
      <c r="H23" s="58"/>
      <c r="I23" s="57"/>
      <c r="J23" s="25"/>
      <c r="K23" s="28"/>
      <c r="L23" s="24"/>
      <c r="M23" s="26"/>
      <c r="N23" s="27"/>
      <c r="O23" s="28"/>
      <c r="P23" s="1"/>
    </row>
    <row r="24" spans="1:16">
      <c r="A24" s="28"/>
      <c r="B24" s="28" t="s">
        <v>470</v>
      </c>
      <c r="C24" s="26" t="s">
        <v>18</v>
      </c>
      <c r="D24" s="30">
        <v>1</v>
      </c>
      <c r="E24" s="30" t="s">
        <v>28</v>
      </c>
      <c r="F24" s="27">
        <v>1200000</v>
      </c>
      <c r="G24" s="54">
        <v>1200000</v>
      </c>
      <c r="H24" s="58"/>
      <c r="I24" s="57"/>
      <c r="J24" s="25"/>
      <c r="K24" s="25"/>
      <c r="L24" s="33"/>
      <c r="M24" s="33"/>
      <c r="N24" s="25"/>
      <c r="O24" s="1"/>
      <c r="P24" s="1"/>
    </row>
    <row r="25" spans="1:16">
      <c r="A25" s="28"/>
      <c r="B25" s="28" t="s">
        <v>170</v>
      </c>
      <c r="C25" s="26" t="s">
        <v>18</v>
      </c>
      <c r="D25" s="30">
        <v>1</v>
      </c>
      <c r="E25" s="30" t="s">
        <v>28</v>
      </c>
      <c r="F25" s="27">
        <v>1200000</v>
      </c>
      <c r="G25" s="54">
        <v>1200000</v>
      </c>
      <c r="H25" s="58" t="s">
        <v>488</v>
      </c>
      <c r="I25" s="57" t="s">
        <v>428</v>
      </c>
      <c r="J25" s="25"/>
      <c r="K25" s="25"/>
      <c r="L25" s="33"/>
      <c r="M25" s="33"/>
      <c r="N25" s="34"/>
      <c r="O25" s="1"/>
      <c r="P25" s="1"/>
    </row>
    <row r="26" spans="1:16">
      <c r="A26" s="28"/>
      <c r="B26" s="28" t="s">
        <v>483</v>
      </c>
      <c r="C26" s="26" t="s">
        <v>18</v>
      </c>
      <c r="D26" s="30">
        <v>5</v>
      </c>
      <c r="E26" s="30" t="s">
        <v>28</v>
      </c>
      <c r="F26" s="27">
        <v>150000</v>
      </c>
      <c r="G26" s="54">
        <v>750000</v>
      </c>
      <c r="H26" s="58"/>
      <c r="I26" s="57"/>
      <c r="J26" s="25"/>
      <c r="K26" s="25"/>
      <c r="L26" s="33"/>
      <c r="M26" s="33"/>
      <c r="N26" s="25" t="s">
        <v>617</v>
      </c>
      <c r="O26" s="1"/>
      <c r="P26" s="1"/>
    </row>
    <row r="27" spans="1:16">
      <c r="A27" s="28"/>
      <c r="B27" s="28" t="s">
        <v>484</v>
      </c>
      <c r="C27" s="26" t="s">
        <v>18</v>
      </c>
      <c r="D27" s="30">
        <v>5</v>
      </c>
      <c r="E27" s="30" t="s">
        <v>28</v>
      </c>
      <c r="F27" s="27">
        <v>160000</v>
      </c>
      <c r="G27" s="54">
        <v>800000</v>
      </c>
      <c r="H27" s="58"/>
      <c r="I27" s="57"/>
      <c r="J27" s="25"/>
      <c r="K27" s="25"/>
      <c r="L27" s="33"/>
      <c r="M27" s="33"/>
      <c r="N27" s="25"/>
      <c r="O27" s="1"/>
      <c r="P27" s="1"/>
    </row>
    <row r="28" spans="1:16">
      <c r="A28" s="31"/>
      <c r="B28" s="28" t="s">
        <v>124</v>
      </c>
      <c r="C28" s="26" t="s">
        <v>18</v>
      </c>
      <c r="D28" s="30">
        <v>4</v>
      </c>
      <c r="E28" s="30" t="s">
        <v>28</v>
      </c>
      <c r="F28" s="27">
        <v>90000</v>
      </c>
      <c r="G28" s="54">
        <v>360000</v>
      </c>
      <c r="H28" s="58"/>
      <c r="I28" s="57"/>
      <c r="J28" s="25"/>
      <c r="K28" s="25"/>
      <c r="L28" s="33"/>
      <c r="M28" s="33"/>
      <c r="N28" s="25"/>
      <c r="O28" s="1"/>
      <c r="P28" s="1"/>
    </row>
    <row r="29" spans="1:16">
      <c r="A29" s="28"/>
      <c r="B29" s="28" t="s">
        <v>485</v>
      </c>
      <c r="C29" s="26" t="s">
        <v>18</v>
      </c>
      <c r="D29" s="30">
        <v>4</v>
      </c>
      <c r="E29" s="30" t="s">
        <v>28</v>
      </c>
      <c r="F29" s="27">
        <v>90000</v>
      </c>
      <c r="G29" s="54">
        <v>360000</v>
      </c>
      <c r="H29" s="58"/>
      <c r="I29" s="57"/>
      <c r="J29" s="25"/>
      <c r="K29" s="25"/>
      <c r="L29" s="33"/>
      <c r="M29" s="33"/>
      <c r="N29" s="25"/>
      <c r="O29" s="1"/>
      <c r="P29" s="1"/>
    </row>
    <row r="30" spans="1:16">
      <c r="A30" s="28"/>
      <c r="B30" s="28" t="s">
        <v>182</v>
      </c>
      <c r="C30" s="26" t="s">
        <v>18</v>
      </c>
      <c r="D30" s="30">
        <v>5</v>
      </c>
      <c r="E30" s="30" t="s">
        <v>28</v>
      </c>
      <c r="F30" s="27">
        <v>45000</v>
      </c>
      <c r="G30" s="54">
        <v>225000</v>
      </c>
      <c r="H30" s="58"/>
      <c r="I30" s="57"/>
      <c r="J30" s="25"/>
      <c r="K30" s="25"/>
      <c r="L30" s="33"/>
      <c r="M30" s="33"/>
      <c r="N30" s="25"/>
      <c r="O30" s="1"/>
      <c r="P30" s="1"/>
    </row>
    <row r="31" spans="1:16">
      <c r="A31" s="10"/>
      <c r="B31" s="28" t="s">
        <v>486</v>
      </c>
      <c r="C31" s="26" t="s">
        <v>18</v>
      </c>
      <c r="D31" s="30">
        <v>5</v>
      </c>
      <c r="E31" s="30" t="s">
        <v>28</v>
      </c>
      <c r="F31" s="27">
        <v>45000</v>
      </c>
      <c r="G31" s="54">
        <v>225000</v>
      </c>
      <c r="H31" s="58"/>
      <c r="I31" s="57"/>
      <c r="J31" s="25"/>
      <c r="K31" s="25"/>
      <c r="L31" s="33"/>
      <c r="M31" s="33"/>
      <c r="N31" s="25"/>
      <c r="O31" s="1"/>
      <c r="P31" s="1"/>
    </row>
    <row r="32" spans="1:16" ht="15.75" thickBot="1">
      <c r="A32" s="10"/>
      <c r="B32" s="28" t="s">
        <v>487</v>
      </c>
      <c r="C32" s="26" t="s">
        <v>18</v>
      </c>
      <c r="D32" s="30">
        <v>5</v>
      </c>
      <c r="E32" s="30" t="s">
        <v>28</v>
      </c>
      <c r="F32" s="27">
        <v>45000</v>
      </c>
      <c r="G32" s="54">
        <v>225000</v>
      </c>
      <c r="H32" s="56"/>
      <c r="I32" s="57"/>
      <c r="J32" s="25"/>
      <c r="K32" s="1"/>
      <c r="L32" s="33"/>
      <c r="M32" s="33"/>
      <c r="N32" s="25"/>
      <c r="O32" s="1"/>
      <c r="P32" s="1"/>
    </row>
    <row r="33" spans="1:16" ht="15.75" thickBot="1">
      <c r="A33" s="9">
        <v>45913</v>
      </c>
      <c r="B33" s="10" t="s">
        <v>489</v>
      </c>
      <c r="C33" s="206" t="s">
        <v>461</v>
      </c>
      <c r="D33" s="206">
        <v>3</v>
      </c>
      <c r="E33" s="206" t="s">
        <v>28</v>
      </c>
      <c r="F33" s="12">
        <v>520000</v>
      </c>
      <c r="G33" s="40">
        <v>1560000</v>
      </c>
      <c r="H33" s="150" t="s">
        <v>490</v>
      </c>
      <c r="I33" s="79" t="s">
        <v>13</v>
      </c>
      <c r="J33" s="1"/>
      <c r="K33" s="1"/>
      <c r="L33" s="1"/>
      <c r="M33" s="2"/>
      <c r="N33" s="1"/>
      <c r="O33" s="1"/>
      <c r="P33" s="1"/>
    </row>
    <row r="34" spans="1:16" s="1" customFormat="1" ht="15.75" thickBot="1">
      <c r="A34" s="9">
        <v>45917</v>
      </c>
      <c r="B34" s="10" t="s">
        <v>492</v>
      </c>
      <c r="C34" s="206" t="s">
        <v>47</v>
      </c>
      <c r="D34" s="206">
        <v>2</v>
      </c>
      <c r="E34" s="206" t="s">
        <v>28</v>
      </c>
      <c r="F34" s="12">
        <v>2099250</v>
      </c>
      <c r="G34" s="40">
        <v>4198500</v>
      </c>
      <c r="H34" s="84" t="s">
        <v>493</v>
      </c>
      <c r="I34" s="79" t="s">
        <v>37</v>
      </c>
      <c r="M34" s="2"/>
    </row>
    <row r="35" spans="1:16" s="1" customFormat="1">
      <c r="A35" s="9">
        <v>45919</v>
      </c>
      <c r="B35" s="10" t="s">
        <v>494</v>
      </c>
      <c r="C35" s="206" t="s">
        <v>18</v>
      </c>
      <c r="D35" s="206">
        <v>3</v>
      </c>
      <c r="E35" s="206" t="s">
        <v>28</v>
      </c>
      <c r="F35" s="12">
        <v>145000</v>
      </c>
      <c r="G35" s="40">
        <v>435000</v>
      </c>
      <c r="H35" s="84"/>
      <c r="I35" s="79"/>
      <c r="M35" s="2"/>
    </row>
    <row r="36" spans="1:16" s="1" customFormat="1">
      <c r="A36" s="9">
        <v>45919</v>
      </c>
      <c r="B36" s="10" t="s">
        <v>495</v>
      </c>
      <c r="C36" s="206" t="s">
        <v>18</v>
      </c>
      <c r="D36" s="206">
        <v>3</v>
      </c>
      <c r="E36" s="206" t="s">
        <v>28</v>
      </c>
      <c r="F36" s="12">
        <v>155000</v>
      </c>
      <c r="G36" s="40">
        <v>465000</v>
      </c>
      <c r="H36" s="82" t="s">
        <v>498</v>
      </c>
      <c r="I36" s="79" t="s">
        <v>428</v>
      </c>
      <c r="M36" s="2"/>
    </row>
    <row r="37" spans="1:16" s="1" customFormat="1">
      <c r="A37" s="10"/>
      <c r="B37" s="10" t="s">
        <v>496</v>
      </c>
      <c r="C37" s="206" t="s">
        <v>18</v>
      </c>
      <c r="D37" s="206">
        <v>3</v>
      </c>
      <c r="E37" s="206" t="s">
        <v>28</v>
      </c>
      <c r="F37" s="12">
        <v>250000</v>
      </c>
      <c r="G37" s="40">
        <v>750000</v>
      </c>
      <c r="H37" s="82"/>
      <c r="I37" s="79"/>
      <c r="M37" s="2"/>
    </row>
    <row r="38" spans="1:16" s="1" customFormat="1" ht="15.75" thickBot="1">
      <c r="A38" s="10"/>
      <c r="B38" s="10" t="s">
        <v>497</v>
      </c>
      <c r="C38" s="206" t="s">
        <v>18</v>
      </c>
      <c r="D38" s="206">
        <v>2</v>
      </c>
      <c r="E38" s="206" t="s">
        <v>28</v>
      </c>
      <c r="F38" s="12">
        <v>300000</v>
      </c>
      <c r="G38" s="40">
        <v>600000</v>
      </c>
      <c r="H38" s="82"/>
      <c r="I38" s="79"/>
      <c r="M38" s="2"/>
    </row>
    <row r="39" spans="1:16" s="1" customFormat="1">
      <c r="A39" s="9">
        <v>45922</v>
      </c>
      <c r="B39" s="10" t="s">
        <v>499</v>
      </c>
      <c r="C39" s="206" t="s">
        <v>18</v>
      </c>
      <c r="D39" s="206">
        <v>5</v>
      </c>
      <c r="E39" s="206" t="s">
        <v>28</v>
      </c>
      <c r="F39" s="12">
        <v>175000</v>
      </c>
      <c r="G39" s="40">
        <v>875000</v>
      </c>
      <c r="H39" s="85"/>
      <c r="I39" s="79"/>
      <c r="M39" s="2"/>
    </row>
    <row r="40" spans="1:16" s="1" customFormat="1">
      <c r="A40" s="10"/>
      <c r="B40" s="10" t="s">
        <v>500</v>
      </c>
      <c r="C40" s="206" t="s">
        <v>18</v>
      </c>
      <c r="D40" s="206">
        <v>1</v>
      </c>
      <c r="E40" s="206" t="s">
        <v>28</v>
      </c>
      <c r="F40" s="12">
        <v>300000</v>
      </c>
      <c r="G40" s="40">
        <v>300000</v>
      </c>
      <c r="H40" s="86"/>
      <c r="I40" s="79" t="s">
        <v>428</v>
      </c>
      <c r="M40" s="2"/>
    </row>
    <row r="41" spans="1:16" s="1" customFormat="1">
      <c r="A41" s="10"/>
      <c r="B41" s="10" t="s">
        <v>502</v>
      </c>
      <c r="C41" s="206" t="s">
        <v>18</v>
      </c>
      <c r="D41" s="206">
        <v>3</v>
      </c>
      <c r="E41" s="206" t="s">
        <v>28</v>
      </c>
      <c r="F41" s="12">
        <v>750000</v>
      </c>
      <c r="G41" s="40">
        <v>2250000</v>
      </c>
      <c r="H41" s="86" t="s">
        <v>446</v>
      </c>
      <c r="I41" s="79"/>
      <c r="M41" s="2"/>
    </row>
    <row r="42" spans="1:16" s="1" customFormat="1" ht="15.75" thickBot="1">
      <c r="A42" s="10"/>
      <c r="B42" s="10" t="s">
        <v>501</v>
      </c>
      <c r="C42" s="206" t="s">
        <v>18</v>
      </c>
      <c r="D42" s="206">
        <v>3</v>
      </c>
      <c r="E42" s="206" t="s">
        <v>28</v>
      </c>
      <c r="F42" s="12">
        <v>750000</v>
      </c>
      <c r="G42" s="40">
        <v>2250000</v>
      </c>
      <c r="H42" s="86"/>
      <c r="I42" s="79"/>
      <c r="M42" s="2"/>
    </row>
    <row r="43" spans="1:16" s="1" customFormat="1">
      <c r="A43" s="9">
        <v>45925</v>
      </c>
      <c r="B43" s="10" t="s">
        <v>504</v>
      </c>
      <c r="C43" s="206" t="s">
        <v>18</v>
      </c>
      <c r="D43" s="206">
        <v>5</v>
      </c>
      <c r="E43" s="206" t="s">
        <v>28</v>
      </c>
      <c r="F43" s="12">
        <v>175000</v>
      </c>
      <c r="G43" s="40">
        <v>875000</v>
      </c>
      <c r="H43" s="207"/>
      <c r="I43" s="79"/>
      <c r="M43" s="2"/>
    </row>
    <row r="44" spans="1:16" s="1" customFormat="1">
      <c r="A44" s="10"/>
      <c r="B44" s="10" t="s">
        <v>27</v>
      </c>
      <c r="C44" s="206" t="s">
        <v>18</v>
      </c>
      <c r="D44" s="206">
        <v>10</v>
      </c>
      <c r="E44" s="206" t="s">
        <v>28</v>
      </c>
      <c r="F44" s="12">
        <v>170000</v>
      </c>
      <c r="G44" s="40">
        <v>1700000</v>
      </c>
      <c r="H44" s="208" t="s">
        <v>506</v>
      </c>
      <c r="I44" s="79" t="s">
        <v>428</v>
      </c>
      <c r="M44" s="2"/>
    </row>
    <row r="45" spans="1:16" s="1" customFormat="1" ht="15.75" thickBot="1">
      <c r="A45" s="10"/>
      <c r="B45" s="10" t="s">
        <v>505</v>
      </c>
      <c r="C45" s="206" t="s">
        <v>18</v>
      </c>
      <c r="D45" s="206">
        <v>5</v>
      </c>
      <c r="E45" s="206" t="s">
        <v>28</v>
      </c>
      <c r="F45" s="12">
        <v>95000</v>
      </c>
      <c r="G45" s="40">
        <v>475000</v>
      </c>
      <c r="H45" s="209"/>
      <c r="I45" s="79"/>
      <c r="M45" s="2"/>
    </row>
    <row r="46" spans="1:16" s="1" customFormat="1" ht="15.75" thickBot="1">
      <c r="A46" s="10"/>
      <c r="B46" s="10" t="s">
        <v>611</v>
      </c>
      <c r="C46" s="206" t="s">
        <v>47</v>
      </c>
      <c r="D46" s="206">
        <v>1</v>
      </c>
      <c r="E46" s="206" t="s">
        <v>28</v>
      </c>
      <c r="F46" s="12">
        <v>2099250</v>
      </c>
      <c r="G46" s="40">
        <v>2099250</v>
      </c>
      <c r="H46" s="150" t="s">
        <v>612</v>
      </c>
      <c r="I46" s="79" t="s">
        <v>13</v>
      </c>
      <c r="M46" s="2"/>
    </row>
    <row r="47" spans="1:16" s="1" customFormat="1">
      <c r="A47" s="10"/>
      <c r="B47" s="10"/>
      <c r="C47" s="206"/>
      <c r="D47" s="206"/>
      <c r="E47" s="206"/>
      <c r="F47" s="12"/>
      <c r="G47" s="12"/>
      <c r="H47" s="81"/>
      <c r="I47" s="10"/>
      <c r="M47" s="2"/>
    </row>
    <row r="48" spans="1:16" s="1" customFormat="1">
      <c r="A48" s="10"/>
      <c r="B48" s="10"/>
      <c r="C48" s="206"/>
      <c r="D48" s="206"/>
      <c r="E48" s="206"/>
      <c r="F48" s="12"/>
      <c r="G48" s="12"/>
      <c r="H48" s="81"/>
      <c r="I48" s="10"/>
      <c r="M48" s="2"/>
    </row>
    <row r="49" spans="1:16">
      <c r="A49" s="10"/>
      <c r="B49" s="10"/>
      <c r="C49" s="206"/>
      <c r="D49" s="206"/>
      <c r="E49" s="206"/>
      <c r="F49" s="12"/>
      <c r="G49" s="12"/>
      <c r="H49" s="12"/>
      <c r="I49" s="10"/>
      <c r="J49" s="1"/>
      <c r="K49" s="1"/>
      <c r="L49" s="1"/>
      <c r="M49" s="2"/>
      <c r="N49" s="1"/>
      <c r="O49" s="1"/>
      <c r="P49" s="1"/>
    </row>
    <row r="50" spans="1:16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3:O43"/>
  <sheetViews>
    <sheetView topLeftCell="A31" workbookViewId="0">
      <selection activeCell="C4" sqref="C1:C1048576"/>
    </sheetView>
  </sheetViews>
  <sheetFormatPr defaultRowHeight="15"/>
  <cols>
    <col min="1" max="1" width="12.85546875" customWidth="1"/>
    <col min="2" max="2" width="36.5703125" customWidth="1"/>
    <col min="3" max="3" width="13.85546875" style="2" customWidth="1"/>
    <col min="4" max="4" width="12.7109375" customWidth="1"/>
    <col min="5" max="5" width="12.140625" customWidth="1"/>
    <col min="6" max="6" width="18.140625" customWidth="1"/>
    <col min="7" max="7" width="15.5703125" customWidth="1"/>
    <col min="8" max="8" width="18.28515625" customWidth="1"/>
    <col min="9" max="9" width="17.140625" customWidth="1"/>
    <col min="12" max="12" width="13" customWidth="1"/>
    <col min="13" max="13" width="16.140625" customWidth="1"/>
    <col min="14" max="14" width="16" customWidth="1"/>
    <col min="15" max="15" width="16.7109375" bestFit="1" customWidth="1"/>
  </cols>
  <sheetData>
    <row r="3" spans="1:15">
      <c r="A3" s="1" t="s">
        <v>36</v>
      </c>
      <c r="B3" s="1"/>
      <c r="D3" s="1"/>
      <c r="E3" s="1"/>
      <c r="F3" s="1"/>
      <c r="G3" s="1"/>
      <c r="H3" s="1"/>
      <c r="I3" s="1"/>
      <c r="J3" s="1"/>
      <c r="K3" s="1" t="s">
        <v>344</v>
      </c>
      <c r="L3" s="1"/>
      <c r="M3" s="1"/>
      <c r="N3" s="1"/>
      <c r="O3" s="1"/>
    </row>
    <row r="4" spans="1:15" ht="30.75" thickBot="1">
      <c r="A4" s="10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43" t="s">
        <v>7</v>
      </c>
      <c r="I4" s="4" t="s">
        <v>8</v>
      </c>
      <c r="J4" s="1"/>
      <c r="K4" s="7" t="s">
        <v>9</v>
      </c>
      <c r="L4" s="8" t="s">
        <v>10</v>
      </c>
      <c r="M4" s="3" t="s">
        <v>11</v>
      </c>
      <c r="N4" s="6" t="s">
        <v>12</v>
      </c>
      <c r="O4" s="4" t="s">
        <v>8</v>
      </c>
    </row>
    <row r="5" spans="1:15">
      <c r="A5" s="9" t="s">
        <v>507</v>
      </c>
      <c r="B5" s="10" t="s">
        <v>508</v>
      </c>
      <c r="C5" s="11" t="s">
        <v>18</v>
      </c>
      <c r="D5" s="11">
        <v>1</v>
      </c>
      <c r="E5" s="11" t="s">
        <v>509</v>
      </c>
      <c r="F5" s="12">
        <v>1600000</v>
      </c>
      <c r="G5" s="40">
        <v>1600000</v>
      </c>
      <c r="H5" s="50"/>
      <c r="I5" s="41" t="s">
        <v>16</v>
      </c>
      <c r="J5" s="14"/>
      <c r="K5" s="168">
        <v>1</v>
      </c>
      <c r="L5" s="169" t="s">
        <v>423</v>
      </c>
      <c r="M5" s="170" t="s">
        <v>41</v>
      </c>
      <c r="N5" s="183">
        <v>9990000</v>
      </c>
      <c r="O5" s="184" t="s">
        <v>689</v>
      </c>
    </row>
    <row r="6" spans="1:15">
      <c r="A6" s="10"/>
      <c r="B6" s="10" t="s">
        <v>510</v>
      </c>
      <c r="C6" s="11" t="s">
        <v>18</v>
      </c>
      <c r="D6" s="11">
        <v>5</v>
      </c>
      <c r="E6" s="11" t="s">
        <v>28</v>
      </c>
      <c r="F6" s="12">
        <v>325000</v>
      </c>
      <c r="G6" s="40">
        <v>1625000</v>
      </c>
      <c r="H6" s="51" t="s">
        <v>512</v>
      </c>
      <c r="I6" s="41"/>
      <c r="J6" s="17"/>
      <c r="K6" s="45">
        <v>2</v>
      </c>
      <c r="L6" s="60">
        <v>45901</v>
      </c>
      <c r="M6" s="61" t="s">
        <v>23</v>
      </c>
      <c r="N6" s="61" t="s">
        <v>284</v>
      </c>
      <c r="O6" s="61" t="s">
        <v>690</v>
      </c>
    </row>
    <row r="7" spans="1:15" ht="15.75" thickBot="1">
      <c r="A7" s="10"/>
      <c r="B7" s="10" t="s">
        <v>511</v>
      </c>
      <c r="C7" s="11" t="s">
        <v>18</v>
      </c>
      <c r="D7" s="11">
        <v>5</v>
      </c>
      <c r="E7" s="11" t="s">
        <v>28</v>
      </c>
      <c r="F7" s="12">
        <v>375000</v>
      </c>
      <c r="G7" s="40">
        <v>1875000</v>
      </c>
      <c r="H7" s="51"/>
      <c r="I7" s="41"/>
      <c r="J7" s="22"/>
      <c r="K7" s="99">
        <v>3</v>
      </c>
      <c r="L7" s="100">
        <v>45904</v>
      </c>
      <c r="M7" s="101" t="s">
        <v>18</v>
      </c>
      <c r="N7" s="102">
        <v>1507500</v>
      </c>
      <c r="O7" s="103" t="s">
        <v>595</v>
      </c>
    </row>
    <row r="8" spans="1:15">
      <c r="A8" s="10" t="s">
        <v>513</v>
      </c>
      <c r="B8" s="10" t="s">
        <v>514</v>
      </c>
      <c r="C8" s="11" t="s">
        <v>515</v>
      </c>
      <c r="D8" s="11">
        <v>1</v>
      </c>
      <c r="E8" s="11" t="s">
        <v>28</v>
      </c>
      <c r="F8" s="12">
        <v>900000</v>
      </c>
      <c r="G8" s="40">
        <v>900000</v>
      </c>
      <c r="H8" s="50"/>
      <c r="I8" s="41" t="s">
        <v>14</v>
      </c>
      <c r="J8" s="25"/>
      <c r="K8" s="99">
        <v>4</v>
      </c>
      <c r="L8" s="100">
        <v>45908</v>
      </c>
      <c r="M8" s="101" t="s">
        <v>18</v>
      </c>
      <c r="N8" s="104">
        <v>3000000</v>
      </c>
      <c r="O8" s="103" t="s">
        <v>595</v>
      </c>
    </row>
    <row r="9" spans="1:15" ht="15.75" thickBot="1">
      <c r="A9" s="10"/>
      <c r="B9" s="10" t="s">
        <v>516</v>
      </c>
      <c r="C9" s="11" t="s">
        <v>515</v>
      </c>
      <c r="D9" s="11">
        <v>1</v>
      </c>
      <c r="E9" s="11" t="s">
        <v>28</v>
      </c>
      <c r="F9" s="12">
        <v>750000</v>
      </c>
      <c r="G9" s="40">
        <v>750000</v>
      </c>
      <c r="H9" s="93" t="s">
        <v>365</v>
      </c>
      <c r="I9" s="41"/>
      <c r="J9" s="25"/>
      <c r="K9" s="99">
        <v>5</v>
      </c>
      <c r="L9" s="100">
        <v>45908</v>
      </c>
      <c r="M9" s="101" t="s">
        <v>18</v>
      </c>
      <c r="N9" s="104">
        <v>3605000</v>
      </c>
      <c r="O9" s="103" t="s">
        <v>595</v>
      </c>
    </row>
    <row r="10" spans="1:15" s="1" customFormat="1" ht="15.75" thickBot="1">
      <c r="A10" s="10" t="s">
        <v>513</v>
      </c>
      <c r="B10" s="10" t="s">
        <v>589</v>
      </c>
      <c r="C10" s="11" t="s">
        <v>18</v>
      </c>
      <c r="D10" s="11">
        <v>5</v>
      </c>
      <c r="E10" s="11" t="s">
        <v>28</v>
      </c>
      <c r="F10" s="12">
        <v>175000</v>
      </c>
      <c r="G10" s="40">
        <v>875000</v>
      </c>
      <c r="H10" s="93" t="s">
        <v>590</v>
      </c>
      <c r="I10" s="41" t="s">
        <v>16</v>
      </c>
      <c r="J10" s="25"/>
      <c r="K10" s="168">
        <v>6</v>
      </c>
      <c r="L10" s="169" t="s">
        <v>635</v>
      </c>
      <c r="M10" s="170" t="s">
        <v>601</v>
      </c>
      <c r="N10" s="183">
        <v>4440000</v>
      </c>
      <c r="O10" s="172" t="s">
        <v>689</v>
      </c>
    </row>
    <row r="11" spans="1:15" ht="15.75" thickBot="1">
      <c r="A11" s="28" t="s">
        <v>518</v>
      </c>
      <c r="B11" s="10" t="s">
        <v>519</v>
      </c>
      <c r="C11" s="11" t="s">
        <v>515</v>
      </c>
      <c r="D11" s="11">
        <v>1</v>
      </c>
      <c r="E11" s="11" t="s">
        <v>28</v>
      </c>
      <c r="F11" s="12">
        <v>900000</v>
      </c>
      <c r="G11" s="40">
        <v>900000</v>
      </c>
      <c r="H11" s="42" t="s">
        <v>520</v>
      </c>
      <c r="I11" s="41" t="s">
        <v>14</v>
      </c>
      <c r="J11" s="25"/>
      <c r="K11" s="45">
        <v>6</v>
      </c>
      <c r="L11" s="46">
        <v>45908</v>
      </c>
      <c r="M11" s="47" t="s">
        <v>23</v>
      </c>
      <c r="N11" s="48">
        <v>2500000</v>
      </c>
      <c r="O11" s="63" t="s">
        <v>691</v>
      </c>
    </row>
    <row r="12" spans="1:15" ht="15.75" thickBot="1">
      <c r="A12" s="28" t="s">
        <v>521</v>
      </c>
      <c r="B12" s="10" t="s">
        <v>522</v>
      </c>
      <c r="C12" s="11" t="s">
        <v>47</v>
      </c>
      <c r="D12" s="11">
        <v>6</v>
      </c>
      <c r="E12" s="11" t="s">
        <v>28</v>
      </c>
      <c r="F12" s="12">
        <v>279300</v>
      </c>
      <c r="G12" s="40">
        <v>1675800</v>
      </c>
      <c r="H12" s="42" t="s">
        <v>523</v>
      </c>
      <c r="I12" s="41" t="s">
        <v>38</v>
      </c>
      <c r="J12" s="25"/>
      <c r="K12" s="45">
        <v>7</v>
      </c>
      <c r="L12" s="46">
        <v>45908</v>
      </c>
      <c r="M12" s="47" t="s">
        <v>23</v>
      </c>
      <c r="N12" s="62">
        <v>3300000</v>
      </c>
      <c r="O12" s="49" t="s">
        <v>691</v>
      </c>
    </row>
    <row r="13" spans="1:15" ht="15.75" thickBot="1">
      <c r="A13" s="28" t="s">
        <v>521</v>
      </c>
      <c r="B13" s="28" t="s">
        <v>524</v>
      </c>
      <c r="C13" s="11" t="s">
        <v>47</v>
      </c>
      <c r="D13" s="30">
        <v>2</v>
      </c>
      <c r="E13" s="11" t="s">
        <v>28</v>
      </c>
      <c r="F13" s="12">
        <v>2099250</v>
      </c>
      <c r="G13" s="40">
        <v>4198500</v>
      </c>
      <c r="H13" s="50" t="s">
        <v>525</v>
      </c>
      <c r="I13" s="41" t="s">
        <v>38</v>
      </c>
      <c r="J13" s="25"/>
      <c r="K13" s="45">
        <v>8</v>
      </c>
      <c r="L13" s="46">
        <v>45912</v>
      </c>
      <c r="M13" s="47" t="s">
        <v>23</v>
      </c>
      <c r="N13" s="48">
        <v>1100000</v>
      </c>
      <c r="O13" s="49" t="s">
        <v>691</v>
      </c>
    </row>
    <row r="14" spans="1:15">
      <c r="A14" s="28" t="s">
        <v>526</v>
      </c>
      <c r="B14" s="28" t="s">
        <v>527</v>
      </c>
      <c r="C14" s="11" t="s">
        <v>18</v>
      </c>
      <c r="D14" s="30">
        <v>1</v>
      </c>
      <c r="E14" s="11" t="s">
        <v>42</v>
      </c>
      <c r="F14" s="12">
        <v>2500000</v>
      </c>
      <c r="G14" s="40">
        <v>2500000</v>
      </c>
      <c r="H14" s="50"/>
      <c r="I14" s="41"/>
      <c r="J14" s="25"/>
      <c r="K14" s="99">
        <v>9</v>
      </c>
      <c r="L14" s="100">
        <v>45912</v>
      </c>
      <c r="M14" s="101" t="s">
        <v>18</v>
      </c>
      <c r="N14" s="104">
        <v>8545000</v>
      </c>
      <c r="O14" s="107" t="s">
        <v>594</v>
      </c>
    </row>
    <row r="15" spans="1:15">
      <c r="A15" s="31"/>
      <c r="B15" s="28" t="s">
        <v>528</v>
      </c>
      <c r="C15" s="11" t="s">
        <v>18</v>
      </c>
      <c r="D15" s="30">
        <v>10</v>
      </c>
      <c r="E15" s="11" t="s">
        <v>28</v>
      </c>
      <c r="F15" s="27">
        <v>80000</v>
      </c>
      <c r="G15" s="54">
        <v>800000</v>
      </c>
      <c r="H15" s="51"/>
      <c r="I15" s="41"/>
      <c r="J15" s="25"/>
      <c r="K15" s="99">
        <v>10</v>
      </c>
      <c r="L15" s="105">
        <v>45919</v>
      </c>
      <c r="M15" s="106" t="s">
        <v>18</v>
      </c>
      <c r="N15" s="106" t="s">
        <v>498</v>
      </c>
      <c r="O15" s="103" t="s">
        <v>594</v>
      </c>
    </row>
    <row r="16" spans="1:15">
      <c r="A16" s="28"/>
      <c r="B16" s="28" t="s">
        <v>318</v>
      </c>
      <c r="C16" s="26" t="s">
        <v>18</v>
      </c>
      <c r="D16" s="30">
        <v>10</v>
      </c>
      <c r="E16" s="30" t="s">
        <v>28</v>
      </c>
      <c r="F16" s="27">
        <v>80000</v>
      </c>
      <c r="G16" s="54">
        <v>800000</v>
      </c>
      <c r="H16" s="58"/>
      <c r="I16" s="55"/>
      <c r="J16" s="25"/>
      <c r="K16" s="99">
        <v>11</v>
      </c>
      <c r="L16" s="100">
        <v>45922</v>
      </c>
      <c r="M16" s="101" t="s">
        <v>18</v>
      </c>
      <c r="N16" s="104">
        <v>5675000</v>
      </c>
      <c r="O16" s="107" t="s">
        <v>594</v>
      </c>
    </row>
    <row r="17" spans="1:15">
      <c r="A17" s="28"/>
      <c r="B17" s="28" t="s">
        <v>529</v>
      </c>
      <c r="C17" s="26" t="s">
        <v>18</v>
      </c>
      <c r="D17" s="30">
        <v>10</v>
      </c>
      <c r="E17" s="30" t="s">
        <v>28</v>
      </c>
      <c r="F17" s="27">
        <v>90000</v>
      </c>
      <c r="G17" s="54">
        <v>900000</v>
      </c>
      <c r="H17" s="58"/>
      <c r="I17" s="57" t="s">
        <v>16</v>
      </c>
      <c r="J17" s="25"/>
      <c r="K17" s="99">
        <v>12</v>
      </c>
      <c r="L17" s="100">
        <v>45925</v>
      </c>
      <c r="M17" s="101" t="s">
        <v>18</v>
      </c>
      <c r="N17" s="104">
        <v>3050000</v>
      </c>
      <c r="O17" s="107" t="s">
        <v>594</v>
      </c>
    </row>
    <row r="18" spans="1:15" ht="19.5" customHeight="1">
      <c r="A18" s="28"/>
      <c r="B18" s="28" t="s">
        <v>530</v>
      </c>
      <c r="C18" s="26" t="s">
        <v>18</v>
      </c>
      <c r="D18" s="30">
        <v>2</v>
      </c>
      <c r="E18" s="30" t="s">
        <v>28</v>
      </c>
      <c r="F18" s="27">
        <v>400000</v>
      </c>
      <c r="G18" s="54">
        <v>800000</v>
      </c>
      <c r="H18" s="58" t="s">
        <v>535</v>
      </c>
      <c r="I18" s="57"/>
      <c r="J18" s="25"/>
      <c r="K18" s="122">
        <v>13</v>
      </c>
      <c r="L18" s="123" t="s">
        <v>517</v>
      </c>
      <c r="M18" s="124" t="s">
        <v>515</v>
      </c>
      <c r="N18" s="125">
        <v>1650000</v>
      </c>
      <c r="O18" s="126" t="s">
        <v>668</v>
      </c>
    </row>
    <row r="19" spans="1:15">
      <c r="A19" s="38"/>
      <c r="B19" s="28" t="s">
        <v>531</v>
      </c>
      <c r="C19" s="26" t="s">
        <v>18</v>
      </c>
      <c r="D19" s="30">
        <v>5</v>
      </c>
      <c r="E19" s="30" t="s">
        <v>28</v>
      </c>
      <c r="F19" s="27">
        <v>150000</v>
      </c>
      <c r="G19" s="54">
        <v>750000</v>
      </c>
      <c r="H19" s="58"/>
      <c r="I19" s="57"/>
      <c r="J19" s="25"/>
      <c r="K19" s="122">
        <v>14</v>
      </c>
      <c r="L19" s="123" t="s">
        <v>518</v>
      </c>
      <c r="M19" s="124" t="s">
        <v>515</v>
      </c>
      <c r="N19" s="125">
        <v>900000</v>
      </c>
      <c r="O19" s="126" t="s">
        <v>668</v>
      </c>
    </row>
    <row r="20" spans="1:15">
      <c r="A20" s="31"/>
      <c r="B20" s="28" t="s">
        <v>532</v>
      </c>
      <c r="C20" s="26" t="s">
        <v>18</v>
      </c>
      <c r="D20" s="30">
        <v>1</v>
      </c>
      <c r="E20" s="30" t="s">
        <v>28</v>
      </c>
      <c r="F20" s="27">
        <v>250000</v>
      </c>
      <c r="G20" s="54">
        <v>250000</v>
      </c>
      <c r="H20" s="58"/>
      <c r="I20" s="57"/>
      <c r="J20" s="25"/>
      <c r="K20" s="117">
        <v>15</v>
      </c>
      <c r="L20" s="119" t="s">
        <v>542</v>
      </c>
      <c r="M20" s="120" t="s">
        <v>207</v>
      </c>
      <c r="N20" s="121">
        <v>775000</v>
      </c>
      <c r="O20" s="210" t="s">
        <v>687</v>
      </c>
    </row>
    <row r="21" spans="1:15">
      <c r="A21" s="28"/>
      <c r="B21" s="28" t="s">
        <v>533</v>
      </c>
      <c r="C21" s="26" t="s">
        <v>18</v>
      </c>
      <c r="D21" s="30">
        <v>2</v>
      </c>
      <c r="E21" s="30" t="s">
        <v>28</v>
      </c>
      <c r="F21" s="27">
        <v>200000</v>
      </c>
      <c r="G21" s="54">
        <v>400000</v>
      </c>
      <c r="H21" s="58"/>
      <c r="I21" s="57"/>
      <c r="J21" s="25"/>
      <c r="K21" s="190">
        <v>16</v>
      </c>
      <c r="L21" s="212" t="s">
        <v>546</v>
      </c>
      <c r="M21" s="213" t="s">
        <v>461</v>
      </c>
      <c r="N21" s="193">
        <v>7390000</v>
      </c>
      <c r="O21" s="194" t="s">
        <v>689</v>
      </c>
    </row>
    <row r="22" spans="1:15" ht="15.75" thickBot="1">
      <c r="A22" s="28"/>
      <c r="B22" s="28" t="s">
        <v>534</v>
      </c>
      <c r="C22" s="26" t="s">
        <v>18</v>
      </c>
      <c r="D22" s="30">
        <v>2</v>
      </c>
      <c r="E22" s="30" t="s">
        <v>28</v>
      </c>
      <c r="F22" s="27">
        <v>250000</v>
      </c>
      <c r="G22" s="54">
        <v>500000</v>
      </c>
      <c r="H22" s="56"/>
      <c r="I22" s="57"/>
      <c r="J22" s="25"/>
      <c r="K22" s="228">
        <v>17</v>
      </c>
      <c r="L22" s="229">
        <v>45905</v>
      </c>
      <c r="M22" s="230" t="s">
        <v>466</v>
      </c>
      <c r="N22" s="231">
        <v>1800000</v>
      </c>
      <c r="O22" s="232" t="s">
        <v>685</v>
      </c>
    </row>
    <row r="23" spans="1:15" ht="15.75" thickBot="1">
      <c r="A23" s="31" t="s">
        <v>542</v>
      </c>
      <c r="B23" s="28" t="s">
        <v>543</v>
      </c>
      <c r="C23" s="26" t="s">
        <v>207</v>
      </c>
      <c r="D23" s="30">
        <v>1</v>
      </c>
      <c r="E23" s="30" t="s">
        <v>28</v>
      </c>
      <c r="F23" s="27">
        <v>775000</v>
      </c>
      <c r="G23" s="54">
        <v>775000</v>
      </c>
      <c r="H23" s="111" t="s">
        <v>304</v>
      </c>
      <c r="I23" s="57" t="s">
        <v>14</v>
      </c>
      <c r="J23" s="25"/>
      <c r="K23" s="137">
        <v>18</v>
      </c>
      <c r="L23" s="138" t="s">
        <v>619</v>
      </c>
      <c r="M23" s="139" t="s">
        <v>47</v>
      </c>
      <c r="N23" s="140">
        <v>3748500</v>
      </c>
      <c r="O23" s="142" t="s">
        <v>689</v>
      </c>
    </row>
    <row r="24" spans="1:15" ht="15.75" thickBot="1">
      <c r="A24" s="28" t="s">
        <v>544</v>
      </c>
      <c r="B24" s="28" t="s">
        <v>545</v>
      </c>
      <c r="C24" s="26" t="s">
        <v>23</v>
      </c>
      <c r="D24" s="30">
        <v>3</v>
      </c>
      <c r="E24" s="30" t="s">
        <v>28</v>
      </c>
      <c r="F24" s="27">
        <v>1000000</v>
      </c>
      <c r="G24" s="54">
        <v>3000000</v>
      </c>
      <c r="H24" s="59" t="s">
        <v>240</v>
      </c>
      <c r="I24" s="57" t="s">
        <v>16</v>
      </c>
      <c r="J24" s="25"/>
      <c r="K24" s="137">
        <v>19</v>
      </c>
      <c r="L24" s="138" t="s">
        <v>642</v>
      </c>
      <c r="M24" s="139" t="s">
        <v>47</v>
      </c>
      <c r="N24" s="140">
        <v>4198500</v>
      </c>
      <c r="O24" s="142" t="s">
        <v>689</v>
      </c>
    </row>
    <row r="25" spans="1:15">
      <c r="A25" s="28" t="s">
        <v>546</v>
      </c>
      <c r="B25" s="28" t="s">
        <v>547</v>
      </c>
      <c r="C25" s="26" t="s">
        <v>461</v>
      </c>
      <c r="D25" s="30">
        <v>10</v>
      </c>
      <c r="E25" s="30" t="s">
        <v>28</v>
      </c>
      <c r="F25" s="27">
        <v>375000</v>
      </c>
      <c r="G25" s="54">
        <v>3750000</v>
      </c>
      <c r="H25" s="59" t="s">
        <v>549</v>
      </c>
      <c r="I25" s="57" t="s">
        <v>14</v>
      </c>
      <c r="J25" s="25"/>
      <c r="K25" s="28"/>
      <c r="L25" s="24"/>
      <c r="M25" s="26"/>
      <c r="N25" s="27"/>
      <c r="O25" s="28"/>
    </row>
    <row r="26" spans="1:15" ht="15.75" thickBot="1">
      <c r="A26" s="28"/>
      <c r="B26" s="28" t="s">
        <v>548</v>
      </c>
      <c r="C26" s="26" t="s">
        <v>461</v>
      </c>
      <c r="D26" s="30">
        <v>7</v>
      </c>
      <c r="E26" s="30" t="s">
        <v>28</v>
      </c>
      <c r="F26" s="27">
        <v>520000</v>
      </c>
      <c r="G26" s="54">
        <v>3640000</v>
      </c>
      <c r="H26" s="56"/>
      <c r="I26" s="57"/>
      <c r="J26" s="25"/>
      <c r="K26" s="25"/>
      <c r="L26" s="33"/>
      <c r="M26" s="33"/>
      <c r="N26" s="25"/>
      <c r="O26" s="1"/>
    </row>
    <row r="27" spans="1:15">
      <c r="A27" s="28" t="s">
        <v>546</v>
      </c>
      <c r="B27" s="28" t="s">
        <v>550</v>
      </c>
      <c r="C27" s="26" t="s">
        <v>18</v>
      </c>
      <c r="D27" s="30">
        <v>1</v>
      </c>
      <c r="E27" s="30" t="s">
        <v>28</v>
      </c>
      <c r="F27" s="27">
        <v>1950000</v>
      </c>
      <c r="G27" s="27">
        <v>1950000</v>
      </c>
      <c r="H27" s="89" t="s">
        <v>224</v>
      </c>
      <c r="I27" s="28" t="s">
        <v>16</v>
      </c>
      <c r="J27" s="25"/>
      <c r="K27" s="25"/>
      <c r="L27" s="33"/>
      <c r="M27" s="33"/>
      <c r="N27" s="34" t="s">
        <v>686</v>
      </c>
      <c r="O27" s="1"/>
    </row>
    <row r="28" spans="1:15" ht="15.75" thickBot="1">
      <c r="A28" s="28" t="s">
        <v>551</v>
      </c>
      <c r="B28" s="28" t="s">
        <v>176</v>
      </c>
      <c r="C28" s="26" t="s">
        <v>23</v>
      </c>
      <c r="D28" s="30">
        <v>5</v>
      </c>
      <c r="E28" s="30" t="s">
        <v>28</v>
      </c>
      <c r="F28" s="27">
        <v>750000</v>
      </c>
      <c r="G28" s="27">
        <v>3750000</v>
      </c>
      <c r="H28" s="145" t="s">
        <v>552</v>
      </c>
      <c r="I28" s="28" t="s">
        <v>16</v>
      </c>
      <c r="J28" s="25"/>
      <c r="K28" s="25"/>
      <c r="L28" s="33"/>
      <c r="M28" s="33"/>
      <c r="N28" s="25"/>
      <c r="O28" s="1"/>
    </row>
    <row r="29" spans="1:15">
      <c r="A29" s="28" t="s">
        <v>551</v>
      </c>
      <c r="B29" s="28" t="s">
        <v>553</v>
      </c>
      <c r="C29" s="26" t="s">
        <v>18</v>
      </c>
      <c r="D29" s="30">
        <v>3</v>
      </c>
      <c r="E29" s="30" t="s">
        <v>28</v>
      </c>
      <c r="F29" s="27">
        <v>225000</v>
      </c>
      <c r="G29" s="54">
        <v>675000</v>
      </c>
      <c r="H29" s="59"/>
      <c r="I29" s="57"/>
      <c r="J29" s="25"/>
      <c r="K29" s="25"/>
      <c r="L29" s="33"/>
      <c r="M29" s="33"/>
      <c r="N29" s="25"/>
      <c r="O29" s="1"/>
    </row>
    <row r="30" spans="1:15">
      <c r="A30" s="31"/>
      <c r="B30" s="28" t="s">
        <v>554</v>
      </c>
      <c r="C30" s="26" t="s">
        <v>18</v>
      </c>
      <c r="D30" s="30">
        <v>1</v>
      </c>
      <c r="E30" s="30" t="s">
        <v>42</v>
      </c>
      <c r="F30" s="27">
        <v>1300000</v>
      </c>
      <c r="G30" s="54">
        <v>1300000</v>
      </c>
      <c r="H30" s="58"/>
      <c r="I30" s="57"/>
      <c r="J30" s="25"/>
      <c r="K30" s="25"/>
      <c r="L30" s="33"/>
      <c r="M30" s="33"/>
      <c r="N30" s="25"/>
      <c r="O30" s="1"/>
    </row>
    <row r="31" spans="1:15">
      <c r="A31" s="28"/>
      <c r="B31" s="28" t="s">
        <v>124</v>
      </c>
      <c r="C31" s="26" t="s">
        <v>18</v>
      </c>
      <c r="D31" s="30">
        <v>10</v>
      </c>
      <c r="E31" s="30" t="s">
        <v>28</v>
      </c>
      <c r="F31" s="27">
        <v>90000</v>
      </c>
      <c r="G31" s="54">
        <v>900000</v>
      </c>
      <c r="H31" s="58"/>
      <c r="I31" s="57"/>
      <c r="J31" s="25"/>
      <c r="K31" s="25"/>
      <c r="L31" s="33"/>
      <c r="M31" s="33"/>
      <c r="N31" s="25"/>
      <c r="O31" s="1"/>
    </row>
    <row r="32" spans="1:15">
      <c r="A32" s="28"/>
      <c r="B32" s="28" t="s">
        <v>205</v>
      </c>
      <c r="C32" s="26" t="s">
        <v>18</v>
      </c>
      <c r="D32" s="30">
        <v>10</v>
      </c>
      <c r="E32" s="30" t="s">
        <v>28</v>
      </c>
      <c r="F32" s="27">
        <v>50000</v>
      </c>
      <c r="G32" s="54">
        <v>500000</v>
      </c>
      <c r="H32" s="58"/>
      <c r="I32" s="57"/>
      <c r="J32" s="25"/>
      <c r="K32" s="25"/>
      <c r="L32" s="33"/>
      <c r="M32" s="33"/>
      <c r="N32" s="25"/>
      <c r="O32" s="1"/>
    </row>
    <row r="33" spans="1:15">
      <c r="A33" s="10"/>
      <c r="B33" s="28" t="s">
        <v>555</v>
      </c>
      <c r="C33" s="26" t="s">
        <v>18</v>
      </c>
      <c r="D33" s="30">
        <v>2</v>
      </c>
      <c r="E33" s="30" t="s">
        <v>28</v>
      </c>
      <c r="F33" s="27">
        <v>250000</v>
      </c>
      <c r="G33" s="54">
        <v>500000</v>
      </c>
      <c r="H33" s="58" t="s">
        <v>563</v>
      </c>
      <c r="I33" s="57" t="s">
        <v>16</v>
      </c>
      <c r="J33" s="25"/>
      <c r="K33" s="25"/>
      <c r="L33" s="33"/>
      <c r="M33" s="33"/>
      <c r="N33" s="25"/>
      <c r="O33" s="1"/>
    </row>
    <row r="34" spans="1:15">
      <c r="A34" s="10"/>
      <c r="B34" s="28" t="s">
        <v>556</v>
      </c>
      <c r="C34" s="26" t="s">
        <v>18</v>
      </c>
      <c r="D34" s="30">
        <v>2</v>
      </c>
      <c r="E34" s="30" t="s">
        <v>28</v>
      </c>
      <c r="F34" s="27">
        <v>200000</v>
      </c>
      <c r="G34" s="40">
        <v>400000</v>
      </c>
      <c r="H34" s="58"/>
      <c r="I34" s="57"/>
      <c r="J34" s="25"/>
      <c r="K34" s="1"/>
      <c r="L34" s="33"/>
      <c r="M34" s="33"/>
      <c r="N34" s="25"/>
      <c r="O34" s="1"/>
    </row>
    <row r="35" spans="1:15">
      <c r="A35" s="10"/>
      <c r="B35" s="10" t="s">
        <v>557</v>
      </c>
      <c r="C35" s="11" t="s">
        <v>18</v>
      </c>
      <c r="D35" s="11">
        <v>2</v>
      </c>
      <c r="E35" s="11" t="s">
        <v>28</v>
      </c>
      <c r="F35" s="12">
        <v>200000</v>
      </c>
      <c r="G35" s="40">
        <v>400000</v>
      </c>
      <c r="H35" s="82"/>
      <c r="I35" s="79"/>
      <c r="J35" s="1"/>
      <c r="K35" s="1"/>
      <c r="L35" s="1"/>
      <c r="M35" s="2"/>
      <c r="N35" s="1"/>
      <c r="O35" s="1"/>
    </row>
    <row r="36" spans="1:15" s="1" customFormat="1">
      <c r="A36" s="10"/>
      <c r="B36" s="10" t="s">
        <v>558</v>
      </c>
      <c r="C36" s="11" t="s">
        <v>18</v>
      </c>
      <c r="D36" s="11">
        <v>3</v>
      </c>
      <c r="E36" s="11" t="s">
        <v>28</v>
      </c>
      <c r="F36" s="12">
        <v>225000</v>
      </c>
      <c r="G36" s="40">
        <v>675000</v>
      </c>
      <c r="H36" s="82"/>
      <c r="I36" s="79"/>
      <c r="M36" s="2"/>
    </row>
    <row r="37" spans="1:15" s="1" customFormat="1">
      <c r="A37" s="10"/>
      <c r="B37" s="10" t="s">
        <v>559</v>
      </c>
      <c r="C37" s="11" t="s">
        <v>18</v>
      </c>
      <c r="D37" s="11">
        <v>3</v>
      </c>
      <c r="E37" s="11" t="s">
        <v>28</v>
      </c>
      <c r="F37" s="12">
        <v>225000</v>
      </c>
      <c r="G37" s="40">
        <v>675000</v>
      </c>
      <c r="H37" s="82"/>
      <c r="I37" s="79"/>
      <c r="M37" s="2"/>
    </row>
    <row r="38" spans="1:15" s="1" customFormat="1">
      <c r="A38" s="10"/>
      <c r="B38" s="10" t="s">
        <v>560</v>
      </c>
      <c r="C38" s="11" t="s">
        <v>18</v>
      </c>
      <c r="D38" s="11">
        <v>3</v>
      </c>
      <c r="E38" s="11" t="s">
        <v>28</v>
      </c>
      <c r="F38" s="12">
        <v>140000</v>
      </c>
      <c r="G38" s="40">
        <v>420000</v>
      </c>
      <c r="H38" s="82"/>
      <c r="I38" s="79"/>
      <c r="M38" s="2"/>
    </row>
    <row r="39" spans="1:15" s="1" customFormat="1">
      <c r="A39" s="10"/>
      <c r="B39" s="10" t="s">
        <v>561</v>
      </c>
      <c r="C39" s="11" t="s">
        <v>18</v>
      </c>
      <c r="D39" s="11">
        <v>5</v>
      </c>
      <c r="E39" s="11" t="s">
        <v>42</v>
      </c>
      <c r="F39" s="12">
        <v>12000</v>
      </c>
      <c r="G39" s="40">
        <v>60000</v>
      </c>
      <c r="H39" s="82"/>
      <c r="I39" s="79"/>
      <c r="M39" s="2"/>
    </row>
    <row r="40" spans="1:15" s="1" customFormat="1" ht="15.75" thickBot="1">
      <c r="A40" s="10"/>
      <c r="B40" s="10" t="s">
        <v>562</v>
      </c>
      <c r="C40" s="11" t="s">
        <v>18</v>
      </c>
      <c r="D40" s="11">
        <v>10</v>
      </c>
      <c r="E40" s="11" t="s">
        <v>42</v>
      </c>
      <c r="F40" s="12">
        <v>30000</v>
      </c>
      <c r="G40" s="40">
        <v>300000</v>
      </c>
      <c r="H40" s="83"/>
      <c r="I40" s="79"/>
      <c r="M40" s="2"/>
    </row>
    <row r="41" spans="1:15" s="1" customFormat="1">
      <c r="A41" s="10" t="s">
        <v>569</v>
      </c>
      <c r="B41" s="10" t="s">
        <v>524</v>
      </c>
      <c r="C41" s="11" t="s">
        <v>47</v>
      </c>
      <c r="D41" s="11">
        <v>1</v>
      </c>
      <c r="E41" s="11" t="s">
        <v>28</v>
      </c>
      <c r="F41" s="12">
        <v>2099250</v>
      </c>
      <c r="G41" s="40">
        <v>2099250</v>
      </c>
      <c r="H41" s="82" t="s">
        <v>493</v>
      </c>
      <c r="I41" s="79"/>
      <c r="M41" s="2"/>
    </row>
    <row r="42" spans="1:15" ht="15.75" thickBot="1">
      <c r="A42" s="10"/>
      <c r="B42" s="10" t="s">
        <v>570</v>
      </c>
      <c r="C42" s="11" t="s">
        <v>47</v>
      </c>
      <c r="D42" s="11">
        <v>1</v>
      </c>
      <c r="E42" s="11" t="s">
        <v>28</v>
      </c>
      <c r="F42" s="12">
        <v>2099250</v>
      </c>
      <c r="G42" s="40">
        <v>2099250</v>
      </c>
      <c r="H42" s="83"/>
      <c r="I42" s="79" t="s">
        <v>13</v>
      </c>
      <c r="J42" s="1"/>
      <c r="K42" s="1"/>
      <c r="L42" s="1"/>
      <c r="M42" s="2"/>
      <c r="N42" s="1"/>
      <c r="O42" s="1"/>
    </row>
    <row r="43" spans="1:15">
      <c r="G43" s="211"/>
    </row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3:O44"/>
  <sheetViews>
    <sheetView topLeftCell="A10" workbookViewId="0">
      <selection activeCell="C10" sqref="C1:C1048576"/>
    </sheetView>
  </sheetViews>
  <sheetFormatPr defaultRowHeight="15"/>
  <cols>
    <col min="1" max="1" width="10.85546875" customWidth="1"/>
    <col min="2" max="2" width="31.7109375" customWidth="1"/>
    <col min="3" max="3" width="14.28515625" style="2" customWidth="1"/>
    <col min="4" max="4" width="9.42578125" customWidth="1"/>
    <col min="5" max="5" width="11.140625" customWidth="1"/>
    <col min="6" max="6" width="15.85546875" customWidth="1"/>
    <col min="7" max="7" width="16.7109375" customWidth="1"/>
    <col min="8" max="8" width="17.5703125" customWidth="1"/>
    <col min="9" max="9" width="18.7109375" customWidth="1"/>
    <col min="12" max="12" width="14.140625" customWidth="1"/>
    <col min="13" max="13" width="18.140625" customWidth="1"/>
    <col min="14" max="14" width="17.28515625" style="239" customWidth="1"/>
    <col min="15" max="15" width="17.5703125" customWidth="1"/>
  </cols>
  <sheetData>
    <row r="3" spans="1:15">
      <c r="A3" s="1" t="s">
        <v>37</v>
      </c>
      <c r="B3" s="1"/>
      <c r="D3" s="1"/>
      <c r="E3" s="1"/>
      <c r="F3" s="1"/>
      <c r="G3" s="1"/>
      <c r="H3" s="1"/>
      <c r="I3" s="1"/>
      <c r="J3" s="1"/>
      <c r="K3" s="1" t="s">
        <v>345</v>
      </c>
      <c r="L3" s="1"/>
      <c r="M3" s="1"/>
      <c r="O3" s="1"/>
    </row>
    <row r="4" spans="1:15" ht="30.75" thickBot="1">
      <c r="A4" s="10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6" t="s">
        <v>6</v>
      </c>
      <c r="H4" s="43" t="s">
        <v>7</v>
      </c>
      <c r="I4" s="4" t="s">
        <v>8</v>
      </c>
      <c r="J4" s="1"/>
      <c r="K4" s="7" t="s">
        <v>9</v>
      </c>
      <c r="L4" s="8" t="s">
        <v>10</v>
      </c>
      <c r="M4" s="3" t="s">
        <v>11</v>
      </c>
      <c r="N4" s="237" t="s">
        <v>12</v>
      </c>
      <c r="O4" s="4" t="s">
        <v>8</v>
      </c>
    </row>
    <row r="5" spans="1:15">
      <c r="A5" s="9">
        <v>45962</v>
      </c>
      <c r="B5" s="10" t="s">
        <v>522</v>
      </c>
      <c r="C5" s="11" t="s">
        <v>18</v>
      </c>
      <c r="D5" s="11">
        <v>10</v>
      </c>
      <c r="E5" s="11" t="s">
        <v>28</v>
      </c>
      <c r="F5" s="12">
        <v>295000</v>
      </c>
      <c r="G5" s="40">
        <v>2950000</v>
      </c>
      <c r="H5" s="50"/>
      <c r="I5" s="41"/>
      <c r="J5" s="14"/>
      <c r="K5" s="45">
        <v>1</v>
      </c>
      <c r="L5" s="46" t="s">
        <v>507</v>
      </c>
      <c r="M5" s="47" t="s">
        <v>18</v>
      </c>
      <c r="N5" s="240">
        <v>5100000</v>
      </c>
      <c r="O5" s="49" t="s">
        <v>596</v>
      </c>
    </row>
    <row r="6" spans="1:15" s="1" customFormat="1">
      <c r="A6" s="9"/>
      <c r="B6" s="10"/>
      <c r="C6" s="11"/>
      <c r="D6" s="11"/>
      <c r="E6" s="11"/>
      <c r="F6" s="12"/>
      <c r="G6" s="40"/>
      <c r="H6" s="51"/>
      <c r="I6" s="41"/>
      <c r="J6" s="14"/>
      <c r="K6" s="45">
        <v>2</v>
      </c>
      <c r="L6" s="46" t="s">
        <v>591</v>
      </c>
      <c r="M6" s="47" t="s">
        <v>18</v>
      </c>
      <c r="N6" s="240">
        <v>875000</v>
      </c>
      <c r="O6" s="49" t="s">
        <v>596</v>
      </c>
    </row>
    <row r="7" spans="1:15">
      <c r="A7" s="10"/>
      <c r="B7" s="10" t="s">
        <v>564</v>
      </c>
      <c r="C7" s="11" t="s">
        <v>18</v>
      </c>
      <c r="D7" s="11">
        <v>10</v>
      </c>
      <c r="E7" s="11" t="s">
        <v>28</v>
      </c>
      <c r="F7" s="12">
        <v>15000</v>
      </c>
      <c r="G7" s="40">
        <v>150000</v>
      </c>
      <c r="H7" s="51"/>
      <c r="I7" s="41"/>
      <c r="J7" s="17"/>
      <c r="K7" s="45">
        <v>2</v>
      </c>
      <c r="L7" s="60" t="s">
        <v>526</v>
      </c>
      <c r="M7" s="61" t="s">
        <v>18</v>
      </c>
      <c r="N7" s="238">
        <v>7700000</v>
      </c>
      <c r="O7" s="61" t="s">
        <v>596</v>
      </c>
    </row>
    <row r="8" spans="1:15">
      <c r="A8" s="10"/>
      <c r="B8" s="10" t="s">
        <v>565</v>
      </c>
      <c r="C8" s="11" t="s">
        <v>18</v>
      </c>
      <c r="D8" s="11">
        <v>5</v>
      </c>
      <c r="E8" s="11" t="s">
        <v>28</v>
      </c>
      <c r="F8" s="12">
        <v>45000</v>
      </c>
      <c r="G8" s="40">
        <v>225000</v>
      </c>
      <c r="H8" s="51"/>
      <c r="I8" s="41"/>
      <c r="J8" s="22"/>
      <c r="K8" s="122">
        <v>3</v>
      </c>
      <c r="L8" s="123" t="s">
        <v>544</v>
      </c>
      <c r="M8" s="124" t="s">
        <v>23</v>
      </c>
      <c r="N8" s="249">
        <v>3000000</v>
      </c>
      <c r="O8" s="128"/>
    </row>
    <row r="9" spans="1:15">
      <c r="A9" s="10"/>
      <c r="B9" s="10" t="s">
        <v>318</v>
      </c>
      <c r="C9" s="11" t="s">
        <v>18</v>
      </c>
      <c r="D9" s="11">
        <v>10</v>
      </c>
      <c r="E9" s="11" t="s">
        <v>28</v>
      </c>
      <c r="F9" s="12">
        <v>80000</v>
      </c>
      <c r="G9" s="40">
        <v>800000</v>
      </c>
      <c r="H9" s="51" t="s">
        <v>568</v>
      </c>
      <c r="I9" s="41" t="s">
        <v>39</v>
      </c>
      <c r="J9" s="25"/>
      <c r="K9" s="45">
        <v>4</v>
      </c>
      <c r="L9" s="46" t="s">
        <v>546</v>
      </c>
      <c r="M9" s="47" t="s">
        <v>18</v>
      </c>
      <c r="N9" s="240">
        <v>1950000</v>
      </c>
      <c r="O9" s="63" t="s">
        <v>596</v>
      </c>
    </row>
    <row r="10" spans="1:15">
      <c r="A10" s="10"/>
      <c r="B10" s="10" t="s">
        <v>566</v>
      </c>
      <c r="C10" s="11" t="s">
        <v>18</v>
      </c>
      <c r="D10" s="11">
        <v>3</v>
      </c>
      <c r="E10" s="11" t="s">
        <v>28</v>
      </c>
      <c r="F10" s="12">
        <v>90000</v>
      </c>
      <c r="G10" s="40">
        <v>270000</v>
      </c>
      <c r="H10" s="51"/>
      <c r="I10" s="41"/>
      <c r="J10" s="25"/>
      <c r="K10" s="176">
        <v>5</v>
      </c>
      <c r="L10" s="177" t="s">
        <v>551</v>
      </c>
      <c r="M10" s="178" t="s">
        <v>23</v>
      </c>
      <c r="N10" s="250">
        <v>3750000</v>
      </c>
      <c r="O10" s="218"/>
    </row>
    <row r="11" spans="1:15">
      <c r="A11" s="28"/>
      <c r="B11" s="10" t="s">
        <v>444</v>
      </c>
      <c r="C11" s="11" t="s">
        <v>18</v>
      </c>
      <c r="D11" s="11">
        <v>10</v>
      </c>
      <c r="E11" s="11" t="s">
        <v>28</v>
      </c>
      <c r="F11" s="12">
        <v>90000</v>
      </c>
      <c r="G11" s="40">
        <v>900000</v>
      </c>
      <c r="H11" s="51"/>
      <c r="I11" s="41"/>
      <c r="J11" s="25"/>
      <c r="K11" s="45">
        <v>6</v>
      </c>
      <c r="L11" s="46" t="s">
        <v>551</v>
      </c>
      <c r="M11" s="47" t="s">
        <v>18</v>
      </c>
      <c r="N11" s="240">
        <v>7930000</v>
      </c>
      <c r="O11" s="63" t="s">
        <v>596</v>
      </c>
    </row>
    <row r="12" spans="1:15" ht="15.75" thickBot="1">
      <c r="A12" s="28"/>
      <c r="B12" s="10" t="s">
        <v>567</v>
      </c>
      <c r="C12" s="11" t="s">
        <v>18</v>
      </c>
      <c r="D12" s="11">
        <v>1</v>
      </c>
      <c r="E12" s="11" t="s">
        <v>28</v>
      </c>
      <c r="F12" s="12">
        <v>7000000</v>
      </c>
      <c r="G12" s="40">
        <v>7000000</v>
      </c>
      <c r="H12" s="51"/>
      <c r="I12" s="41"/>
      <c r="J12" s="25"/>
      <c r="K12" s="99">
        <v>7</v>
      </c>
      <c r="L12" s="100">
        <v>45973</v>
      </c>
      <c r="M12" s="101" t="s">
        <v>478</v>
      </c>
      <c r="N12" s="243">
        <v>110000</v>
      </c>
      <c r="O12" s="107"/>
    </row>
    <row r="13" spans="1:15">
      <c r="A13" s="31">
        <v>45968</v>
      </c>
      <c r="B13" s="28" t="s">
        <v>571</v>
      </c>
      <c r="C13" s="11" t="s">
        <v>18</v>
      </c>
      <c r="D13" s="30">
        <v>1</v>
      </c>
      <c r="E13" s="11" t="s">
        <v>28</v>
      </c>
      <c r="F13" s="12">
        <v>250000</v>
      </c>
      <c r="G13" s="40">
        <v>250000</v>
      </c>
      <c r="H13" s="50"/>
      <c r="I13" s="41"/>
      <c r="J13" s="25"/>
      <c r="K13" s="45">
        <v>8</v>
      </c>
      <c r="L13" s="46"/>
      <c r="M13" s="47" t="s">
        <v>18</v>
      </c>
      <c r="N13" s="240">
        <v>2000000</v>
      </c>
      <c r="O13" s="49" t="s">
        <v>596</v>
      </c>
    </row>
    <row r="14" spans="1:15">
      <c r="A14" s="28"/>
      <c r="B14" s="28" t="s">
        <v>572</v>
      </c>
      <c r="C14" s="11" t="s">
        <v>18</v>
      </c>
      <c r="D14" s="30">
        <v>3</v>
      </c>
      <c r="E14" s="11" t="s">
        <v>28</v>
      </c>
      <c r="F14" s="12">
        <v>1000000</v>
      </c>
      <c r="G14" s="40">
        <v>3000000</v>
      </c>
      <c r="H14" s="51"/>
      <c r="I14" s="41"/>
      <c r="J14" s="25"/>
      <c r="K14" s="190">
        <v>9</v>
      </c>
      <c r="L14" s="191">
        <v>46024</v>
      </c>
      <c r="M14" s="192" t="s">
        <v>47</v>
      </c>
      <c r="N14" s="245">
        <v>4198500</v>
      </c>
      <c r="O14" s="194"/>
    </row>
    <row r="15" spans="1:15">
      <c r="A15" s="31"/>
      <c r="B15" s="28" t="s">
        <v>573</v>
      </c>
      <c r="C15" s="11" t="s">
        <v>18</v>
      </c>
      <c r="D15" s="30">
        <v>5</v>
      </c>
      <c r="E15" s="11" t="s">
        <v>28</v>
      </c>
      <c r="F15" s="27">
        <v>45000</v>
      </c>
      <c r="G15" s="54">
        <v>225000</v>
      </c>
      <c r="H15" s="51"/>
      <c r="I15" s="41"/>
      <c r="J15" s="25"/>
      <c r="K15" s="190">
        <v>10</v>
      </c>
      <c r="L15" s="212">
        <v>46024</v>
      </c>
      <c r="M15" s="213" t="s">
        <v>47</v>
      </c>
      <c r="N15" s="248">
        <v>2099250</v>
      </c>
      <c r="O15" s="195"/>
    </row>
    <row r="16" spans="1:15">
      <c r="A16" s="28"/>
      <c r="B16" s="28" t="s">
        <v>574</v>
      </c>
      <c r="C16" s="26" t="s">
        <v>18</v>
      </c>
      <c r="D16" s="30">
        <v>5</v>
      </c>
      <c r="E16" s="30" t="s">
        <v>28</v>
      </c>
      <c r="F16" s="27">
        <v>90000</v>
      </c>
      <c r="G16" s="54">
        <v>450000</v>
      </c>
      <c r="H16" s="58" t="s">
        <v>579</v>
      </c>
      <c r="I16" s="55"/>
      <c r="J16" s="25"/>
      <c r="K16" s="190">
        <v>11</v>
      </c>
      <c r="L16" s="191">
        <v>46031</v>
      </c>
      <c r="M16" s="192" t="s">
        <v>47</v>
      </c>
      <c r="N16" s="245">
        <v>1329300</v>
      </c>
      <c r="O16" s="194"/>
    </row>
    <row r="17" spans="1:15">
      <c r="A17" s="28"/>
      <c r="B17" s="28" t="s">
        <v>575</v>
      </c>
      <c r="C17" s="26" t="s">
        <v>18</v>
      </c>
      <c r="D17" s="30">
        <v>5</v>
      </c>
      <c r="E17" s="30" t="s">
        <v>28</v>
      </c>
      <c r="F17" s="27">
        <v>45000</v>
      </c>
      <c r="G17" s="54">
        <v>225000</v>
      </c>
      <c r="H17" s="58"/>
      <c r="I17" s="57" t="s">
        <v>39</v>
      </c>
      <c r="J17" s="25"/>
      <c r="K17" s="190">
        <v>12</v>
      </c>
      <c r="L17" s="191">
        <v>46046</v>
      </c>
      <c r="M17" s="192" t="s">
        <v>47</v>
      </c>
      <c r="N17" s="245">
        <v>2029275</v>
      </c>
      <c r="O17" s="194"/>
    </row>
    <row r="18" spans="1:15">
      <c r="A18" s="28"/>
      <c r="B18" s="28" t="s">
        <v>576</v>
      </c>
      <c r="C18" s="26" t="s">
        <v>18</v>
      </c>
      <c r="D18" s="30">
        <v>5</v>
      </c>
      <c r="E18" s="30" t="s">
        <v>28</v>
      </c>
      <c r="F18" s="27">
        <v>80000</v>
      </c>
      <c r="G18" s="54">
        <v>400000</v>
      </c>
      <c r="H18" s="58"/>
      <c r="I18" s="57"/>
      <c r="J18" s="25"/>
      <c r="K18" s="72">
        <v>13</v>
      </c>
      <c r="L18" s="73" t="s">
        <v>26</v>
      </c>
      <c r="M18" s="74" t="s">
        <v>207</v>
      </c>
      <c r="N18" s="252">
        <v>8700000</v>
      </c>
      <c r="O18" s="253"/>
    </row>
    <row r="19" spans="1:15">
      <c r="A19" s="38"/>
      <c r="B19" s="28" t="s">
        <v>577</v>
      </c>
      <c r="C19" s="26" t="s">
        <v>18</v>
      </c>
      <c r="D19" s="30">
        <v>3</v>
      </c>
      <c r="E19" s="30" t="s">
        <v>28</v>
      </c>
      <c r="F19" s="27">
        <v>45000</v>
      </c>
      <c r="G19" s="54">
        <v>135000</v>
      </c>
      <c r="H19" s="58"/>
      <c r="I19" s="57"/>
      <c r="J19" s="25"/>
      <c r="K19" s="72">
        <v>14</v>
      </c>
      <c r="L19" s="73" t="s">
        <v>678</v>
      </c>
      <c r="M19" s="74" t="s">
        <v>207</v>
      </c>
      <c r="N19" s="252">
        <v>2650000</v>
      </c>
      <c r="O19" s="253"/>
    </row>
    <row r="20" spans="1:15" ht="15.75" thickBot="1">
      <c r="A20" s="31"/>
      <c r="B20" s="28" t="s">
        <v>578</v>
      </c>
      <c r="C20" s="26" t="s">
        <v>18</v>
      </c>
      <c r="D20" s="30">
        <v>3</v>
      </c>
      <c r="E20" s="30" t="s">
        <v>28</v>
      </c>
      <c r="F20" s="27">
        <v>90000</v>
      </c>
      <c r="G20" s="54">
        <v>270000</v>
      </c>
      <c r="H20" s="58"/>
      <c r="I20" s="57"/>
      <c r="J20" s="25"/>
      <c r="K20" s="23">
        <v>15</v>
      </c>
      <c r="L20" s="24"/>
      <c r="M20" s="26"/>
      <c r="N20" s="246"/>
      <c r="O20" s="37"/>
    </row>
    <row r="21" spans="1:15">
      <c r="A21" s="31">
        <v>45971</v>
      </c>
      <c r="B21" s="28" t="s">
        <v>27</v>
      </c>
      <c r="C21" s="26" t="s">
        <v>18</v>
      </c>
      <c r="D21" s="30">
        <v>10</v>
      </c>
      <c r="E21" s="30" t="s">
        <v>28</v>
      </c>
      <c r="F21" s="27">
        <v>170000</v>
      </c>
      <c r="G21" s="54">
        <v>1700000</v>
      </c>
      <c r="H21" s="59"/>
      <c r="I21" s="57"/>
      <c r="J21" s="25"/>
      <c r="K21" s="18">
        <v>16</v>
      </c>
      <c r="L21" s="32"/>
      <c r="M21" s="11"/>
      <c r="N21" s="246"/>
      <c r="O21" s="35"/>
    </row>
    <row r="22" spans="1:15">
      <c r="A22" s="28"/>
      <c r="B22" s="28" t="s">
        <v>580</v>
      </c>
      <c r="C22" s="26" t="s">
        <v>18</v>
      </c>
      <c r="D22" s="30">
        <v>5</v>
      </c>
      <c r="E22" s="30" t="s">
        <v>28</v>
      </c>
      <c r="F22" s="27">
        <v>175000</v>
      </c>
      <c r="G22" s="54">
        <v>875000</v>
      </c>
      <c r="H22" s="149" t="s">
        <v>597</v>
      </c>
      <c r="I22" s="57"/>
      <c r="J22" s="25"/>
      <c r="K22" s="18">
        <v>17</v>
      </c>
      <c r="L22" s="24"/>
      <c r="M22" s="26"/>
      <c r="N22" s="246"/>
      <c r="O22" s="35"/>
    </row>
    <row r="23" spans="1:15">
      <c r="A23" s="31"/>
      <c r="B23" s="28" t="s">
        <v>179</v>
      </c>
      <c r="C23" s="26" t="s">
        <v>18</v>
      </c>
      <c r="D23" s="30">
        <v>1</v>
      </c>
      <c r="E23" s="30" t="s">
        <v>509</v>
      </c>
      <c r="F23" s="27">
        <v>1200000</v>
      </c>
      <c r="G23" s="54">
        <v>1200000</v>
      </c>
      <c r="H23" s="58"/>
      <c r="I23" s="57"/>
      <c r="J23" s="25"/>
      <c r="K23" s="23">
        <v>18</v>
      </c>
      <c r="L23" s="24"/>
      <c r="M23" s="26"/>
      <c r="N23" s="246"/>
      <c r="O23" s="35"/>
    </row>
    <row r="24" spans="1:15">
      <c r="A24" s="28"/>
      <c r="B24" s="28" t="s">
        <v>581</v>
      </c>
      <c r="C24" s="26" t="s">
        <v>18</v>
      </c>
      <c r="D24" s="30">
        <v>1</v>
      </c>
      <c r="E24" s="30" t="s">
        <v>509</v>
      </c>
      <c r="F24" s="27">
        <v>1200000</v>
      </c>
      <c r="G24" s="54">
        <v>1200000</v>
      </c>
      <c r="H24" s="58" t="s">
        <v>585</v>
      </c>
      <c r="I24" s="57"/>
      <c r="J24" s="25"/>
      <c r="K24" s="18">
        <v>19</v>
      </c>
      <c r="L24" s="24"/>
      <c r="M24" s="26"/>
      <c r="N24" s="246"/>
      <c r="O24" s="35"/>
    </row>
    <row r="25" spans="1:15">
      <c r="A25" s="28"/>
      <c r="B25" s="28" t="s">
        <v>582</v>
      </c>
      <c r="C25" s="26" t="s">
        <v>18</v>
      </c>
      <c r="D25" s="30">
        <v>10</v>
      </c>
      <c r="E25" s="30" t="s">
        <v>28</v>
      </c>
      <c r="F25" s="27">
        <v>80000</v>
      </c>
      <c r="G25" s="54">
        <v>800000</v>
      </c>
      <c r="H25" s="58"/>
      <c r="I25" s="57" t="s">
        <v>39</v>
      </c>
      <c r="J25" s="25"/>
      <c r="K25" s="28"/>
      <c r="L25" s="24"/>
      <c r="M25" s="26"/>
      <c r="N25" s="246"/>
      <c r="O25" s="28"/>
    </row>
    <row r="26" spans="1:15">
      <c r="A26" s="28"/>
      <c r="B26" s="28" t="s">
        <v>576</v>
      </c>
      <c r="C26" s="26" t="s">
        <v>18</v>
      </c>
      <c r="D26" s="30">
        <v>5</v>
      </c>
      <c r="E26" s="30" t="s">
        <v>28</v>
      </c>
      <c r="F26" s="27">
        <v>90000</v>
      </c>
      <c r="G26" s="54">
        <v>400000</v>
      </c>
      <c r="H26" s="58"/>
      <c r="I26" s="57"/>
      <c r="J26" s="25"/>
      <c r="K26" s="25"/>
      <c r="L26" s="33"/>
      <c r="M26" s="33"/>
      <c r="N26" s="247"/>
      <c r="O26" s="1"/>
    </row>
    <row r="27" spans="1:15">
      <c r="A27" s="28"/>
      <c r="B27" s="28" t="s">
        <v>583</v>
      </c>
      <c r="C27" s="26" t="s">
        <v>18</v>
      </c>
      <c r="D27" s="30">
        <v>2</v>
      </c>
      <c r="E27" s="30" t="s">
        <v>509</v>
      </c>
      <c r="F27" s="27">
        <v>410000</v>
      </c>
      <c r="G27" s="54">
        <v>820000</v>
      </c>
      <c r="H27" s="58"/>
      <c r="I27" s="57"/>
      <c r="J27" s="25"/>
      <c r="K27" s="25"/>
      <c r="L27" s="33"/>
      <c r="M27" s="33"/>
      <c r="N27" s="247">
        <f>SUM(N5:N24)</f>
        <v>53421325</v>
      </c>
      <c r="O27" s="1"/>
    </row>
    <row r="28" spans="1:15">
      <c r="A28" s="28"/>
      <c r="B28" s="28" t="s">
        <v>584</v>
      </c>
      <c r="C28" s="26" t="s">
        <v>18</v>
      </c>
      <c r="D28" s="30">
        <v>3</v>
      </c>
      <c r="E28" s="30" t="s">
        <v>28</v>
      </c>
      <c r="F28" s="27">
        <v>410000</v>
      </c>
      <c r="G28" s="54">
        <v>1230000</v>
      </c>
      <c r="H28" s="58"/>
      <c r="I28" s="57"/>
      <c r="J28" s="25"/>
      <c r="K28" s="25"/>
      <c r="L28" s="33"/>
      <c r="M28" s="33"/>
      <c r="N28" s="247"/>
      <c r="O28" s="1"/>
    </row>
    <row r="29" spans="1:15" ht="15.75" thickBot="1">
      <c r="A29" s="28"/>
      <c r="B29" s="28" t="s">
        <v>131</v>
      </c>
      <c r="C29" s="26" t="s">
        <v>18</v>
      </c>
      <c r="D29" s="30">
        <v>3</v>
      </c>
      <c r="E29" s="30" t="s">
        <v>28</v>
      </c>
      <c r="F29" s="27">
        <v>410000</v>
      </c>
      <c r="G29" s="54">
        <v>1230000</v>
      </c>
      <c r="H29" s="56"/>
      <c r="I29" s="57"/>
      <c r="J29" s="25"/>
      <c r="K29" s="25"/>
      <c r="L29" s="33"/>
      <c r="M29" s="33"/>
      <c r="N29" s="247"/>
      <c r="O29" s="1"/>
    </row>
    <row r="30" spans="1:15" ht="15.75" thickBot="1">
      <c r="A30" s="31">
        <v>45973</v>
      </c>
      <c r="B30" s="28" t="s">
        <v>587</v>
      </c>
      <c r="C30" s="26" t="s">
        <v>478</v>
      </c>
      <c r="D30" s="30">
        <v>2</v>
      </c>
      <c r="E30" s="30" t="s">
        <v>28</v>
      </c>
      <c r="F30" s="27">
        <v>55000</v>
      </c>
      <c r="G30" s="54">
        <v>110000</v>
      </c>
      <c r="H30" s="59" t="s">
        <v>588</v>
      </c>
      <c r="I30" s="57" t="s">
        <v>16</v>
      </c>
      <c r="J30" s="25"/>
      <c r="K30" s="25"/>
      <c r="L30" s="33"/>
      <c r="M30" s="33"/>
      <c r="N30" s="247"/>
      <c r="O30" s="1"/>
    </row>
    <row r="31" spans="1:15">
      <c r="A31" s="31">
        <v>45975</v>
      </c>
      <c r="B31" s="28" t="s">
        <v>602</v>
      </c>
      <c r="C31" s="26" t="s">
        <v>18</v>
      </c>
      <c r="D31" s="30">
        <v>5</v>
      </c>
      <c r="E31" s="30" t="s">
        <v>28</v>
      </c>
      <c r="F31" s="27">
        <v>170000</v>
      </c>
      <c r="G31" s="54">
        <v>850000</v>
      </c>
      <c r="H31" s="59"/>
      <c r="I31" s="57"/>
      <c r="J31" s="25"/>
      <c r="K31" s="25"/>
      <c r="L31" s="33"/>
      <c r="M31" s="33"/>
      <c r="N31" s="247"/>
      <c r="O31" s="1"/>
    </row>
    <row r="32" spans="1:15">
      <c r="A32" s="28"/>
      <c r="B32" s="28" t="s">
        <v>603</v>
      </c>
      <c r="C32" s="26" t="s">
        <v>18</v>
      </c>
      <c r="D32" s="30">
        <v>5</v>
      </c>
      <c r="E32" s="30" t="s">
        <v>28</v>
      </c>
      <c r="F32" s="27">
        <v>175000</v>
      </c>
      <c r="G32" s="54">
        <v>875000</v>
      </c>
      <c r="H32" s="58" t="s">
        <v>498</v>
      </c>
      <c r="I32" s="57" t="s">
        <v>39</v>
      </c>
      <c r="J32" s="25"/>
      <c r="K32" s="25"/>
      <c r="L32" s="33"/>
      <c r="M32" s="33"/>
      <c r="N32" s="247"/>
      <c r="O32" s="1"/>
    </row>
    <row r="33" spans="1:15" ht="15.75" thickBot="1">
      <c r="A33" s="10"/>
      <c r="B33" s="28" t="s">
        <v>604</v>
      </c>
      <c r="C33" s="26" t="s">
        <v>18</v>
      </c>
      <c r="D33" s="30">
        <v>3</v>
      </c>
      <c r="E33" s="30" t="s">
        <v>28</v>
      </c>
      <c r="F33" s="27">
        <v>175000</v>
      </c>
      <c r="G33" s="54">
        <v>525000</v>
      </c>
      <c r="H33" s="58"/>
      <c r="I33" s="57"/>
      <c r="J33" s="25"/>
      <c r="K33" s="25"/>
      <c r="L33" s="33"/>
      <c r="M33" s="33"/>
      <c r="N33" s="247"/>
      <c r="O33" s="1"/>
    </row>
    <row r="34" spans="1:15">
      <c r="A34" s="9">
        <v>45979</v>
      </c>
      <c r="B34" s="28" t="s">
        <v>606</v>
      </c>
      <c r="C34" s="26" t="s">
        <v>23</v>
      </c>
      <c r="D34" s="30">
        <v>1</v>
      </c>
      <c r="E34" s="30" t="s">
        <v>28</v>
      </c>
      <c r="F34" s="27">
        <v>900000</v>
      </c>
      <c r="G34" s="54">
        <v>900000</v>
      </c>
      <c r="H34" s="59"/>
      <c r="I34" s="57"/>
      <c r="J34" s="25"/>
      <c r="K34" s="1"/>
      <c r="L34" s="33"/>
      <c r="M34" s="33"/>
      <c r="N34" s="247"/>
      <c r="O34" s="1"/>
    </row>
    <row r="35" spans="1:15" ht="15.75" thickBot="1">
      <c r="A35" s="10"/>
      <c r="B35" s="10" t="s">
        <v>607</v>
      </c>
      <c r="C35" s="11" t="s">
        <v>23</v>
      </c>
      <c r="D35" s="10">
        <v>5</v>
      </c>
      <c r="E35" s="10" t="s">
        <v>28</v>
      </c>
      <c r="F35" s="12">
        <v>350000</v>
      </c>
      <c r="G35" s="40">
        <v>1750000</v>
      </c>
      <c r="H35" s="83" t="s">
        <v>608</v>
      </c>
      <c r="I35" s="79" t="s">
        <v>39</v>
      </c>
      <c r="J35" s="1"/>
      <c r="K35" s="1"/>
      <c r="L35" s="1"/>
      <c r="M35" s="2"/>
      <c r="O35" s="1"/>
    </row>
    <row r="36" spans="1:15" s="1" customFormat="1" ht="15.75" thickBot="1">
      <c r="A36" s="9">
        <v>45985</v>
      </c>
      <c r="B36" s="10" t="s">
        <v>613</v>
      </c>
      <c r="C36" s="11" t="s">
        <v>47</v>
      </c>
      <c r="D36" s="10">
        <v>1</v>
      </c>
      <c r="E36" s="10" t="s">
        <v>28</v>
      </c>
      <c r="F36" s="12">
        <v>2099250</v>
      </c>
      <c r="G36" s="40">
        <v>2099250</v>
      </c>
      <c r="H36" s="150" t="s">
        <v>612</v>
      </c>
      <c r="I36" s="79" t="s">
        <v>13</v>
      </c>
      <c r="M36" s="2"/>
      <c r="N36" s="239"/>
    </row>
    <row r="37" spans="1:15" s="1" customFormat="1" ht="15.75" thickBot="1">
      <c r="A37" s="9">
        <v>45986</v>
      </c>
      <c r="B37" s="10" t="s">
        <v>527</v>
      </c>
      <c r="C37" s="11" t="s">
        <v>18</v>
      </c>
      <c r="D37" s="10">
        <v>1</v>
      </c>
      <c r="E37" s="10" t="s">
        <v>42</v>
      </c>
      <c r="F37" s="12">
        <v>1300000</v>
      </c>
      <c r="G37" s="40">
        <v>1300000</v>
      </c>
      <c r="H37" s="150" t="s">
        <v>208</v>
      </c>
      <c r="I37" s="79" t="s">
        <v>39</v>
      </c>
      <c r="M37" s="2"/>
      <c r="N37" s="239"/>
    </row>
    <row r="38" spans="1:15" s="1" customFormat="1" ht="15.75" thickBot="1">
      <c r="A38" s="9">
        <v>45987</v>
      </c>
      <c r="B38" s="10" t="s">
        <v>614</v>
      </c>
      <c r="C38" s="11" t="s">
        <v>23</v>
      </c>
      <c r="D38" s="10">
        <v>2</v>
      </c>
      <c r="E38" s="10" t="s">
        <v>28</v>
      </c>
      <c r="F38" s="12">
        <v>3500000</v>
      </c>
      <c r="G38" s="40">
        <v>7000000</v>
      </c>
      <c r="H38" s="150" t="s">
        <v>615</v>
      </c>
      <c r="I38" s="79" t="s">
        <v>39</v>
      </c>
      <c r="M38" s="2"/>
      <c r="N38" s="239"/>
    </row>
    <row r="39" spans="1:15" s="1" customFormat="1">
      <c r="A39" s="10"/>
      <c r="B39" s="10"/>
      <c r="C39" s="11"/>
      <c r="D39" s="10"/>
      <c r="E39" s="10"/>
      <c r="F39" s="12"/>
      <c r="G39" s="12"/>
      <c r="H39" s="81"/>
      <c r="I39" s="10"/>
      <c r="M39" s="2"/>
      <c r="N39" s="239"/>
    </row>
    <row r="40" spans="1:15" s="1" customFormat="1">
      <c r="A40" s="10"/>
      <c r="B40" s="10"/>
      <c r="C40" s="11"/>
      <c r="D40" s="10"/>
      <c r="E40" s="10"/>
      <c r="F40" s="12"/>
      <c r="G40" s="12"/>
      <c r="H40" s="12"/>
      <c r="I40" s="10"/>
      <c r="M40" s="2"/>
      <c r="N40" s="239"/>
    </row>
    <row r="41" spans="1:15">
      <c r="A41" s="10"/>
      <c r="B41" s="10"/>
      <c r="C41" s="11"/>
      <c r="D41" s="10"/>
      <c r="E41" s="10"/>
      <c r="F41" s="12"/>
      <c r="G41" s="12"/>
      <c r="H41" s="12"/>
      <c r="I41" s="10"/>
      <c r="J41" s="1"/>
      <c r="K41" s="1"/>
      <c r="L41" s="1"/>
      <c r="M41" s="2"/>
      <c r="O41" s="1"/>
    </row>
    <row r="42" spans="1:15">
      <c r="A42" s="1"/>
      <c r="B42" s="1"/>
      <c r="D42" s="1"/>
      <c r="E42" s="1"/>
      <c r="F42" s="1"/>
      <c r="G42" s="1"/>
      <c r="H42" s="1"/>
      <c r="I42" s="1"/>
      <c r="J42" s="1"/>
      <c r="K42" s="1"/>
      <c r="L42" s="1"/>
      <c r="M42" s="1"/>
      <c r="O42" s="1"/>
    </row>
    <row r="43" spans="1:15">
      <c r="A43" s="1"/>
      <c r="B43" s="1"/>
      <c r="D43" s="1"/>
      <c r="E43" s="1"/>
      <c r="F43" s="1"/>
      <c r="G43" s="1"/>
      <c r="H43" s="1"/>
      <c r="I43" s="1"/>
      <c r="J43" s="1"/>
      <c r="K43" s="1"/>
      <c r="L43" s="1"/>
      <c r="M43" s="1"/>
      <c r="O43" s="1"/>
    </row>
    <row r="44" spans="1:15">
      <c r="A44" s="1"/>
      <c r="B44" s="1"/>
      <c r="D44" s="1"/>
      <c r="E44" s="1"/>
      <c r="F44" s="1"/>
      <c r="G44" s="1"/>
      <c r="H44" s="1"/>
      <c r="I44" s="1"/>
      <c r="J44" s="1"/>
      <c r="K44" s="1"/>
      <c r="L44" s="1"/>
      <c r="M44" s="1"/>
      <c r="O44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2:O60"/>
  <sheetViews>
    <sheetView topLeftCell="A31" workbookViewId="0">
      <selection activeCell="C31" sqref="C1:C1048576"/>
    </sheetView>
  </sheetViews>
  <sheetFormatPr defaultRowHeight="15"/>
  <cols>
    <col min="1" max="1" width="12.140625" customWidth="1"/>
    <col min="2" max="2" width="41.5703125" customWidth="1"/>
    <col min="3" max="3" width="17.7109375" style="2" customWidth="1"/>
    <col min="4" max="4" width="13.7109375" customWidth="1"/>
    <col min="5" max="5" width="12.140625" customWidth="1"/>
    <col min="6" max="6" width="18.42578125" customWidth="1"/>
    <col min="7" max="7" width="18.7109375" customWidth="1"/>
    <col min="8" max="8" width="17.42578125" customWidth="1"/>
    <col min="9" max="9" width="17.85546875" customWidth="1"/>
    <col min="12" max="12" width="14.85546875" customWidth="1"/>
    <col min="13" max="13" width="19.28515625" customWidth="1"/>
    <col min="14" max="14" width="17" style="239" customWidth="1"/>
    <col min="15" max="15" width="17.42578125" customWidth="1"/>
  </cols>
  <sheetData>
    <row r="2" spans="1:15">
      <c r="A2" s="1" t="s">
        <v>38</v>
      </c>
      <c r="B2" s="1"/>
      <c r="D2" s="1"/>
      <c r="E2" s="1"/>
      <c r="F2" s="1"/>
      <c r="G2" s="1"/>
      <c r="H2" s="1"/>
      <c r="I2" s="1"/>
      <c r="J2" s="1"/>
      <c r="K2" s="174">
        <v>46113</v>
      </c>
      <c r="L2" s="1"/>
      <c r="M2" s="1"/>
      <c r="O2" s="1"/>
    </row>
    <row r="3" spans="1:15" ht="30.75" thickBot="1">
      <c r="A3" s="10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43" t="s">
        <v>7</v>
      </c>
      <c r="I3" s="4" t="s">
        <v>8</v>
      </c>
      <c r="J3" s="1"/>
      <c r="K3" s="7" t="s">
        <v>9</v>
      </c>
      <c r="L3" s="8" t="s">
        <v>10</v>
      </c>
      <c r="M3" s="3" t="s">
        <v>11</v>
      </c>
      <c r="N3" s="237" t="s">
        <v>12</v>
      </c>
      <c r="O3" s="4" t="s">
        <v>8</v>
      </c>
    </row>
    <row r="4" spans="1:15">
      <c r="A4" s="9" t="s">
        <v>619</v>
      </c>
      <c r="B4" s="10" t="s">
        <v>421</v>
      </c>
      <c r="C4" s="11" t="s">
        <v>47</v>
      </c>
      <c r="D4" s="11">
        <v>1</v>
      </c>
      <c r="E4" s="11" t="s">
        <v>28</v>
      </c>
      <c r="F4" s="12">
        <v>1649250</v>
      </c>
      <c r="G4" s="40">
        <v>1649250</v>
      </c>
      <c r="H4" s="50" t="s">
        <v>422</v>
      </c>
      <c r="I4" s="41" t="s">
        <v>428</v>
      </c>
      <c r="J4" s="14"/>
      <c r="K4" s="45">
        <v>1</v>
      </c>
      <c r="L4" s="46">
        <v>45962</v>
      </c>
      <c r="M4" s="47" t="s">
        <v>18</v>
      </c>
      <c r="N4" s="240">
        <v>11795000</v>
      </c>
      <c r="O4" s="49" t="s">
        <v>688</v>
      </c>
    </row>
    <row r="5" spans="1:15" ht="15.75" thickBot="1">
      <c r="A5" s="10"/>
      <c r="B5" s="10" t="s">
        <v>59</v>
      </c>
      <c r="C5" s="11" t="s">
        <v>47</v>
      </c>
      <c r="D5" s="11">
        <v>1</v>
      </c>
      <c r="E5" s="11" t="s">
        <v>28</v>
      </c>
      <c r="F5" s="12">
        <v>2099250</v>
      </c>
      <c r="G5" s="40">
        <v>2099250</v>
      </c>
      <c r="H5" s="51"/>
      <c r="I5" s="41"/>
      <c r="J5" s="17"/>
      <c r="K5" s="45">
        <v>2</v>
      </c>
      <c r="L5" s="60">
        <v>45968</v>
      </c>
      <c r="M5" s="61" t="s">
        <v>18</v>
      </c>
      <c r="N5" s="238">
        <v>4955000</v>
      </c>
      <c r="O5" s="61" t="s">
        <v>688</v>
      </c>
    </row>
    <row r="6" spans="1:15">
      <c r="A6" s="10" t="s">
        <v>620</v>
      </c>
      <c r="B6" s="10" t="s">
        <v>96</v>
      </c>
      <c r="C6" s="11" t="s">
        <v>18</v>
      </c>
      <c r="D6" s="11">
        <v>10</v>
      </c>
      <c r="E6" s="11" t="s">
        <v>28</v>
      </c>
      <c r="F6" s="12">
        <v>35000</v>
      </c>
      <c r="G6" s="40">
        <v>350000</v>
      </c>
      <c r="H6" s="50"/>
      <c r="I6" s="41"/>
      <c r="J6" s="22"/>
      <c r="K6" s="45">
        <v>3</v>
      </c>
      <c r="L6" s="46">
        <v>45971</v>
      </c>
      <c r="M6" s="47" t="s">
        <v>18</v>
      </c>
      <c r="N6" s="241">
        <v>9455000</v>
      </c>
      <c r="O6" s="63" t="s">
        <v>688</v>
      </c>
    </row>
    <row r="7" spans="1:15">
      <c r="A7" s="10"/>
      <c r="B7" s="10" t="s">
        <v>621</v>
      </c>
      <c r="C7" s="11" t="s">
        <v>18</v>
      </c>
      <c r="D7" s="11">
        <v>3</v>
      </c>
      <c r="E7" s="11" t="s">
        <v>28</v>
      </c>
      <c r="F7" s="12">
        <v>80000</v>
      </c>
      <c r="G7" s="40">
        <v>240000</v>
      </c>
      <c r="H7" s="51"/>
      <c r="I7" s="41"/>
      <c r="J7" s="25"/>
      <c r="K7" s="45">
        <v>4</v>
      </c>
      <c r="L7" s="46">
        <v>45975</v>
      </c>
      <c r="M7" s="47" t="s">
        <v>18</v>
      </c>
      <c r="N7" s="240">
        <v>2250000</v>
      </c>
      <c r="O7" s="63" t="s">
        <v>688</v>
      </c>
    </row>
    <row r="8" spans="1:15">
      <c r="A8" s="10"/>
      <c r="B8" s="10" t="s">
        <v>622</v>
      </c>
      <c r="C8" s="11" t="s">
        <v>18</v>
      </c>
      <c r="D8" s="11">
        <v>3</v>
      </c>
      <c r="E8" s="11" t="s">
        <v>28</v>
      </c>
      <c r="F8" s="12">
        <v>50000</v>
      </c>
      <c r="G8" s="40">
        <v>150000</v>
      </c>
      <c r="H8" s="51" t="s">
        <v>626</v>
      </c>
      <c r="I8" s="41" t="s">
        <v>33</v>
      </c>
      <c r="J8" s="25"/>
      <c r="K8" s="99">
        <v>5</v>
      </c>
      <c r="L8" s="100">
        <v>45979</v>
      </c>
      <c r="M8" s="101" t="s">
        <v>23</v>
      </c>
      <c r="N8" s="242">
        <v>2650000</v>
      </c>
      <c r="O8" s="103"/>
    </row>
    <row r="9" spans="1:15">
      <c r="A9" s="28"/>
      <c r="B9" s="10" t="s">
        <v>623</v>
      </c>
      <c r="C9" s="11" t="s">
        <v>18</v>
      </c>
      <c r="D9" s="11">
        <v>2</v>
      </c>
      <c r="E9" s="11" t="s">
        <v>28</v>
      </c>
      <c r="F9" s="12">
        <v>200000</v>
      </c>
      <c r="G9" s="40">
        <v>400000</v>
      </c>
      <c r="H9" s="51"/>
      <c r="I9" s="41"/>
      <c r="J9" s="25"/>
      <c r="K9" s="45">
        <v>6</v>
      </c>
      <c r="L9" s="46">
        <v>45986</v>
      </c>
      <c r="M9" s="47" t="s">
        <v>18</v>
      </c>
      <c r="N9" s="240">
        <v>1300000</v>
      </c>
      <c r="O9" s="63" t="s">
        <v>688</v>
      </c>
    </row>
    <row r="10" spans="1:15">
      <c r="A10" s="28"/>
      <c r="B10" s="10" t="s">
        <v>624</v>
      </c>
      <c r="C10" s="11" t="s">
        <v>18</v>
      </c>
      <c r="D10" s="11">
        <v>2</v>
      </c>
      <c r="E10" s="11" t="s">
        <v>28</v>
      </c>
      <c r="F10" s="12">
        <v>250000</v>
      </c>
      <c r="G10" s="40">
        <v>500000</v>
      </c>
      <c r="H10" s="51"/>
      <c r="I10" s="41"/>
      <c r="J10" s="25"/>
      <c r="K10" s="99">
        <v>7</v>
      </c>
      <c r="L10" s="100">
        <v>45987</v>
      </c>
      <c r="M10" s="101" t="s">
        <v>23</v>
      </c>
      <c r="N10" s="243">
        <v>7000000</v>
      </c>
      <c r="O10" s="107"/>
    </row>
    <row r="11" spans="1:15" ht="15.75" thickBot="1">
      <c r="A11" s="28"/>
      <c r="B11" s="28" t="s">
        <v>625</v>
      </c>
      <c r="C11" s="11" t="s">
        <v>18</v>
      </c>
      <c r="D11" s="30">
        <v>2</v>
      </c>
      <c r="E11" s="11" t="s">
        <v>28</v>
      </c>
      <c r="F11" s="12">
        <v>110000</v>
      </c>
      <c r="G11" s="40">
        <v>220000</v>
      </c>
      <c r="H11" s="51"/>
      <c r="I11" s="41"/>
      <c r="J11" s="25"/>
      <c r="K11" s="137">
        <v>8</v>
      </c>
      <c r="L11" s="138" t="s">
        <v>26</v>
      </c>
      <c r="M11" s="139" t="s">
        <v>207</v>
      </c>
      <c r="N11" s="251">
        <v>8700000</v>
      </c>
      <c r="O11" s="142" t="s">
        <v>692</v>
      </c>
    </row>
    <row r="12" spans="1:15" ht="15.75" thickBot="1">
      <c r="A12" s="28" t="s">
        <v>627</v>
      </c>
      <c r="B12" s="28" t="s">
        <v>63</v>
      </c>
      <c r="C12" s="11" t="s">
        <v>18</v>
      </c>
      <c r="D12" s="30">
        <v>3</v>
      </c>
      <c r="E12" s="11" t="s">
        <v>28</v>
      </c>
      <c r="F12" s="12">
        <v>750000</v>
      </c>
      <c r="G12" s="40">
        <v>2250000</v>
      </c>
      <c r="H12" s="42" t="s">
        <v>498</v>
      </c>
      <c r="I12" s="41" t="s">
        <v>33</v>
      </c>
      <c r="J12" s="25"/>
      <c r="K12" s="137">
        <v>9</v>
      </c>
      <c r="L12" s="138" t="s">
        <v>678</v>
      </c>
      <c r="M12" s="139" t="s">
        <v>207</v>
      </c>
      <c r="N12" s="251">
        <v>2650000</v>
      </c>
      <c r="O12" s="142" t="s">
        <v>692</v>
      </c>
    </row>
    <row r="13" spans="1:15">
      <c r="A13" s="31" t="s">
        <v>628</v>
      </c>
      <c r="B13" s="28" t="s">
        <v>629</v>
      </c>
      <c r="C13" s="11" t="s">
        <v>18</v>
      </c>
      <c r="D13" s="30">
        <v>3</v>
      </c>
      <c r="E13" s="11" t="s">
        <v>28</v>
      </c>
      <c r="F13" s="27">
        <v>90000</v>
      </c>
      <c r="G13" s="54">
        <v>270000</v>
      </c>
      <c r="H13" s="50"/>
      <c r="I13" s="41"/>
      <c r="J13" s="25"/>
      <c r="K13" s="18">
        <v>10</v>
      </c>
      <c r="L13" s="32"/>
      <c r="M13" s="11"/>
      <c r="N13" s="88"/>
      <c r="O13" s="11"/>
    </row>
    <row r="14" spans="1:15">
      <c r="A14" s="28"/>
      <c r="B14" s="28" t="s">
        <v>630</v>
      </c>
      <c r="C14" s="26" t="s">
        <v>18</v>
      </c>
      <c r="D14" s="30">
        <v>3</v>
      </c>
      <c r="E14" s="30" t="s">
        <v>28</v>
      </c>
      <c r="F14" s="27">
        <v>100000</v>
      </c>
      <c r="G14" s="54">
        <v>300000</v>
      </c>
      <c r="H14" s="58" t="s">
        <v>631</v>
      </c>
      <c r="I14" s="55" t="s">
        <v>33</v>
      </c>
      <c r="J14" s="25"/>
      <c r="K14" s="233">
        <v>11</v>
      </c>
      <c r="L14" s="234">
        <v>46056</v>
      </c>
      <c r="M14" s="235" t="s">
        <v>47</v>
      </c>
      <c r="N14" s="244">
        <v>4058550</v>
      </c>
      <c r="O14" s="236"/>
    </row>
    <row r="15" spans="1:15" ht="15.75" thickBot="1">
      <c r="A15" s="28"/>
      <c r="B15" s="28" t="s">
        <v>444</v>
      </c>
      <c r="C15" s="26" t="s">
        <v>18</v>
      </c>
      <c r="D15" s="30">
        <v>15</v>
      </c>
      <c r="E15" s="30" t="s">
        <v>28</v>
      </c>
      <c r="F15" s="27">
        <v>90000</v>
      </c>
      <c r="G15" s="54">
        <v>1350000</v>
      </c>
      <c r="H15" s="56"/>
      <c r="I15" s="57"/>
      <c r="J15" s="25"/>
      <c r="K15" s="233">
        <v>12</v>
      </c>
      <c r="L15" s="234">
        <v>46059</v>
      </c>
      <c r="M15" s="235" t="s">
        <v>47</v>
      </c>
      <c r="N15" s="244">
        <v>5445587</v>
      </c>
      <c r="O15" s="236"/>
    </row>
    <row r="16" spans="1:15" ht="15.75" thickBot="1">
      <c r="A16" s="28" t="s">
        <v>628</v>
      </c>
      <c r="B16" s="28" t="s">
        <v>632</v>
      </c>
      <c r="C16" s="26" t="s">
        <v>18</v>
      </c>
      <c r="D16" s="30">
        <v>2</v>
      </c>
      <c r="E16" s="30" t="s">
        <v>28</v>
      </c>
      <c r="F16" s="27">
        <v>5500000</v>
      </c>
      <c r="G16" s="54">
        <v>11000000</v>
      </c>
      <c r="H16" s="59" t="s">
        <v>633</v>
      </c>
      <c r="I16" s="57" t="s">
        <v>33</v>
      </c>
      <c r="J16" s="25"/>
      <c r="K16" s="190">
        <v>13</v>
      </c>
      <c r="L16" s="191" t="s">
        <v>634</v>
      </c>
      <c r="M16" s="192" t="s">
        <v>684</v>
      </c>
      <c r="N16" s="245">
        <v>3300000</v>
      </c>
      <c r="O16" s="194"/>
    </row>
    <row r="17" spans="1:15">
      <c r="A17" s="38" t="s">
        <v>634</v>
      </c>
      <c r="B17" s="28" t="s">
        <v>27</v>
      </c>
      <c r="C17" s="26" t="s">
        <v>466</v>
      </c>
      <c r="D17" s="30">
        <v>15</v>
      </c>
      <c r="E17" s="30" t="s">
        <v>28</v>
      </c>
      <c r="F17" s="27">
        <v>165000</v>
      </c>
      <c r="G17" s="54">
        <v>2475000</v>
      </c>
      <c r="H17" s="59"/>
      <c r="I17" s="57"/>
      <c r="J17" s="25"/>
      <c r="K17" s="190">
        <v>14</v>
      </c>
      <c r="L17" s="191" t="s">
        <v>652</v>
      </c>
      <c r="M17" s="192" t="s">
        <v>684</v>
      </c>
      <c r="N17" s="245">
        <v>3220000</v>
      </c>
      <c r="O17" s="194"/>
    </row>
    <row r="18" spans="1:15" ht="15.75" thickBot="1">
      <c r="A18" s="31"/>
      <c r="B18" s="28" t="s">
        <v>408</v>
      </c>
      <c r="C18" s="26" t="s">
        <v>466</v>
      </c>
      <c r="D18" s="30">
        <v>5</v>
      </c>
      <c r="E18" s="30" t="s">
        <v>28</v>
      </c>
      <c r="F18" s="27">
        <v>165000</v>
      </c>
      <c r="G18" s="54">
        <v>825000</v>
      </c>
      <c r="H18" s="58" t="s">
        <v>284</v>
      </c>
      <c r="I18" s="57" t="s">
        <v>33</v>
      </c>
      <c r="J18" s="25"/>
      <c r="K18" s="23">
        <v>15</v>
      </c>
      <c r="L18" s="24"/>
      <c r="M18" s="26"/>
      <c r="N18" s="246"/>
      <c r="O18" s="37"/>
    </row>
    <row r="19" spans="1:15">
      <c r="A19" s="28" t="s">
        <v>636</v>
      </c>
      <c r="B19" s="28" t="s">
        <v>637</v>
      </c>
      <c r="C19" s="26" t="s">
        <v>18</v>
      </c>
      <c r="D19" s="30">
        <v>5</v>
      </c>
      <c r="E19" s="30" t="s">
        <v>509</v>
      </c>
      <c r="F19" s="27">
        <v>45000</v>
      </c>
      <c r="G19" s="54">
        <v>225000</v>
      </c>
      <c r="H19" s="59"/>
      <c r="I19" s="57"/>
      <c r="J19" s="25"/>
      <c r="K19" s="18">
        <v>16</v>
      </c>
      <c r="L19" s="32"/>
      <c r="M19" s="11"/>
      <c r="N19" s="246"/>
      <c r="O19" s="35"/>
    </row>
    <row r="20" spans="1:15" ht="15.75" thickBot="1">
      <c r="A20" s="28"/>
      <c r="B20" s="28" t="s">
        <v>638</v>
      </c>
      <c r="C20" s="26" t="s">
        <v>18</v>
      </c>
      <c r="D20" s="30">
        <v>2</v>
      </c>
      <c r="E20" s="30" t="s">
        <v>28</v>
      </c>
      <c r="F20" s="27">
        <v>650000</v>
      </c>
      <c r="G20" s="54">
        <v>1300000</v>
      </c>
      <c r="H20" s="56" t="s">
        <v>639</v>
      </c>
      <c r="I20" s="57" t="s">
        <v>33</v>
      </c>
      <c r="J20" s="25"/>
      <c r="K20" s="18">
        <v>17</v>
      </c>
      <c r="L20" s="24"/>
      <c r="M20" s="26"/>
      <c r="N20" s="246"/>
      <c r="O20" s="35"/>
    </row>
    <row r="21" spans="1:15">
      <c r="A21" s="31" t="s">
        <v>640</v>
      </c>
      <c r="B21" s="28" t="s">
        <v>641</v>
      </c>
      <c r="C21" s="26" t="s">
        <v>23</v>
      </c>
      <c r="D21" s="30">
        <v>2</v>
      </c>
      <c r="E21" s="30" t="s">
        <v>28</v>
      </c>
      <c r="F21" s="27">
        <v>1100000</v>
      </c>
      <c r="G21" s="27">
        <v>2200000</v>
      </c>
      <c r="H21" s="89" t="s">
        <v>216</v>
      </c>
      <c r="I21" s="28" t="s">
        <v>33</v>
      </c>
      <c r="J21" s="25"/>
      <c r="K21" s="23">
        <v>18</v>
      </c>
      <c r="L21" s="24"/>
      <c r="M21" s="26"/>
      <c r="N21" s="246"/>
      <c r="O21" s="35"/>
    </row>
    <row r="22" spans="1:15" ht="15.75" thickBot="1">
      <c r="A22" s="28" t="s">
        <v>642</v>
      </c>
      <c r="B22" s="28" t="s">
        <v>570</v>
      </c>
      <c r="C22" s="26" t="s">
        <v>47</v>
      </c>
      <c r="D22" s="30">
        <v>2</v>
      </c>
      <c r="E22" s="30" t="s">
        <v>28</v>
      </c>
      <c r="F22" s="27">
        <v>2099250</v>
      </c>
      <c r="G22" s="27">
        <v>4198500</v>
      </c>
      <c r="H22" s="145" t="s">
        <v>493</v>
      </c>
      <c r="I22" s="28" t="s">
        <v>428</v>
      </c>
      <c r="J22" s="25"/>
      <c r="K22" s="18">
        <v>19</v>
      </c>
      <c r="L22" s="24"/>
      <c r="M22" s="26"/>
      <c r="N22" s="246"/>
      <c r="O22" s="35"/>
    </row>
    <row r="23" spans="1:15">
      <c r="A23" s="28" t="s">
        <v>642</v>
      </c>
      <c r="B23" s="28" t="s">
        <v>643</v>
      </c>
      <c r="C23" s="26" t="s">
        <v>18</v>
      </c>
      <c r="D23" s="30">
        <v>5</v>
      </c>
      <c r="E23" s="30" t="s">
        <v>28</v>
      </c>
      <c r="F23" s="27">
        <v>135000</v>
      </c>
      <c r="G23" s="54">
        <v>675000</v>
      </c>
      <c r="H23" s="59"/>
      <c r="I23" s="57"/>
      <c r="J23" s="25"/>
      <c r="K23" s="28"/>
      <c r="L23" s="24"/>
      <c r="M23" s="26"/>
      <c r="N23" s="246"/>
      <c r="O23" s="28"/>
    </row>
    <row r="24" spans="1:15">
      <c r="A24" s="28"/>
      <c r="B24" s="28" t="s">
        <v>644</v>
      </c>
      <c r="C24" s="26" t="s">
        <v>18</v>
      </c>
      <c r="D24" s="30">
        <v>5</v>
      </c>
      <c r="E24" s="30" t="s">
        <v>28</v>
      </c>
      <c r="F24" s="27">
        <v>135000</v>
      </c>
      <c r="G24" s="54">
        <v>675000</v>
      </c>
      <c r="H24" s="58"/>
      <c r="I24" s="57"/>
      <c r="J24" s="25"/>
      <c r="K24" s="25"/>
      <c r="L24" s="33"/>
      <c r="M24" s="33"/>
      <c r="N24" s="247"/>
      <c r="O24" s="1"/>
    </row>
    <row r="25" spans="1:15">
      <c r="A25" s="28"/>
      <c r="B25" s="28" t="s">
        <v>645</v>
      </c>
      <c r="C25" s="26" t="s">
        <v>18</v>
      </c>
      <c r="D25" s="30">
        <v>5</v>
      </c>
      <c r="E25" s="30" t="s">
        <v>28</v>
      </c>
      <c r="F25" s="27">
        <v>80000</v>
      </c>
      <c r="G25" s="54">
        <v>400000</v>
      </c>
      <c r="H25" s="58"/>
      <c r="I25" s="57"/>
      <c r="J25" s="25"/>
      <c r="K25" s="25"/>
      <c r="L25" s="33"/>
      <c r="M25" s="33"/>
      <c r="N25" s="247">
        <f>SUM(N4:N23)</f>
        <v>66779137</v>
      </c>
      <c r="O25" s="1"/>
    </row>
    <row r="26" spans="1:15">
      <c r="A26" s="28"/>
      <c r="B26" s="28" t="s">
        <v>646</v>
      </c>
      <c r="C26" s="26" t="s">
        <v>18</v>
      </c>
      <c r="D26" s="30">
        <v>5</v>
      </c>
      <c r="E26" s="30" t="s">
        <v>28</v>
      </c>
      <c r="F26" s="27">
        <v>90000</v>
      </c>
      <c r="G26" s="54">
        <v>450000</v>
      </c>
      <c r="H26" s="58" t="s">
        <v>648</v>
      </c>
      <c r="I26" s="57" t="s">
        <v>33</v>
      </c>
      <c r="J26" s="25"/>
      <c r="K26" s="25"/>
      <c r="L26" s="33"/>
      <c r="M26" s="33"/>
      <c r="N26" s="247"/>
      <c r="O26" s="1"/>
    </row>
    <row r="27" spans="1:15">
      <c r="A27" s="28"/>
      <c r="B27" s="28" t="s">
        <v>565</v>
      </c>
      <c r="C27" s="26" t="s">
        <v>18</v>
      </c>
      <c r="D27" s="30">
        <v>4</v>
      </c>
      <c r="E27" s="30" t="s">
        <v>28</v>
      </c>
      <c r="F27" s="27">
        <v>50000</v>
      </c>
      <c r="G27" s="54">
        <v>200000</v>
      </c>
      <c r="H27" s="58"/>
      <c r="I27" s="57"/>
      <c r="J27" s="25"/>
      <c r="K27" s="25"/>
      <c r="L27" s="33"/>
      <c r="M27" s="33"/>
      <c r="N27" s="247"/>
      <c r="O27" s="1"/>
    </row>
    <row r="28" spans="1:15" ht="15.75" thickBot="1">
      <c r="A28" s="31"/>
      <c r="B28" s="28" t="s">
        <v>647</v>
      </c>
      <c r="C28" s="26" t="s">
        <v>18</v>
      </c>
      <c r="D28" s="30">
        <v>5</v>
      </c>
      <c r="E28" s="30" t="s">
        <v>28</v>
      </c>
      <c r="F28" s="27">
        <v>145000</v>
      </c>
      <c r="G28" s="54">
        <v>725000</v>
      </c>
      <c r="H28" s="58"/>
      <c r="I28" s="57"/>
      <c r="J28" s="25"/>
      <c r="K28" s="25"/>
      <c r="L28" s="33"/>
      <c r="M28" s="33"/>
      <c r="N28" s="247"/>
      <c r="O28" s="1"/>
    </row>
    <row r="29" spans="1:15">
      <c r="A29" s="28" t="s">
        <v>24</v>
      </c>
      <c r="B29" s="28" t="s">
        <v>649</v>
      </c>
      <c r="C29" s="26" t="s">
        <v>41</v>
      </c>
      <c r="D29" s="30">
        <v>1</v>
      </c>
      <c r="E29" s="30" t="s">
        <v>42</v>
      </c>
      <c r="F29" s="27">
        <v>1110000</v>
      </c>
      <c r="G29" s="54">
        <v>1110000</v>
      </c>
      <c r="H29" s="59"/>
      <c r="I29" s="57"/>
      <c r="J29" s="25"/>
      <c r="K29" s="25"/>
      <c r="L29" s="33"/>
      <c r="M29" s="33"/>
      <c r="N29" s="247"/>
      <c r="O29" s="1"/>
    </row>
    <row r="30" spans="1:15">
      <c r="A30" s="28"/>
      <c r="B30" s="28" t="s">
        <v>650</v>
      </c>
      <c r="C30" s="26" t="s">
        <v>41</v>
      </c>
      <c r="D30" s="30">
        <v>1</v>
      </c>
      <c r="E30" s="30" t="s">
        <v>42</v>
      </c>
      <c r="F30" s="27">
        <v>1110000</v>
      </c>
      <c r="G30" s="54">
        <v>1110000</v>
      </c>
      <c r="H30" s="58" t="s">
        <v>600</v>
      </c>
      <c r="I30" s="57" t="s">
        <v>33</v>
      </c>
      <c r="J30" s="25"/>
      <c r="K30" s="25"/>
      <c r="L30" s="33"/>
      <c r="M30" s="33"/>
      <c r="N30" s="247"/>
      <c r="O30" s="1"/>
    </row>
    <row r="31" spans="1:15" ht="15.75" thickBot="1">
      <c r="A31" s="10"/>
      <c r="B31" s="28" t="s">
        <v>651</v>
      </c>
      <c r="C31" s="26" t="s">
        <v>41</v>
      </c>
      <c r="D31" s="30">
        <v>2</v>
      </c>
      <c r="E31" s="30" t="s">
        <v>42</v>
      </c>
      <c r="F31" s="27">
        <v>1110000</v>
      </c>
      <c r="G31" s="54">
        <v>2220000</v>
      </c>
      <c r="H31" s="58"/>
      <c r="I31" s="57" t="s">
        <v>33</v>
      </c>
      <c r="J31" s="25"/>
      <c r="K31" s="25"/>
      <c r="L31" s="33"/>
      <c r="M31" s="33"/>
      <c r="N31" s="247"/>
      <c r="O31" s="1"/>
    </row>
    <row r="32" spans="1:15">
      <c r="A32" s="10" t="s">
        <v>652</v>
      </c>
      <c r="B32" s="28" t="s">
        <v>508</v>
      </c>
      <c r="C32" s="26" t="s">
        <v>18</v>
      </c>
      <c r="D32" s="30">
        <v>2</v>
      </c>
      <c r="E32" s="30" t="s">
        <v>28</v>
      </c>
      <c r="F32" s="27">
        <v>1600000</v>
      </c>
      <c r="G32" s="54">
        <v>3200000</v>
      </c>
      <c r="H32" s="59" t="s">
        <v>653</v>
      </c>
      <c r="I32" s="57"/>
      <c r="J32" s="25"/>
      <c r="K32" s="1"/>
      <c r="L32" s="33"/>
      <c r="M32" s="33"/>
      <c r="N32" s="247"/>
      <c r="O32" s="1"/>
    </row>
    <row r="33" spans="1:15" ht="15.75" thickBot="1">
      <c r="A33" s="10"/>
      <c r="B33" s="10" t="s">
        <v>255</v>
      </c>
      <c r="C33" s="11" t="s">
        <v>18</v>
      </c>
      <c r="D33" s="11">
        <v>2</v>
      </c>
      <c r="E33" s="11" t="s">
        <v>28</v>
      </c>
      <c r="F33" s="12">
        <v>1200000</v>
      </c>
      <c r="G33" s="40">
        <v>2400000</v>
      </c>
      <c r="H33" s="82"/>
      <c r="I33" s="79"/>
      <c r="J33" s="1"/>
      <c r="K33" s="1"/>
      <c r="L33" s="1"/>
      <c r="M33" s="2"/>
      <c r="O33" s="1"/>
    </row>
    <row r="34" spans="1:15">
      <c r="A34" s="10" t="s">
        <v>652</v>
      </c>
      <c r="B34" s="10" t="s">
        <v>655</v>
      </c>
      <c r="C34" s="11" t="s">
        <v>466</v>
      </c>
      <c r="D34" s="11">
        <v>3</v>
      </c>
      <c r="E34" s="11" t="s">
        <v>28</v>
      </c>
      <c r="F34" s="12">
        <v>340000</v>
      </c>
      <c r="G34" s="40">
        <v>1020000</v>
      </c>
      <c r="H34" s="84"/>
      <c r="I34" s="79"/>
      <c r="J34" s="1"/>
      <c r="K34" s="1"/>
      <c r="L34" s="1"/>
      <c r="M34" s="2"/>
      <c r="O34" s="1"/>
    </row>
    <row r="35" spans="1:15">
      <c r="A35" s="10"/>
      <c r="B35" s="10" t="s">
        <v>654</v>
      </c>
      <c r="C35" s="11" t="s">
        <v>466</v>
      </c>
      <c r="D35" s="11">
        <v>2</v>
      </c>
      <c r="E35" s="11" t="s">
        <v>28</v>
      </c>
      <c r="F35" s="12">
        <v>550000</v>
      </c>
      <c r="G35" s="40">
        <v>1100000</v>
      </c>
      <c r="H35" s="82" t="s">
        <v>657</v>
      </c>
      <c r="I35" s="79" t="s">
        <v>33</v>
      </c>
      <c r="J35" s="1"/>
      <c r="K35" s="1"/>
      <c r="L35" s="1"/>
      <c r="M35" s="1"/>
      <c r="O35" s="1"/>
    </row>
    <row r="36" spans="1:15" ht="15.75" thickBot="1">
      <c r="A36" s="10"/>
      <c r="B36" s="10" t="s">
        <v>656</v>
      </c>
      <c r="C36" s="11" t="s">
        <v>466</v>
      </c>
      <c r="D36" s="11">
        <v>2</v>
      </c>
      <c r="E36" s="11" t="s">
        <v>28</v>
      </c>
      <c r="F36" s="12">
        <v>550000</v>
      </c>
      <c r="G36" s="40">
        <v>1100000</v>
      </c>
      <c r="H36" s="83"/>
      <c r="I36" s="79"/>
      <c r="J36" s="1"/>
      <c r="K36" s="1"/>
      <c r="L36" s="1"/>
      <c r="M36" s="1"/>
      <c r="O36" s="1"/>
    </row>
    <row r="37" spans="1:15" s="1" customFormat="1" ht="15.75" thickBot="1">
      <c r="A37" s="10" t="s">
        <v>664</v>
      </c>
      <c r="B37" s="10" t="s">
        <v>665</v>
      </c>
      <c r="C37" s="11" t="s">
        <v>18</v>
      </c>
      <c r="D37" s="11">
        <v>1</v>
      </c>
      <c r="E37" s="11" t="s">
        <v>28</v>
      </c>
      <c r="F37" s="12">
        <v>1100000</v>
      </c>
      <c r="G37" s="40">
        <v>1100000</v>
      </c>
      <c r="H37" s="83" t="s">
        <v>666</v>
      </c>
      <c r="I37" s="79" t="s">
        <v>33</v>
      </c>
      <c r="N37" s="239"/>
    </row>
    <row r="38" spans="1:15" ht="15.75" thickBot="1">
      <c r="A38" s="10" t="s">
        <v>661</v>
      </c>
      <c r="B38" s="10" t="s">
        <v>662</v>
      </c>
      <c r="C38" s="11" t="s">
        <v>18</v>
      </c>
      <c r="D38" s="11">
        <v>20</v>
      </c>
      <c r="E38" s="11" t="s">
        <v>28</v>
      </c>
      <c r="F38" s="12">
        <v>1000000</v>
      </c>
      <c r="G38" s="40">
        <v>2000000</v>
      </c>
      <c r="H38" s="150" t="s">
        <v>663</v>
      </c>
      <c r="I38" s="79" t="s">
        <v>33</v>
      </c>
      <c r="J38" s="1"/>
      <c r="K38" s="1"/>
      <c r="L38" s="1"/>
      <c r="M38" s="1"/>
      <c r="O38" s="1"/>
    </row>
    <row r="39" spans="1:15" ht="15.75" thickBot="1">
      <c r="A39" s="10" t="s">
        <v>661</v>
      </c>
      <c r="B39" s="10" t="s">
        <v>667</v>
      </c>
      <c r="C39" s="11" t="s">
        <v>41</v>
      </c>
      <c r="D39" s="11">
        <v>1</v>
      </c>
      <c r="E39" s="11" t="s">
        <v>42</v>
      </c>
      <c r="F39" s="12">
        <v>9990000</v>
      </c>
      <c r="G39" s="40">
        <v>9990000</v>
      </c>
      <c r="H39" s="150" t="s">
        <v>43</v>
      </c>
      <c r="I39" s="79" t="s">
        <v>33</v>
      </c>
    </row>
    <row r="40" spans="1:15" ht="15.75" thickBot="1">
      <c r="A40" s="10" t="s">
        <v>26</v>
      </c>
      <c r="B40" s="10" t="s">
        <v>669</v>
      </c>
      <c r="C40" s="11" t="s">
        <v>207</v>
      </c>
      <c r="D40" s="11">
        <v>6</v>
      </c>
      <c r="E40" s="11" t="s">
        <v>28</v>
      </c>
      <c r="F40" s="12">
        <v>1450000</v>
      </c>
      <c r="G40" s="40">
        <v>8700000</v>
      </c>
      <c r="H40" s="84" t="s">
        <v>670</v>
      </c>
      <c r="I40" s="79" t="s">
        <v>39</v>
      </c>
    </row>
    <row r="41" spans="1:15">
      <c r="A41" s="10" t="s">
        <v>672</v>
      </c>
      <c r="B41" s="10" t="s">
        <v>673</v>
      </c>
      <c r="C41" s="11" t="s">
        <v>18</v>
      </c>
      <c r="D41" s="11">
        <v>6</v>
      </c>
      <c r="E41" s="11" t="s">
        <v>509</v>
      </c>
      <c r="F41" s="12">
        <v>1200000</v>
      </c>
      <c r="G41" s="40">
        <v>7200000</v>
      </c>
      <c r="H41" s="84" t="s">
        <v>675</v>
      </c>
      <c r="I41" s="79" t="s">
        <v>33</v>
      </c>
    </row>
    <row r="42" spans="1:15" ht="15.75" thickBot="1">
      <c r="A42" s="10"/>
      <c r="B42" s="10" t="s">
        <v>674</v>
      </c>
      <c r="C42" s="11" t="s">
        <v>18</v>
      </c>
      <c r="D42" s="11">
        <v>2</v>
      </c>
      <c r="E42" s="11" t="s">
        <v>28</v>
      </c>
      <c r="F42" s="12">
        <v>700000</v>
      </c>
      <c r="G42" s="40">
        <v>1400000</v>
      </c>
      <c r="H42" s="83"/>
      <c r="I42" s="79"/>
    </row>
    <row r="43" spans="1:15" ht="15.75" thickBot="1">
      <c r="A43" s="10" t="s">
        <v>676</v>
      </c>
      <c r="B43" s="10" t="s">
        <v>677</v>
      </c>
      <c r="C43" s="11" t="s">
        <v>18</v>
      </c>
      <c r="D43" s="10">
        <v>2</v>
      </c>
      <c r="E43" s="10" t="s">
        <v>28</v>
      </c>
      <c r="F43" s="12">
        <v>700000</v>
      </c>
      <c r="G43" s="40">
        <v>1400000</v>
      </c>
      <c r="H43" s="84" t="s">
        <v>116</v>
      </c>
      <c r="I43" s="79" t="s">
        <v>33</v>
      </c>
    </row>
    <row r="44" spans="1:15">
      <c r="A44" s="10" t="s">
        <v>678</v>
      </c>
      <c r="B44" s="10" t="s">
        <v>679</v>
      </c>
      <c r="C44" s="11" t="s">
        <v>207</v>
      </c>
      <c r="D44" s="10">
        <v>1</v>
      </c>
      <c r="E44" s="10" t="s">
        <v>28</v>
      </c>
      <c r="F44" s="12">
        <v>1350000</v>
      </c>
      <c r="G44" s="40">
        <v>1350000</v>
      </c>
      <c r="H44" s="84" t="s">
        <v>608</v>
      </c>
      <c r="I44" s="79" t="s">
        <v>39</v>
      </c>
    </row>
    <row r="45" spans="1:15" ht="15.75" thickBot="1">
      <c r="A45" s="10"/>
      <c r="B45" s="10" t="s">
        <v>680</v>
      </c>
      <c r="C45" s="11" t="s">
        <v>207</v>
      </c>
      <c r="D45" s="10">
        <v>1</v>
      </c>
      <c r="E45" s="10" t="s">
        <v>28</v>
      </c>
      <c r="F45" s="12">
        <v>1300000</v>
      </c>
      <c r="G45" s="40">
        <v>1300000</v>
      </c>
      <c r="H45" s="83"/>
      <c r="I45" s="79"/>
    </row>
    <row r="46" spans="1:15">
      <c r="A46" s="10" t="s">
        <v>681</v>
      </c>
      <c r="B46" s="10" t="s">
        <v>168</v>
      </c>
      <c r="C46" s="11" t="s">
        <v>18</v>
      </c>
      <c r="D46" s="10">
        <v>2</v>
      </c>
      <c r="E46" s="10" t="s">
        <v>28</v>
      </c>
      <c r="F46" s="12">
        <v>1600000</v>
      </c>
      <c r="G46" s="12">
        <v>3200000</v>
      </c>
      <c r="H46" s="81" t="s">
        <v>329</v>
      </c>
      <c r="I46" s="10" t="s">
        <v>682</v>
      </c>
    </row>
    <row r="47" spans="1:15">
      <c r="A47" s="10"/>
      <c r="B47" s="10"/>
      <c r="C47" s="11"/>
      <c r="D47" s="10"/>
      <c r="E47" s="10"/>
      <c r="F47" s="12"/>
      <c r="G47" s="12"/>
      <c r="H47" s="12"/>
      <c r="I47" s="10"/>
    </row>
    <row r="48" spans="1:15">
      <c r="A48" s="10"/>
      <c r="B48" s="10"/>
      <c r="C48" s="11"/>
      <c r="D48" s="10"/>
      <c r="E48" s="10"/>
      <c r="F48" s="12"/>
      <c r="G48" s="12"/>
      <c r="H48" s="12"/>
      <c r="I48" s="10"/>
    </row>
    <row r="49" spans="1:9">
      <c r="A49" s="10"/>
      <c r="B49" s="10"/>
      <c r="C49" s="11"/>
      <c r="D49" s="10"/>
      <c r="E49" s="10"/>
      <c r="F49" s="12"/>
      <c r="G49" s="12"/>
      <c r="H49" s="12"/>
      <c r="I49" s="10"/>
    </row>
    <row r="50" spans="1:9">
      <c r="A50" s="10"/>
      <c r="B50" s="10"/>
      <c r="C50" s="11"/>
      <c r="D50" s="10"/>
      <c r="E50" s="10"/>
      <c r="F50" s="12"/>
      <c r="G50" s="12"/>
      <c r="H50" s="12"/>
      <c r="I50" s="10"/>
    </row>
    <row r="51" spans="1:9">
      <c r="A51" s="10"/>
      <c r="B51" s="10"/>
      <c r="C51" s="11"/>
      <c r="D51" s="10"/>
      <c r="E51" s="10"/>
      <c r="F51" s="12"/>
      <c r="G51" s="12"/>
      <c r="H51" s="12"/>
      <c r="I51" s="10"/>
    </row>
    <row r="52" spans="1:9">
      <c r="A52" s="10"/>
      <c r="B52" s="10"/>
      <c r="C52" s="11"/>
      <c r="D52" s="10"/>
      <c r="E52" s="10"/>
      <c r="F52" s="12"/>
      <c r="G52" s="12"/>
      <c r="H52" s="12"/>
      <c r="I52" s="10"/>
    </row>
    <row r="53" spans="1:9">
      <c r="A53" s="10"/>
      <c r="B53" s="10"/>
      <c r="C53" s="11"/>
      <c r="D53" s="10"/>
      <c r="E53" s="10"/>
      <c r="F53" s="12"/>
      <c r="G53" s="12"/>
      <c r="H53" s="12"/>
      <c r="I53" s="10"/>
    </row>
    <row r="54" spans="1:9">
      <c r="A54" s="10"/>
      <c r="B54" s="10"/>
      <c r="C54" s="11"/>
      <c r="D54" s="10"/>
      <c r="E54" s="10"/>
      <c r="F54" s="12"/>
      <c r="G54" s="12"/>
      <c r="H54" s="12"/>
      <c r="I54" s="10"/>
    </row>
    <row r="55" spans="1:9">
      <c r="A55" s="10"/>
      <c r="B55" s="10"/>
      <c r="C55" s="11"/>
      <c r="D55" s="10"/>
      <c r="E55" s="10"/>
      <c r="F55" s="12"/>
      <c r="G55" s="12"/>
      <c r="H55" s="12"/>
      <c r="I55" s="10"/>
    </row>
    <row r="56" spans="1:9">
      <c r="A56" s="10"/>
      <c r="B56" s="10"/>
      <c r="C56" s="11"/>
      <c r="D56" s="10"/>
      <c r="E56" s="10"/>
      <c r="F56" s="12"/>
      <c r="G56" s="12"/>
      <c r="H56" s="12"/>
      <c r="I56" s="10"/>
    </row>
    <row r="57" spans="1:9">
      <c r="A57" s="10"/>
      <c r="B57" s="10"/>
      <c r="C57" s="11"/>
      <c r="D57" s="10"/>
      <c r="E57" s="10"/>
      <c r="F57" s="12"/>
      <c r="G57" s="12"/>
      <c r="H57" s="12"/>
      <c r="I57" s="10"/>
    </row>
    <row r="58" spans="1:9">
      <c r="A58" s="10"/>
      <c r="B58" s="10"/>
      <c r="C58" s="11"/>
      <c r="D58" s="10"/>
      <c r="E58" s="10"/>
      <c r="F58" s="12"/>
      <c r="G58" s="12"/>
      <c r="H58" s="12"/>
      <c r="I58" s="10"/>
    </row>
    <row r="59" spans="1:9">
      <c r="A59" s="10"/>
      <c r="B59" s="10"/>
      <c r="C59" s="11"/>
      <c r="D59" s="10"/>
      <c r="E59" s="10"/>
      <c r="F59" s="12"/>
      <c r="G59" s="12"/>
      <c r="H59" s="12"/>
      <c r="I59" s="10"/>
    </row>
    <row r="60" spans="1:9">
      <c r="A60" s="10"/>
      <c r="B60" s="10"/>
      <c r="C60" s="11"/>
      <c r="D60" s="10"/>
      <c r="E60" s="10"/>
      <c r="F60" s="12"/>
      <c r="G60" s="12"/>
      <c r="H60" s="12"/>
      <c r="I60" s="10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P10" sqref="P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Sheet10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ARAW-PC</cp:lastModifiedBy>
  <dcterms:created xsi:type="dcterms:W3CDTF">2024-11-07T02:59:34Z</dcterms:created>
  <dcterms:modified xsi:type="dcterms:W3CDTF">2026-03-17T05:20:07Z</dcterms:modified>
</cp:coreProperties>
</file>