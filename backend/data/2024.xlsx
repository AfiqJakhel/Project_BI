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tabRatio="553" firstSheet="1" activeTab="11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" sheetId="8" r:id="rId8"/>
    <sheet name="SEPT" sheetId="9" r:id="rId9"/>
    <sheet name="OKTOB" sheetId="10" r:id="rId10"/>
    <sheet name="NOV" sheetId="11" r:id="rId11"/>
    <sheet name="DES" sheetId="12" r:id="rId12"/>
    <sheet name="Sheet1" sheetId="13" r:id="rId13"/>
  </sheets>
  <calcPr calcId="124519"/>
</workbook>
</file>

<file path=xl/calcChain.xml><?xml version="1.0" encoding="utf-8"?>
<calcChain xmlns="http://schemas.openxmlformats.org/spreadsheetml/2006/main">
  <c r="D37" i="12"/>
  <c r="G38"/>
  <c r="D38"/>
  <c r="F38" s="1"/>
  <c r="G37"/>
  <c r="F37"/>
  <c r="G36"/>
  <c r="D36"/>
  <c r="F36" s="1"/>
  <c r="D28"/>
  <c r="G26"/>
  <c r="D26"/>
  <c r="F26" s="1"/>
  <c r="G19"/>
  <c r="D19"/>
  <c r="F19" s="1"/>
  <c r="D12"/>
  <c r="D37" i="11"/>
  <c r="F37" s="1"/>
  <c r="D29"/>
  <c r="G27"/>
  <c r="G20"/>
  <c r="E51" i="12"/>
  <c r="C51"/>
  <c r="B51"/>
  <c r="L41"/>
  <c r="G35"/>
  <c r="D35"/>
  <c r="F35" s="1"/>
  <c r="G34"/>
  <c r="D34"/>
  <c r="F34" s="1"/>
  <c r="G33"/>
  <c r="D33"/>
  <c r="F33" s="1"/>
  <c r="G32"/>
  <c r="D32"/>
  <c r="F32" s="1"/>
  <c r="G31"/>
  <c r="D31"/>
  <c r="F31" s="1"/>
  <c r="G30"/>
  <c r="D30"/>
  <c r="F30" s="1"/>
  <c r="G29"/>
  <c r="D29"/>
  <c r="F29" s="1"/>
  <c r="G28"/>
  <c r="F28"/>
  <c r="G27"/>
  <c r="D27"/>
  <c r="F27" s="1"/>
  <c r="G25"/>
  <c r="D25"/>
  <c r="F25" s="1"/>
  <c r="G24"/>
  <c r="D24"/>
  <c r="F24" s="1"/>
  <c r="G23"/>
  <c r="D23"/>
  <c r="F23" s="1"/>
  <c r="G22"/>
  <c r="D22"/>
  <c r="F22" s="1"/>
  <c r="G21"/>
  <c r="F21"/>
  <c r="G20"/>
  <c r="D20"/>
  <c r="F20" s="1"/>
  <c r="G18"/>
  <c r="D18"/>
  <c r="F18" s="1"/>
  <c r="G17"/>
  <c r="D17"/>
  <c r="F17" s="1"/>
  <c r="G16"/>
  <c r="D16"/>
  <c r="F16" s="1"/>
  <c r="G15"/>
  <c r="D15"/>
  <c r="F15" s="1"/>
  <c r="G14"/>
  <c r="D14"/>
  <c r="F14" s="1"/>
  <c r="G13"/>
  <c r="D13"/>
  <c r="F13" s="1"/>
  <c r="G12"/>
  <c r="F12"/>
  <c r="G11"/>
  <c r="D11"/>
  <c r="F11" s="1"/>
  <c r="G10"/>
  <c r="D10"/>
  <c r="F10" s="1"/>
  <c r="G9"/>
  <c r="D9"/>
  <c r="F9" s="1"/>
  <c r="G8"/>
  <c r="D8"/>
  <c r="F8" s="1"/>
  <c r="G7"/>
  <c r="E52" i="11"/>
  <c r="C52"/>
  <c r="B52"/>
  <c r="L41"/>
  <c r="G37"/>
  <c r="G36"/>
  <c r="D36"/>
  <c r="F36" s="1"/>
  <c r="G35"/>
  <c r="D35"/>
  <c r="F35" s="1"/>
  <c r="G34"/>
  <c r="D34"/>
  <c r="F34" s="1"/>
  <c r="G33"/>
  <c r="D33"/>
  <c r="F33" s="1"/>
  <c r="G32"/>
  <c r="D32"/>
  <c r="F32" s="1"/>
  <c r="G31"/>
  <c r="D31"/>
  <c r="F31" s="1"/>
  <c r="G30"/>
  <c r="D30"/>
  <c r="F30" s="1"/>
  <c r="G29"/>
  <c r="F29"/>
  <c r="G28"/>
  <c r="D28"/>
  <c r="F28" s="1"/>
  <c r="G26"/>
  <c r="D26"/>
  <c r="F26" s="1"/>
  <c r="G25"/>
  <c r="D25"/>
  <c r="F25" s="1"/>
  <c r="G24"/>
  <c r="D24"/>
  <c r="F24" s="1"/>
  <c r="G23"/>
  <c r="D23"/>
  <c r="F23" s="1"/>
  <c r="G22"/>
  <c r="F22"/>
  <c r="G21"/>
  <c r="D21"/>
  <c r="F21" s="1"/>
  <c r="G19"/>
  <c r="D19"/>
  <c r="F19" s="1"/>
  <c r="G18"/>
  <c r="D18"/>
  <c r="F18" s="1"/>
  <c r="G17"/>
  <c r="D17"/>
  <c r="F17" s="1"/>
  <c r="G16"/>
  <c r="D16"/>
  <c r="F16" s="1"/>
  <c r="G15"/>
  <c r="D15"/>
  <c r="F15" s="1"/>
  <c r="G14"/>
  <c r="D14"/>
  <c r="F14" s="1"/>
  <c r="G13"/>
  <c r="F13"/>
  <c r="G12"/>
  <c r="D12"/>
  <c r="F12" s="1"/>
  <c r="G11"/>
  <c r="D11"/>
  <c r="F11" s="1"/>
  <c r="G10"/>
  <c r="D10"/>
  <c r="F10" s="1"/>
  <c r="G9"/>
  <c r="D9"/>
  <c r="F9" s="1"/>
  <c r="G8"/>
  <c r="D8"/>
  <c r="G19" i="10"/>
  <c r="G18"/>
  <c r="G17"/>
  <c r="G16"/>
  <c r="G15"/>
  <c r="G11"/>
  <c r="G14"/>
  <c r="G13"/>
  <c r="G12"/>
  <c r="G10"/>
  <c r="L52"/>
  <c r="F61"/>
  <c r="E61"/>
  <c r="D61"/>
  <c r="C61"/>
  <c r="B61"/>
  <c r="F11"/>
  <c r="D11"/>
  <c r="F10"/>
  <c r="D10"/>
  <c r="G9"/>
  <c r="F9"/>
  <c r="D9"/>
  <c r="G8"/>
  <c r="F8"/>
  <c r="G36" i="9"/>
  <c r="F36"/>
  <c r="D36"/>
  <c r="G35"/>
  <c r="F35"/>
  <c r="F34"/>
  <c r="G34"/>
  <c r="D34"/>
  <c r="G33"/>
  <c r="F33"/>
  <c r="G32"/>
  <c r="F32"/>
  <c r="F31"/>
  <c r="G31"/>
  <c r="D31"/>
  <c r="F30"/>
  <c r="G30"/>
  <c r="D30"/>
  <c r="F29"/>
  <c r="G29"/>
  <c r="D29"/>
  <c r="F28"/>
  <c r="G28"/>
  <c r="D28"/>
  <c r="F27"/>
  <c r="G27"/>
  <c r="D27"/>
  <c r="F26"/>
  <c r="G26"/>
  <c r="D26"/>
  <c r="G25"/>
  <c r="F25"/>
  <c r="D25"/>
  <c r="G24"/>
  <c r="F24"/>
  <c r="G23"/>
  <c r="F23"/>
  <c r="D23"/>
  <c r="F21"/>
  <c r="G21"/>
  <c r="D21"/>
  <c r="F20"/>
  <c r="G20"/>
  <c r="D20"/>
  <c r="F19"/>
  <c r="G19"/>
  <c r="D19"/>
  <c r="F18"/>
  <c r="G18"/>
  <c r="D18"/>
  <c r="F17"/>
  <c r="G17"/>
  <c r="D17"/>
  <c r="G16"/>
  <c r="F16"/>
  <c r="D16"/>
  <c r="G15"/>
  <c r="F15"/>
  <c r="F14"/>
  <c r="G14"/>
  <c r="D14"/>
  <c r="F13"/>
  <c r="G13"/>
  <c r="D13"/>
  <c r="G12"/>
  <c r="F12"/>
  <c r="D12"/>
  <c r="G11"/>
  <c r="F11"/>
  <c r="G10"/>
  <c r="F10"/>
  <c r="D10"/>
  <c r="G9"/>
  <c r="F9"/>
  <c r="D9"/>
  <c r="L54"/>
  <c r="L48"/>
  <c r="E58"/>
  <c r="C58"/>
  <c r="B58"/>
  <c r="G8"/>
  <c r="F8"/>
  <c r="D8"/>
  <c r="F38" i="8"/>
  <c r="G38"/>
  <c r="D38"/>
  <c r="F37"/>
  <c r="G37"/>
  <c r="F36"/>
  <c r="G36"/>
  <c r="D36"/>
  <c r="F35"/>
  <c r="G35"/>
  <c r="D35"/>
  <c r="G34"/>
  <c r="F34"/>
  <c r="G33"/>
  <c r="F33"/>
  <c r="F32"/>
  <c r="G32"/>
  <c r="D32"/>
  <c r="G31"/>
  <c r="F31"/>
  <c r="D31"/>
  <c r="F30"/>
  <c r="G30"/>
  <c r="F29"/>
  <c r="G29"/>
  <c r="G28"/>
  <c r="F28"/>
  <c r="F27"/>
  <c r="G27"/>
  <c r="D27"/>
  <c r="G26"/>
  <c r="F26"/>
  <c r="F24"/>
  <c r="G24"/>
  <c r="D24"/>
  <c r="F23"/>
  <c r="G23"/>
  <c r="D23"/>
  <c r="G22"/>
  <c r="F22"/>
  <c r="G21"/>
  <c r="F21"/>
  <c r="G20"/>
  <c r="F20"/>
  <c r="D20"/>
  <c r="F19"/>
  <c r="G19"/>
  <c r="G18"/>
  <c r="F18"/>
  <c r="F17"/>
  <c r="G17"/>
  <c r="D17"/>
  <c r="F16"/>
  <c r="G16"/>
  <c r="D16"/>
  <c r="F15"/>
  <c r="G15"/>
  <c r="D15"/>
  <c r="F14"/>
  <c r="G14"/>
  <c r="D14"/>
  <c r="F13"/>
  <c r="G13"/>
  <c r="F12"/>
  <c r="G12"/>
  <c r="D12"/>
  <c r="G11"/>
  <c r="F11"/>
  <c r="D11"/>
  <c r="G10"/>
  <c r="F10"/>
  <c r="D10"/>
  <c r="G9"/>
  <c r="F9"/>
  <c r="D9"/>
  <c r="L49"/>
  <c r="L44"/>
  <c r="E53"/>
  <c r="C53"/>
  <c r="B53"/>
  <c r="G8"/>
  <c r="F8"/>
  <c r="D8"/>
  <c r="G38" i="7"/>
  <c r="F38"/>
  <c r="F37"/>
  <c r="G37"/>
  <c r="D37"/>
  <c r="F36"/>
  <c r="G36"/>
  <c r="D36"/>
  <c r="F35"/>
  <c r="G35"/>
  <c r="D35"/>
  <c r="F34"/>
  <c r="G34"/>
  <c r="D34"/>
  <c r="F33"/>
  <c r="G33"/>
  <c r="D33"/>
  <c r="G32"/>
  <c r="F32"/>
  <c r="D32"/>
  <c r="G31"/>
  <c r="F31"/>
  <c r="G29"/>
  <c r="F29"/>
  <c r="D29"/>
  <c r="G30"/>
  <c r="F30"/>
  <c r="D30"/>
  <c r="F27"/>
  <c r="G27"/>
  <c r="D27"/>
  <c r="F26"/>
  <c r="G26"/>
  <c r="D26"/>
  <c r="F25"/>
  <c r="G25"/>
  <c r="D25"/>
  <c r="F24"/>
  <c r="G24"/>
  <c r="D24"/>
  <c r="F23"/>
  <c r="G23"/>
  <c r="D23"/>
  <c r="F22"/>
  <c r="G22"/>
  <c r="D22"/>
  <c r="F21"/>
  <c r="G21"/>
  <c r="F20"/>
  <c r="G20"/>
  <c r="G19"/>
  <c r="F19"/>
  <c r="G18"/>
  <c r="F18"/>
  <c r="F17"/>
  <c r="G17"/>
  <c r="F16"/>
  <c r="G16"/>
  <c r="D16"/>
  <c r="F15"/>
  <c r="G15"/>
  <c r="D15"/>
  <c r="F14"/>
  <c r="G14"/>
  <c r="D14"/>
  <c r="F13"/>
  <c r="G13"/>
  <c r="D13"/>
  <c r="F12"/>
  <c r="G12"/>
  <c r="D12"/>
  <c r="G11"/>
  <c r="F11"/>
  <c r="D11"/>
  <c r="G10"/>
  <c r="F10"/>
  <c r="D10"/>
  <c r="G9"/>
  <c r="F9"/>
  <c r="D9"/>
  <c r="L52"/>
  <c r="L47"/>
  <c r="E56"/>
  <c r="C56"/>
  <c r="B56"/>
  <c r="G8"/>
  <c r="F8"/>
  <c r="D8"/>
  <c r="F37" i="6"/>
  <c r="G37"/>
  <c r="D37"/>
  <c r="F36"/>
  <c r="G36"/>
  <c r="D36"/>
  <c r="F35"/>
  <c r="G35"/>
  <c r="D35"/>
  <c r="F34"/>
  <c r="G34"/>
  <c r="F33"/>
  <c r="G33"/>
  <c r="D33"/>
  <c r="F32"/>
  <c r="G32"/>
  <c r="D32"/>
  <c r="F31"/>
  <c r="G31"/>
  <c r="D31"/>
  <c r="F30"/>
  <c r="G30"/>
  <c r="D30"/>
  <c r="F29"/>
  <c r="G29"/>
  <c r="D29"/>
  <c r="G28"/>
  <c r="F28"/>
  <c r="D28"/>
  <c r="G27"/>
  <c r="F27"/>
  <c r="G26"/>
  <c r="F26"/>
  <c r="D26"/>
  <c r="G25"/>
  <c r="F25"/>
  <c r="D25"/>
  <c r="F22"/>
  <c r="G22"/>
  <c r="D22"/>
  <c r="F21"/>
  <c r="G21"/>
  <c r="D21"/>
  <c r="F20"/>
  <c r="G20"/>
  <c r="D20"/>
  <c r="F19"/>
  <c r="G19"/>
  <c r="D19"/>
  <c r="G18"/>
  <c r="F18"/>
  <c r="G17"/>
  <c r="F17"/>
  <c r="D17"/>
  <c r="F16"/>
  <c r="G16"/>
  <c r="F15"/>
  <c r="G15"/>
  <c r="D15"/>
  <c r="G14"/>
  <c r="D14"/>
  <c r="F14" s="1"/>
  <c r="F13"/>
  <c r="G13"/>
  <c r="D13"/>
  <c r="F12"/>
  <c r="G12"/>
  <c r="D12"/>
  <c r="G11"/>
  <c r="F11"/>
  <c r="D11"/>
  <c r="L50"/>
  <c r="E54"/>
  <c r="C54"/>
  <c r="B54"/>
  <c r="L45"/>
  <c r="G10"/>
  <c r="F10"/>
  <c r="D10"/>
  <c r="G9"/>
  <c r="F9"/>
  <c r="D9"/>
  <c r="G8"/>
  <c r="F8"/>
  <c r="L48" i="5"/>
  <c r="L46"/>
  <c r="L43"/>
  <c r="G50"/>
  <c r="F50"/>
  <c r="E50"/>
  <c r="D50"/>
  <c r="C50"/>
  <c r="B50"/>
  <c r="L41"/>
  <c r="F37"/>
  <c r="G37"/>
  <c r="D37"/>
  <c r="F36"/>
  <c r="G36"/>
  <c r="D36"/>
  <c r="F35"/>
  <c r="G35"/>
  <c r="D35"/>
  <c r="F34"/>
  <c r="G34"/>
  <c r="D34"/>
  <c r="F33"/>
  <c r="G33"/>
  <c r="D33"/>
  <c r="G32"/>
  <c r="F32"/>
  <c r="D32"/>
  <c r="G31"/>
  <c r="F31"/>
  <c r="F30"/>
  <c r="G30"/>
  <c r="D30"/>
  <c r="F29"/>
  <c r="G29"/>
  <c r="D29"/>
  <c r="F28"/>
  <c r="G28"/>
  <c r="D28"/>
  <c r="G27"/>
  <c r="F27"/>
  <c r="D27"/>
  <c r="F25"/>
  <c r="G25"/>
  <c r="D25"/>
  <c r="F24"/>
  <c r="G24"/>
  <c r="F23"/>
  <c r="G23"/>
  <c r="D23"/>
  <c r="F22"/>
  <c r="G22"/>
  <c r="D22"/>
  <c r="F21"/>
  <c r="G21"/>
  <c r="D21"/>
  <c r="F20"/>
  <c r="G20"/>
  <c r="D20"/>
  <c r="F19"/>
  <c r="G19"/>
  <c r="D19"/>
  <c r="G18"/>
  <c r="F18"/>
  <c r="D18"/>
  <c r="G17"/>
  <c r="F17"/>
  <c r="F16"/>
  <c r="G16"/>
  <c r="D16"/>
  <c r="F15"/>
  <c r="G15"/>
  <c r="D15"/>
  <c r="F14"/>
  <c r="G14"/>
  <c r="D14"/>
  <c r="G13"/>
  <c r="F13"/>
  <c r="D13"/>
  <c r="G11"/>
  <c r="F11"/>
  <c r="D11"/>
  <c r="G10"/>
  <c r="F10"/>
  <c r="G9"/>
  <c r="F9"/>
  <c r="D9"/>
  <c r="G8"/>
  <c r="F8"/>
  <c r="D8"/>
  <c r="F36" i="4"/>
  <c r="G36"/>
  <c r="D36"/>
  <c r="G35"/>
  <c r="F35"/>
  <c r="D35"/>
  <c r="G34"/>
  <c r="F34"/>
  <c r="F33"/>
  <c r="G33"/>
  <c r="D33"/>
  <c r="F32"/>
  <c r="G32"/>
  <c r="D32"/>
  <c r="F31"/>
  <c r="G31"/>
  <c r="D31"/>
  <c r="F30"/>
  <c r="G30"/>
  <c r="D30"/>
  <c r="G29"/>
  <c r="F29"/>
  <c r="D29"/>
  <c r="F27"/>
  <c r="G27"/>
  <c r="D27"/>
  <c r="F26"/>
  <c r="G26"/>
  <c r="D26"/>
  <c r="G25"/>
  <c r="F25"/>
  <c r="D25"/>
  <c r="G24"/>
  <c r="F24"/>
  <c r="D24"/>
  <c r="G23"/>
  <c r="F23"/>
  <c r="D23"/>
  <c r="G22"/>
  <c r="F22"/>
  <c r="F15"/>
  <c r="G15"/>
  <c r="D15"/>
  <c r="F14"/>
  <c r="G14"/>
  <c r="D14"/>
  <c r="G13"/>
  <c r="D13"/>
  <c r="F13" s="1"/>
  <c r="F12"/>
  <c r="G12"/>
  <c r="D12"/>
  <c r="L46"/>
  <c r="L41"/>
  <c r="E50"/>
  <c r="C50"/>
  <c r="B50"/>
  <c r="G11"/>
  <c r="F11"/>
  <c r="D11"/>
  <c r="G10"/>
  <c r="F10"/>
  <c r="D10"/>
  <c r="G9"/>
  <c r="F9"/>
  <c r="D9"/>
  <c r="G8"/>
  <c r="F8"/>
  <c r="D8"/>
  <c r="F38" i="3"/>
  <c r="G38"/>
  <c r="D38"/>
  <c r="F37"/>
  <c r="G37"/>
  <c r="D37"/>
  <c r="F36"/>
  <c r="G36"/>
  <c r="D36"/>
  <c r="F35"/>
  <c r="G35"/>
  <c r="D35"/>
  <c r="F34"/>
  <c r="G34"/>
  <c r="D34"/>
  <c r="G33"/>
  <c r="F33"/>
  <c r="D33"/>
  <c r="G32"/>
  <c r="F32"/>
  <c r="F31"/>
  <c r="G31"/>
  <c r="D31"/>
  <c r="F30"/>
  <c r="G30"/>
  <c r="D30"/>
  <c r="F29"/>
  <c r="G29"/>
  <c r="D29"/>
  <c r="F28"/>
  <c r="G28"/>
  <c r="F27"/>
  <c r="G27"/>
  <c r="D27"/>
  <c r="F26"/>
  <c r="G26"/>
  <c r="D26"/>
  <c r="G25"/>
  <c r="F25"/>
  <c r="F23"/>
  <c r="G23"/>
  <c r="D23"/>
  <c r="G22"/>
  <c r="F22"/>
  <c r="D22"/>
  <c r="G21"/>
  <c r="F21"/>
  <c r="D21"/>
  <c r="G20"/>
  <c r="F20"/>
  <c r="D20"/>
  <c r="G19"/>
  <c r="F19"/>
  <c r="D19"/>
  <c r="G16"/>
  <c r="F16"/>
  <c r="D16"/>
  <c r="G15"/>
  <c r="F15"/>
  <c r="F14"/>
  <c r="G14"/>
  <c r="D14"/>
  <c r="F13"/>
  <c r="G13"/>
  <c r="D13"/>
  <c r="F12"/>
  <c r="G12"/>
  <c r="D12"/>
  <c r="L46"/>
  <c r="L41"/>
  <c r="E50"/>
  <c r="C50"/>
  <c r="B50"/>
  <c r="G11"/>
  <c r="F11"/>
  <c r="D11"/>
  <c r="G10"/>
  <c r="F10"/>
  <c r="G9"/>
  <c r="F9"/>
  <c r="D9"/>
  <c r="G8"/>
  <c r="F8"/>
  <c r="G36" i="2"/>
  <c r="F36"/>
  <c r="F35"/>
  <c r="G35"/>
  <c r="D35"/>
  <c r="F34"/>
  <c r="G34"/>
  <c r="D34"/>
  <c r="F33"/>
  <c r="G33"/>
  <c r="D33"/>
  <c r="F32"/>
  <c r="G32"/>
  <c r="G31"/>
  <c r="F31"/>
  <c r="D31"/>
  <c r="G30"/>
  <c r="F30"/>
  <c r="G29"/>
  <c r="D29"/>
  <c r="F29" s="1"/>
  <c r="G28"/>
  <c r="D28"/>
  <c r="F28" s="1"/>
  <c r="G27"/>
  <c r="D27"/>
  <c r="F27" s="1"/>
  <c r="F25"/>
  <c r="G25"/>
  <c r="G26"/>
  <c r="F26"/>
  <c r="D26"/>
  <c r="G24"/>
  <c r="D24"/>
  <c r="F24" s="1"/>
  <c r="G23"/>
  <c r="F23"/>
  <c r="F22"/>
  <c r="G22"/>
  <c r="G20"/>
  <c r="D20"/>
  <c r="F20" s="1"/>
  <c r="G19"/>
  <c r="D19"/>
  <c r="F19" s="1"/>
  <c r="G17"/>
  <c r="D17"/>
  <c r="F17" s="1"/>
  <c r="G16"/>
  <c r="D16"/>
  <c r="F16" s="1"/>
  <c r="F15"/>
  <c r="G15"/>
  <c r="G14"/>
  <c r="D14"/>
  <c r="F14" s="1"/>
  <c r="G13"/>
  <c r="D13"/>
  <c r="F13" s="1"/>
  <c r="G12"/>
  <c r="F12"/>
  <c r="D12"/>
  <c r="G11"/>
  <c r="D11"/>
  <c r="F11" s="1"/>
  <c r="L41"/>
  <c r="G10"/>
  <c r="F10"/>
  <c r="D10"/>
  <c r="G9"/>
  <c r="F9"/>
  <c r="L46"/>
  <c r="E50"/>
  <c r="C50"/>
  <c r="B50"/>
  <c r="G8"/>
  <c r="D8"/>
  <c r="F8" s="1"/>
  <c r="F36" i="1"/>
  <c r="G36"/>
  <c r="F35"/>
  <c r="G35"/>
  <c r="D35"/>
  <c r="F34"/>
  <c r="G34"/>
  <c r="D34"/>
  <c r="F33"/>
  <c r="G33"/>
  <c r="D33"/>
  <c r="F32"/>
  <c r="G32"/>
  <c r="D32"/>
  <c r="F31"/>
  <c r="G31"/>
  <c r="D31"/>
  <c r="F30"/>
  <c r="G30"/>
  <c r="D30"/>
  <c r="F29"/>
  <c r="G29"/>
  <c r="D29"/>
  <c r="F28"/>
  <c r="G28"/>
  <c r="G27"/>
  <c r="F27"/>
  <c r="D27"/>
  <c r="F25"/>
  <c r="G25"/>
  <c r="D25"/>
  <c r="F24"/>
  <c r="G24"/>
  <c r="D24"/>
  <c r="F23"/>
  <c r="G23"/>
  <c r="D23"/>
  <c r="G22"/>
  <c r="F22"/>
  <c r="D22"/>
  <c r="G21"/>
  <c r="F21"/>
  <c r="G20"/>
  <c r="F20"/>
  <c r="D20"/>
  <c r="F18"/>
  <c r="G18"/>
  <c r="D18"/>
  <c r="F17"/>
  <c r="G17"/>
  <c r="D17"/>
  <c r="F16"/>
  <c r="G16"/>
  <c r="D16"/>
  <c r="F15"/>
  <c r="G15"/>
  <c r="D15"/>
  <c r="L46"/>
  <c r="L41"/>
  <c r="F14"/>
  <c r="E50"/>
  <c r="C50"/>
  <c r="B50"/>
  <c r="F13"/>
  <c r="G13"/>
  <c r="D13"/>
  <c r="F12"/>
  <c r="G12"/>
  <c r="G14"/>
  <c r="D14"/>
  <c r="F11"/>
  <c r="G11"/>
  <c r="D11"/>
  <c r="G10"/>
  <c r="F10"/>
  <c r="D10"/>
  <c r="G9"/>
  <c r="F9"/>
  <c r="D9"/>
  <c r="G8"/>
  <c r="F8"/>
  <c r="D8"/>
  <c r="G7"/>
  <c r="F7"/>
  <c r="D7"/>
  <c r="G51" i="12" l="1"/>
  <c r="D51"/>
  <c r="L43"/>
  <c r="L48" s="1"/>
  <c r="F51"/>
  <c r="G52" i="11"/>
  <c r="D52"/>
  <c r="L43"/>
  <c r="L48" s="1"/>
  <c r="F8"/>
  <c r="F52" s="1"/>
  <c r="G61" i="10"/>
  <c r="D58" i="9"/>
  <c r="L50"/>
  <c r="L56" s="1"/>
  <c r="G58"/>
  <c r="F58"/>
  <c r="F53" i="8"/>
  <c r="G53"/>
  <c r="D53"/>
  <c r="L46"/>
  <c r="L51" s="1"/>
  <c r="G56" i="7"/>
  <c r="D56"/>
  <c r="F56"/>
  <c r="L49"/>
  <c r="L54" s="1"/>
  <c r="G54" i="6"/>
  <c r="F54"/>
  <c r="D54"/>
  <c r="L47"/>
  <c r="L52" s="1"/>
  <c r="G50" i="4"/>
  <c r="F50"/>
  <c r="D50"/>
  <c r="L43"/>
  <c r="L48" s="1"/>
  <c r="G50" i="3"/>
  <c r="F50"/>
  <c r="D50"/>
  <c r="L43"/>
  <c r="L48" s="1"/>
  <c r="D50" i="2"/>
  <c r="G50"/>
  <c r="F50"/>
  <c r="L43"/>
  <c r="L48" s="1"/>
  <c r="G50" i="1"/>
  <c r="F50"/>
  <c r="D50"/>
  <c r="L43"/>
  <c r="L48" s="1"/>
</calcChain>
</file>

<file path=xl/sharedStrings.xml><?xml version="1.0" encoding="utf-8"?>
<sst xmlns="http://schemas.openxmlformats.org/spreadsheetml/2006/main" count="1030" uniqueCount="477">
  <si>
    <t>TGL</t>
  </si>
  <si>
    <t>PEMASUKAN</t>
  </si>
  <si>
    <t>BRUTO</t>
  </si>
  <si>
    <t>BY. KELUAR HARIAN</t>
  </si>
  <si>
    <t>NETT</t>
  </si>
  <si>
    <t>NET TUNAI</t>
  </si>
  <si>
    <t>PENGELUARAN</t>
  </si>
  <si>
    <t>NON TUNAI</t>
  </si>
  <si>
    <t>TUNAI</t>
  </si>
  <si>
    <t>KETERANGAN</t>
  </si>
  <si>
    <t>JUMLAH</t>
  </si>
  <si>
    <t>KET:</t>
  </si>
  <si>
    <t>PENDAPATAN KOTOR</t>
  </si>
  <si>
    <t>PENGELUARAN HARIAN</t>
  </si>
  <si>
    <t>PENGELUARAN BULANAN</t>
  </si>
  <si>
    <t>TOTAL PENGELUARAN</t>
  </si>
  <si>
    <t>LAPORAN BULAN JANUARI 2024</t>
  </si>
  <si>
    <t>PENDAPATAN BERSIH JANUARI 2024</t>
  </si>
  <si>
    <t>LAPORAN BULAN FEBRUARI 2024</t>
  </si>
  <si>
    <t>BYR KK MEGA</t>
  </si>
  <si>
    <t>BLJ DI PUSAT BUAH</t>
  </si>
  <si>
    <t>BELI BAHAN BANGUNAN</t>
  </si>
  <si>
    <t>BYR KC. FILM 3 M / ERIK</t>
  </si>
  <si>
    <t>TF KE OVI / BNI</t>
  </si>
  <si>
    <t>ARISAN + KUR + INDIHOME</t>
  </si>
  <si>
    <t>BELI S. JOK DADONE</t>
  </si>
  <si>
    <t>BELI MESIN INPEK + KUNCI CATRIK</t>
  </si>
  <si>
    <t>BYR S.JOK KE DADONE</t>
  </si>
  <si>
    <t>TRASFER KE OVI / MANDIRI</t>
  </si>
  <si>
    <t>BLJ DI STARBUCK</t>
  </si>
  <si>
    <t>GAJI ETEK</t>
  </si>
  <si>
    <t>GAJI PAK DE</t>
  </si>
  <si>
    <t>TRANSFER KE IQBAL / NAGARI</t>
  </si>
  <si>
    <t>BYR S. JOK / DADONE</t>
  </si>
  <si>
    <t>TOKEN RUMAH</t>
  </si>
  <si>
    <t>TRANSFER KE JKI / CPF 1</t>
  </si>
  <si>
    <t>BYR AUDIO / EMILIA LOURITA</t>
  </si>
  <si>
    <t>TF KE PRIMA INOVASINDO SUKSES</t>
  </si>
  <si>
    <t>BLJ KE PUSAT BUAH</t>
  </si>
  <si>
    <t>TRANSFER KE OVI / MANDIRI</t>
  </si>
  <si>
    <t>KUR SUSAN</t>
  </si>
  <si>
    <t>TRANSFER KE BNI / OVI</t>
  </si>
  <si>
    <t>GAJI PAK DE MIRAN</t>
  </si>
  <si>
    <t>FEE DIRGA / RASH HTM</t>
  </si>
  <si>
    <t>GAJI TUKANG / RIZAL / BNI + HR MINGGU</t>
  </si>
  <si>
    <t>BYR BAN MOBIL / PT KASIH DAMAI ABADI / PERMATA</t>
  </si>
  <si>
    <t>TRANSFER KE GREAT</t>
  </si>
  <si>
    <t>TRANSFER KE OVI / MANDIRI + BYR U. WET</t>
  </si>
  <si>
    <t xml:space="preserve">TOKEN TOKO </t>
  </si>
  <si>
    <t>BYR OBAT</t>
  </si>
  <si>
    <t>TOKE RUMAH</t>
  </si>
  <si>
    <t>TF KE DADONE</t>
  </si>
  <si>
    <t>ARISAN KARTIKA + BEROBAT PANDI</t>
  </si>
  <si>
    <t>TRANSFER KE PRIMA INOVASINDO SUKSES</t>
  </si>
  <si>
    <t>FEE NICO / BCA / INNOVA</t>
  </si>
  <si>
    <t>FEE FAUZAN / BCA / PAJERO</t>
  </si>
  <si>
    <t>BELANJA DI MATAHARI + GAJI ETEK</t>
  </si>
  <si>
    <t>BYR KONTRAK TOKO</t>
  </si>
  <si>
    <t>BAHAN BANGUNAN</t>
  </si>
  <si>
    <t>BYR AUDIO / SUSAN / MANDIRI</t>
  </si>
  <si>
    <t>UPAH TUKANG + DLL</t>
  </si>
  <si>
    <t>BYR BAHAN BANGUNAN</t>
  </si>
  <si>
    <t>BYR PDAM/INDIHOME/UANG SKL KIRANA</t>
  </si>
  <si>
    <t>BYR CAT</t>
  </si>
  <si>
    <t>FEE NANDO</t>
  </si>
  <si>
    <t>TOKEN TOKO</t>
  </si>
  <si>
    <t>TRANSFER KE OVI / BNI</t>
  </si>
  <si>
    <t>BYR KC. FILM / JAYA KREASI</t>
  </si>
  <si>
    <t>BLJ OVI</t>
  </si>
  <si>
    <t>BELI CAT</t>
  </si>
  <si>
    <t>LAPORAN BULAN MARET 2024</t>
  </si>
  <si>
    <t>ARISAN RT</t>
  </si>
  <si>
    <t>GREAT OTOMOTIF INDONESIA</t>
  </si>
  <si>
    <t>5 MEI</t>
  </si>
  <si>
    <t>6 MEI</t>
  </si>
  <si>
    <t>TRANSFER KE HENDRIK</t>
  </si>
  <si>
    <t>7 MEI</t>
  </si>
  <si>
    <t>8 MEI</t>
  </si>
  <si>
    <t>9 MEI</t>
  </si>
  <si>
    <t>10 MEI</t>
  </si>
  <si>
    <t>11 MEI</t>
  </si>
  <si>
    <t>12 MEI</t>
  </si>
  <si>
    <t>BYR INDIHOME</t>
  </si>
  <si>
    <t>13 MEI</t>
  </si>
  <si>
    <t>14 MEI</t>
  </si>
  <si>
    <t>FEE SALES HILUX</t>
  </si>
  <si>
    <t>TRANSFER KE MANDIRI/ OVI</t>
  </si>
  <si>
    <t xml:space="preserve">GAJI DA DERI </t>
  </si>
  <si>
    <t>TRANSFER KE GREAT OTOMOTIF INDONESIA</t>
  </si>
  <si>
    <t>TRANFER KE JAYA KREASI INDONESIA</t>
  </si>
  <si>
    <t>PENGELUARAN + DLL</t>
  </si>
  <si>
    <t>CICILAN NAGARI</t>
  </si>
  <si>
    <t>LAPORAN BULAN APRIL 2024</t>
  </si>
  <si>
    <t>ARISAN KOMPLEK</t>
  </si>
  <si>
    <t>TRANSFER KE MR BOSS</t>
  </si>
  <si>
    <t>TRANSFER KE MANDIRI / OVI</t>
  </si>
  <si>
    <t>BYR HOME CREDIT / LAPTOP</t>
  </si>
  <si>
    <t>TRANSFR KE MANDIRI / OVI</t>
  </si>
  <si>
    <t>PENGELUARAN LEBARAN</t>
  </si>
  <si>
    <t>TRANSFER KE ASMIATI / BCA</t>
  </si>
  <si>
    <t>TRANSFER KE BULMI FAJRI / BRI</t>
  </si>
  <si>
    <t>BYR CICIL BEAT + SERVICR AC</t>
  </si>
  <si>
    <t>TF KE ANDI KUNCORO / BCA</t>
  </si>
  <si>
    <t>TF ARIO / FEE</t>
  </si>
  <si>
    <t>TF AINUN AZIZAH / BRI</t>
  </si>
  <si>
    <t>TF KE OVI / MANDIRI</t>
  </si>
  <si>
    <t>TF KE KRISANT / WINCOS</t>
  </si>
  <si>
    <t>LAPORAN BULAN MEI 2024</t>
  </si>
  <si>
    <t>PENDAPATAN BERSIH MEI 2024</t>
  </si>
  <si>
    <t>PENDAPATAN BERSIH APRIL  2024</t>
  </si>
  <si>
    <t>PENDAPATAN BERSIH MARET 2024</t>
  </si>
  <si>
    <t>PENDAPATAN BERSIH FEBRUARI 2024</t>
  </si>
  <si>
    <t>1 MEI</t>
  </si>
  <si>
    <t>2 MEI</t>
  </si>
  <si>
    <t>3 MEI</t>
  </si>
  <si>
    <t>TF KE GREAT OTOMOTIF INDONESIA</t>
  </si>
  <si>
    <t>4 MEI</t>
  </si>
  <si>
    <t>TF KE SRI RAHAYU / BRI</t>
  </si>
  <si>
    <t>TF KE TEGUH / BCA</t>
  </si>
  <si>
    <t>PELUNASAN KONTRAK TOKO</t>
  </si>
  <si>
    <t>15 MEI</t>
  </si>
  <si>
    <t>16 MEI</t>
  </si>
  <si>
    <t>17 MEI</t>
  </si>
  <si>
    <t>18 MEI</t>
  </si>
  <si>
    <t>19 MEI</t>
  </si>
  <si>
    <t>BYR CICILAN BEAT</t>
  </si>
  <si>
    <t>20 MEI</t>
  </si>
  <si>
    <t>21 MEI</t>
  </si>
  <si>
    <t>BYR INTERNET + PDAM</t>
  </si>
  <si>
    <t>22 MEI</t>
  </si>
  <si>
    <t>23 MEI</t>
  </si>
  <si>
    <t xml:space="preserve">FEE DIRGA </t>
  </si>
  <si>
    <t>24 MEI</t>
  </si>
  <si>
    <t>TF KE IWAN / SALON MOBIL</t>
  </si>
  <si>
    <t>25 MEI</t>
  </si>
  <si>
    <t>BYR HUTANG BANK NAGARI</t>
  </si>
  <si>
    <t>27 MEI</t>
  </si>
  <si>
    <t>TF KE KO MAN ALBANI</t>
  </si>
  <si>
    <t>28 MEI</t>
  </si>
  <si>
    <t>TF KE YULIANTO / BCA</t>
  </si>
  <si>
    <t>29 MEI</t>
  </si>
  <si>
    <t>30 MEI</t>
  </si>
  <si>
    <t>31 MEI</t>
  </si>
  <si>
    <t>TF KE HERY CAHYADI / BCA</t>
  </si>
  <si>
    <t>BIAYA BEROBAT DAYAN</t>
  </si>
  <si>
    <t>LAPORAN BULAN JUNI 2024</t>
  </si>
  <si>
    <t>PENDAPATAN BERSIH JUNI  2024</t>
  </si>
  <si>
    <t>1 JUNI</t>
  </si>
  <si>
    <t>2 JUNI</t>
  </si>
  <si>
    <t>3 JUNI</t>
  </si>
  <si>
    <t>TF KE SARWONO / MANDIRI + SUPIR</t>
  </si>
  <si>
    <t>4 JUNI</t>
  </si>
  <si>
    <t>TF KE JULFI / FEE</t>
  </si>
  <si>
    <t>5 JUNI</t>
  </si>
  <si>
    <t>BELANJA BULANAN</t>
  </si>
  <si>
    <t>6 JUNI</t>
  </si>
  <si>
    <t>BAYAR BAN MOBIL</t>
  </si>
  <si>
    <t>7 JUNI</t>
  </si>
  <si>
    <t>USTAD + UWO</t>
  </si>
  <si>
    <t>8 JUNI</t>
  </si>
  <si>
    <t>9 JUNI</t>
  </si>
  <si>
    <t>10 JUNI</t>
  </si>
  <si>
    <t>11 JUNI</t>
  </si>
  <si>
    <t>12 JUNI</t>
  </si>
  <si>
    <t>TF KE MUSTOPA / BRI</t>
  </si>
  <si>
    <t>13 JUNI</t>
  </si>
  <si>
    <t>BYR KORBAN</t>
  </si>
  <si>
    <t>14 JUNI</t>
  </si>
  <si>
    <t>BELI LEM 3 M CAIR</t>
  </si>
  <si>
    <t>15 JUNI</t>
  </si>
  <si>
    <t>FEE HENDRO / BRIO</t>
  </si>
  <si>
    <t>16 JUNI</t>
  </si>
  <si>
    <t>17 JUNI</t>
  </si>
  <si>
    <t>18 JUNI</t>
  </si>
  <si>
    <t>BEROBAT + TF KE MANDIRI OVI</t>
  </si>
  <si>
    <t>19 JUNI</t>
  </si>
  <si>
    <t>TF KE JAYA SEJAHTERA KONSISTEN / BCA</t>
  </si>
  <si>
    <t>19   JUNI</t>
  </si>
  <si>
    <t>PINJAMAN MEDI</t>
  </si>
  <si>
    <t>20 JUNI</t>
  </si>
  <si>
    <t>21 JUNI</t>
  </si>
  <si>
    <t>22 JUNI</t>
  </si>
  <si>
    <t>FEE DAFRIALDI</t>
  </si>
  <si>
    <t>23 JUNI</t>
  </si>
  <si>
    <t>24 JUNI</t>
  </si>
  <si>
    <t>FEE ROVEL</t>
  </si>
  <si>
    <t>25 JUNI</t>
  </si>
  <si>
    <t>26 JUNI</t>
  </si>
  <si>
    <t>BYR BUNGA BANK NAGARI</t>
  </si>
  <si>
    <t>27 JUNI</t>
  </si>
  <si>
    <t>BYR UTG KE KO MAN</t>
  </si>
  <si>
    <t>28 JUNI</t>
  </si>
  <si>
    <t>BYR KUR SUSAN</t>
  </si>
  <si>
    <t>TF KE JAYA KREASI INDONESIA /BCA</t>
  </si>
  <si>
    <t>29 JUNI</t>
  </si>
  <si>
    <t>30 JUNI</t>
  </si>
  <si>
    <t>BYR S. JOK / HERY CAHYADI</t>
  </si>
  <si>
    <t>LAPORAN BULAN JULI  2024</t>
  </si>
  <si>
    <t>1 JULI</t>
  </si>
  <si>
    <t>BYR S.JOK</t>
  </si>
  <si>
    <t>2 JULI</t>
  </si>
  <si>
    <t>3 JULI</t>
  </si>
  <si>
    <t>4 JULI</t>
  </si>
  <si>
    <t>5 JULI</t>
  </si>
  <si>
    <t>BEROBAR DAYAN</t>
  </si>
  <si>
    <t>6 JULI</t>
  </si>
  <si>
    <t>KARANGAN BUNG JAYENG</t>
  </si>
  <si>
    <t>TF KE HERY CAHYADI / JOK MBTECK</t>
  </si>
  <si>
    <t>7 JULI</t>
  </si>
  <si>
    <t>BYR UTG KE MAN ARAW</t>
  </si>
  <si>
    <t>8 JULI</t>
  </si>
  <si>
    <t>9 JULI</t>
  </si>
  <si>
    <t>BYR UTG KE IWAN KIM</t>
  </si>
  <si>
    <t>BLJ BULANAN / SUZUYA</t>
  </si>
  <si>
    <t>TF KE RUDY GUNAWAN / BNI</t>
  </si>
  <si>
    <t>10 JULI</t>
  </si>
  <si>
    <t>11 JULI</t>
  </si>
  <si>
    <t>12 JULI</t>
  </si>
  <si>
    <t>BYR KEKURANAN BELI HP</t>
  </si>
  <si>
    <t>BELI PIZZA + DA YAN</t>
  </si>
  <si>
    <t>13 JULI</t>
  </si>
  <si>
    <t>TF KE MANDIRI / OVI</t>
  </si>
  <si>
    <t>15 JULI</t>
  </si>
  <si>
    <t>TF KE FATHONI / BRI</t>
  </si>
  <si>
    <t>14 JULI</t>
  </si>
  <si>
    <t>BYR ASURANSI DAYAN + INARA</t>
  </si>
  <si>
    <t>16 JULI</t>
  </si>
  <si>
    <t>17 JULI</t>
  </si>
  <si>
    <t>18 JULI</t>
  </si>
  <si>
    <t>19 JULI</t>
  </si>
  <si>
    <t>TF KE KIKI SANJAYANI / MANDIRI</t>
  </si>
  <si>
    <t>20 JULI</t>
  </si>
  <si>
    <t>21 JULI</t>
  </si>
  <si>
    <t>22 JULI</t>
  </si>
  <si>
    <t>BYR AUDIO / EMILIA / BCA</t>
  </si>
  <si>
    <t>23 JULI</t>
  </si>
  <si>
    <t>24 JULI</t>
  </si>
  <si>
    <t>FEE DIRGA</t>
  </si>
  <si>
    <t>25 JULI</t>
  </si>
  <si>
    <t>TF KE KARTU BANK MEGA</t>
  </si>
  <si>
    <t>26 JULI</t>
  </si>
  <si>
    <t>BYR PERBAIKI PLAFON</t>
  </si>
  <si>
    <t>BYR BUNGA NAGARI</t>
  </si>
  <si>
    <t>27 JULI</t>
  </si>
  <si>
    <t>28 JULI</t>
  </si>
  <si>
    <t>TF KE BNI / OVI</t>
  </si>
  <si>
    <t>29 JULI</t>
  </si>
  <si>
    <t>TF KE DADONE / TALANG AIR</t>
  </si>
  <si>
    <t>FTF KE BNI / OVI</t>
  </si>
  <si>
    <t>30 JULI</t>
  </si>
  <si>
    <t>31 JULI</t>
  </si>
  <si>
    <t>TF KE DADONE / S. JOK</t>
  </si>
  <si>
    <t>BYR UKT FAIZ</t>
  </si>
  <si>
    <t>BLJ OVI + KIRANA +</t>
  </si>
  <si>
    <t xml:space="preserve"> FAIZ</t>
  </si>
  <si>
    <t>LAPORAN BULAN AGUSTUS  2024</t>
  </si>
  <si>
    <t>1 AGUS</t>
  </si>
  <si>
    <t>2 AGUS</t>
  </si>
  <si>
    <t>3 AGUS</t>
  </si>
  <si>
    <t>4 AGUS</t>
  </si>
  <si>
    <t>5 AGUS</t>
  </si>
  <si>
    <t>6 AGUS</t>
  </si>
  <si>
    <t>7 AGUS</t>
  </si>
  <si>
    <t>BLJ DI SUZUYA</t>
  </si>
  <si>
    <t>UANG SKLH INARA + SISA UKT FAIZ</t>
  </si>
  <si>
    <t>8 AGUS</t>
  </si>
  <si>
    <t>BELI K.DASAR</t>
  </si>
  <si>
    <t>9 AGUS</t>
  </si>
  <si>
    <t>10 AGUS</t>
  </si>
  <si>
    <t>11 AGUS</t>
  </si>
  <si>
    <t>12 AGUS</t>
  </si>
  <si>
    <t>13 AGUS</t>
  </si>
  <si>
    <t>14 AGUS</t>
  </si>
  <si>
    <t>15 AGUS</t>
  </si>
  <si>
    <t>16 AGUS</t>
  </si>
  <si>
    <t>17 AGU</t>
  </si>
  <si>
    <t>18 AGUS</t>
  </si>
  <si>
    <t>19 AGUS</t>
  </si>
  <si>
    <t>20 AGUS</t>
  </si>
  <si>
    <t>TF KE KRISANT PUNDIMAS SEJAHTERA</t>
  </si>
  <si>
    <t>TF KE GREAT OYOMOTIF INDONESIA</t>
  </si>
  <si>
    <t>21 AGUS</t>
  </si>
  <si>
    <t>TF KE OVI / MANDIRI / BYR INDIHOME</t>
  </si>
  <si>
    <t>22 AGUS</t>
  </si>
  <si>
    <t>23 AGUS</t>
  </si>
  <si>
    <t>TF JEFRI KURNIAWAN</t>
  </si>
  <si>
    <t>24 AGUS</t>
  </si>
  <si>
    <t>25 AGUS</t>
  </si>
  <si>
    <t>26 AGUS</t>
  </si>
  <si>
    <t>TF KE HENDRIK / I LIKE</t>
  </si>
  <si>
    <t>TF KE NAGARI</t>
  </si>
  <si>
    <t>BLJ PUSAT BUAH</t>
  </si>
  <si>
    <t>TF FEE KE IWAN SURYADI</t>
  </si>
  <si>
    <t>27 AGUS</t>
  </si>
  <si>
    <t>28 AGUS</t>
  </si>
  <si>
    <t>TF KE RAHMI RAHMATUL / FEE</t>
  </si>
  <si>
    <t>29 AGUS</t>
  </si>
  <si>
    <t>30 AGUS</t>
  </si>
  <si>
    <t>31 AGUS</t>
  </si>
  <si>
    <t>TF KE JAYA KREASI INDONESIA / KC. FILM</t>
  </si>
  <si>
    <t>PINJAMAN ETEK</t>
  </si>
  <si>
    <t>FEE TRI HONDA</t>
  </si>
  <si>
    <t>PENGELUARAN BULANAN RUMAH</t>
  </si>
  <si>
    <t>TF KE MANDIRI / OVI / UANG MESJID</t>
  </si>
  <si>
    <t>LAPORAN BULAN SEPTEMBER 2024</t>
  </si>
  <si>
    <t>PENDAPATAN BERSIH SEPTEMBER 2024</t>
  </si>
  <si>
    <t>PENDAPATAN BERSIH AGUSTUS  2024</t>
  </si>
  <si>
    <t>PENDAPATAN BERSIH JULI  2024</t>
  </si>
  <si>
    <t xml:space="preserve">BELI STIKER HITAM DOOF </t>
  </si>
  <si>
    <t xml:space="preserve">TF KE VENTE / </t>
  </si>
  <si>
    <t>UANG SKLH KIRANA + INARA</t>
  </si>
  <si>
    <t>BELI AUDIO / TF KE EMILIA LOURITA / BCA</t>
  </si>
  <si>
    <t>TF KE ELVIN FERONIKO / MANDIRI</t>
  </si>
  <si>
    <t>TF KE AINUL AZIZAH</t>
  </si>
  <si>
    <t>FEE SALES / ANDRE JUFIKO</t>
  </si>
  <si>
    <t>FEE TRI</t>
  </si>
  <si>
    <t>BELI S.JOK / DADONE</t>
  </si>
  <si>
    <t>BELANJA DI BUDIMAN</t>
  </si>
  <si>
    <t xml:space="preserve">FEE HILUX / RIYADH </t>
  </si>
  <si>
    <t>FEE BRIO HITAM</t>
  </si>
  <si>
    <t>TF KE MARDI LESTARI / BRI</t>
  </si>
  <si>
    <t>DINNER</t>
  </si>
  <si>
    <t>TF KE FEBRI FEMIL</t>
  </si>
  <si>
    <t>TF KE BOBI ALHAMRA</t>
  </si>
  <si>
    <t>TF KE MANDIRI / OVI / BYR INDIHOME + PDAM</t>
  </si>
  <si>
    <t>BIAYA SERVICE VARIO</t>
  </si>
  <si>
    <t>BELANJA SUZUYA</t>
  </si>
  <si>
    <t>TF KE JAYA MANDIRI KONSISTENIN</t>
  </si>
  <si>
    <t>TF KE FAIZ</t>
  </si>
  <si>
    <t>TF KE IBU MINA / KARANGAN BUNGA</t>
  </si>
  <si>
    <t>TF KE MAGDALENA / DADONE</t>
  </si>
  <si>
    <t>BEROBAT KE DOKTER ALEX</t>
  </si>
  <si>
    <t>CICILAN BANK NAGARI</t>
  </si>
  <si>
    <t>TF KE JAYA KREASI INDONESIA</t>
  </si>
  <si>
    <t>BIAYA KUBURAN</t>
  </si>
  <si>
    <t>BLJ KELUARGA</t>
  </si>
  <si>
    <t>BELI DAGING</t>
  </si>
  <si>
    <t>LAPORAN BULAN OKTOBER 2024</t>
  </si>
  <si>
    <t>PENDAPATAN BERSIH OKTOBER 2024</t>
  </si>
  <si>
    <t>1 OKT</t>
  </si>
  <si>
    <t>2 OKT</t>
  </si>
  <si>
    <t>FEE TRY</t>
  </si>
  <si>
    <t>TF KE SEHATI PRIMA MAKMUR</t>
  </si>
  <si>
    <t>2 OKY</t>
  </si>
  <si>
    <t>UANG SEKOLAH INARA</t>
  </si>
  <si>
    <t>3 OKT</t>
  </si>
  <si>
    <t>TF KE YOSDEL AFRIZA</t>
  </si>
  <si>
    <t>4 OKT</t>
  </si>
  <si>
    <t>BLJ BULANAN SUZUYA + DLL</t>
  </si>
  <si>
    <t>TF KE PAK ERIK / WINCOS</t>
  </si>
  <si>
    <t>5-OKT</t>
  </si>
  <si>
    <t>BYR EKSPEDISI</t>
  </si>
  <si>
    <t>6-OKT</t>
  </si>
  <si>
    <t>7-OKT</t>
  </si>
  <si>
    <t>8-OKT</t>
  </si>
  <si>
    <t>TF MAGDALENA/DADONE</t>
  </si>
  <si>
    <t>FEE ZAMI</t>
  </si>
  <si>
    <t>9-OKT</t>
  </si>
  <si>
    <t>BYR KARTU KREDIT BANK MEGA</t>
  </si>
  <si>
    <t>9-okt</t>
  </si>
  <si>
    <t>FEE RIYADH</t>
  </si>
  <si>
    <t>10-OKT</t>
  </si>
  <si>
    <t>11-OKT</t>
  </si>
  <si>
    <t>FEE ALFIN</t>
  </si>
  <si>
    <t>TF PUPUT DIANA</t>
  </si>
  <si>
    <t>12-OKT</t>
  </si>
  <si>
    <t>13-OKT</t>
  </si>
  <si>
    <t>BG YAN</t>
  </si>
  <si>
    <t>14-OKT</t>
  </si>
  <si>
    <t>15-OKT</t>
  </si>
  <si>
    <t>ASURANSI BG YAN</t>
  </si>
  <si>
    <t>SEKOLAH INARA</t>
  </si>
  <si>
    <t>16-OKT</t>
  </si>
  <si>
    <t>FEE EGI</t>
  </si>
  <si>
    <t>SERVICE MOTOR VARIO</t>
  </si>
  <si>
    <t>17-OKT</t>
  </si>
  <si>
    <t>EPI</t>
  </si>
  <si>
    <t>19-OKT</t>
  </si>
  <si>
    <t>20-OKT</t>
  </si>
  <si>
    <t>21-OKT</t>
  </si>
  <si>
    <t>TF WINCOS/KRISANT PUNDIMAS S</t>
  </si>
  <si>
    <t>22-OKT</t>
  </si>
  <si>
    <t>TF DADONE/MAGDALENA</t>
  </si>
  <si>
    <t>23-OKT</t>
  </si>
  <si>
    <t>FEE ANDI</t>
  </si>
  <si>
    <t>DP MOTOR VARIO</t>
  </si>
  <si>
    <t>24-OKT</t>
  </si>
  <si>
    <t>18-OKT</t>
  </si>
  <si>
    <t>HP FAIZ</t>
  </si>
  <si>
    <t>BG YAN/SERVICE MOTOR BEAT</t>
  </si>
  <si>
    <t>25-OKT</t>
  </si>
  <si>
    <t>26-OKT</t>
  </si>
  <si>
    <t>TF MANDIRI/SUSANDRA</t>
  </si>
  <si>
    <t>28-OKT</t>
  </si>
  <si>
    <t>TF OVI DIANA</t>
  </si>
  <si>
    <t>BELI BAUT</t>
  </si>
  <si>
    <t>TF JAYA KREASI INDONESIA</t>
  </si>
  <si>
    <t>LISTRIK</t>
  </si>
  <si>
    <t>BANK NAGARI</t>
  </si>
  <si>
    <t>27-OKT</t>
  </si>
  <si>
    <t>29-OKT</t>
  </si>
  <si>
    <t>FEE FADLI</t>
  </si>
  <si>
    <t>BELANJA INARA</t>
  </si>
  <si>
    <t>30-OKT</t>
  </si>
  <si>
    <t>31-OKT</t>
  </si>
  <si>
    <t>BELANJA ANAK</t>
  </si>
  <si>
    <t>KARTU KREDIT</t>
  </si>
  <si>
    <t>BERAS</t>
  </si>
  <si>
    <t>LAPORAN BULAN NOVEMBER 2024</t>
  </si>
  <si>
    <t>PENDAPATAN BERSIH NOVEMBER 2024</t>
  </si>
  <si>
    <t>FEE ROBI</t>
  </si>
  <si>
    <t>LAPORAN BULAN DESEMBER 2024</t>
  </si>
  <si>
    <t>PENDAPATAN BERSIH DESEMBER 2024</t>
  </si>
  <si>
    <t>FEE ALGUSMAN DORI</t>
  </si>
  <si>
    <t>TF KE RAFELLO</t>
  </si>
  <si>
    <t>FEE JEFRI KURNIAWAN</t>
  </si>
  <si>
    <t>TF GAJI ETEK</t>
  </si>
  <si>
    <t>TF FEE YOGI MAROON</t>
  </si>
  <si>
    <t>TF FEE MEKKY HARVIAN</t>
  </si>
  <si>
    <t>ASURANSI INARA</t>
  </si>
  <si>
    <t>FEE ZUGENG</t>
  </si>
  <si>
    <t>FEE MEGA</t>
  </si>
  <si>
    <t>BROBAT BG YAN</t>
  </si>
  <si>
    <t>TF KE NI RAM</t>
  </si>
  <si>
    <t>TF KE DADONE/MAGDALENA</t>
  </si>
  <si>
    <t>OBAT BG YAN</t>
  </si>
  <si>
    <t>TF KE OVI DIANA</t>
  </si>
  <si>
    <t>BAYAR BANK NAGARI</t>
  </si>
  <si>
    <t>BAYAR MOTOR VARIO</t>
  </si>
  <si>
    <t>TFKE MANDIRI/SUSANDRA</t>
  </si>
  <si>
    <t>TF KE DIRGA</t>
  </si>
  <si>
    <t>TF KE OTOPROJEC</t>
  </si>
  <si>
    <t>UANG SEKOLAH KIRANA</t>
  </si>
  <si>
    <t>FEE TAUFIK</t>
  </si>
  <si>
    <t>TF KE RIZALDI/LEM 3M</t>
  </si>
  <si>
    <t>1-DES</t>
  </si>
  <si>
    <t>2-DES</t>
  </si>
  <si>
    <t>3-DES</t>
  </si>
  <si>
    <t>5-DES</t>
  </si>
  <si>
    <t>6-DES</t>
  </si>
  <si>
    <t>7-DES</t>
  </si>
  <si>
    <t>8-DES</t>
  </si>
  <si>
    <t>PINDO KASBON</t>
  </si>
  <si>
    <t>WIFI + PDAM BLN NOVEMBER(LUNAS)</t>
  </si>
  <si>
    <t>9-DES</t>
  </si>
  <si>
    <t>10-DES</t>
  </si>
  <si>
    <t>11-DES</t>
  </si>
  <si>
    <t>BELI OBAT BG YAN</t>
  </si>
  <si>
    <t>12-DES</t>
  </si>
  <si>
    <t>13-DES</t>
  </si>
  <si>
    <t>14-DES</t>
  </si>
  <si>
    <t>15-DES</t>
  </si>
  <si>
    <t>4-DES</t>
  </si>
  <si>
    <t>16-DES</t>
  </si>
  <si>
    <t>ASURANSI BG YAN + INARA</t>
  </si>
  <si>
    <t>17-DES</t>
  </si>
  <si>
    <t>18-DES</t>
  </si>
  <si>
    <t>19-DES</t>
  </si>
  <si>
    <t>20-DES</t>
  </si>
  <si>
    <t>21-DES</t>
  </si>
  <si>
    <t>22-DES</t>
  </si>
  <si>
    <t>23-DES</t>
  </si>
  <si>
    <t>24-DES</t>
  </si>
  <si>
    <t>BYR MOTOR VARIO</t>
  </si>
  <si>
    <t>25-DES</t>
  </si>
  <si>
    <t>26-DES</t>
  </si>
  <si>
    <t>27-DES</t>
  </si>
  <si>
    <t>28-DES</t>
  </si>
  <si>
    <t>29-DES</t>
  </si>
  <si>
    <t>30-DES</t>
  </si>
  <si>
    <t>31-DES</t>
  </si>
  <si>
    <t>BELI MATRAI</t>
  </si>
  <si>
    <t>Rp 37,654,500</t>
  </si>
  <si>
    <t>TF KE ADAM/AKRI</t>
  </si>
  <si>
    <t>TF KE  BANK MANDIRI/SUSANDRA</t>
  </si>
  <si>
    <t>TF KE ANDI MINANG</t>
  </si>
  <si>
    <t>FEE RIKO</t>
  </si>
</sst>
</file>

<file path=xl/styles.xml><?xml version="1.0" encoding="utf-8"?>
<styleSheet xmlns="http://schemas.openxmlformats.org/spreadsheetml/2006/main">
  <numFmts count="4">
    <numFmt numFmtId="164" formatCode="_-&quot;£&quot;* #,##0_-;\-&quot;£&quot;* #,##0_-;_-&quot;£&quot;* &quot;-&quot;_-;_-@_-"/>
    <numFmt numFmtId="165" formatCode="_-* #,##0.00_-;\-* #,##0.00_-;_-* &quot;-&quot;??_-;_-@_-"/>
    <numFmt numFmtId="166" formatCode="_(&quot;Rp&quot;* #,##0_);_(&quot;Rp&quot;* \(#,##0\);_(&quot;Rp&quot;* &quot;-&quot;_);_(@_)"/>
    <numFmt numFmtId="167" formatCode="dd/mm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charset val="1"/>
      <scheme val="minor"/>
    </font>
    <font>
      <b/>
      <u/>
      <sz val="1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charset val="1"/>
      <scheme val="minor"/>
    </font>
    <font>
      <b/>
      <sz val="12"/>
      <color rgb="FFC00000"/>
      <name val="Calibri"/>
      <family val="2"/>
      <scheme val="minor"/>
    </font>
    <font>
      <u/>
      <sz val="11"/>
      <name val="Calibri"/>
      <family val="2"/>
      <charset val="1"/>
      <scheme val="minor"/>
    </font>
    <font>
      <b/>
      <u val="singleAccounting"/>
      <sz val="12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90">
    <xf numFmtId="0" fontId="0" fillId="0" borderId="0" xfId="0"/>
    <xf numFmtId="0" fontId="1" fillId="0" borderId="0" xfId="21"/>
    <xf numFmtId="166" fontId="6" fillId="0" borderId="0" xfId="22" applyNumberFormat="1" applyFont="1" applyFill="1" applyBorder="1" applyAlignment="1">
      <alignment horizontal="center" vertical="center" wrapText="1"/>
    </xf>
    <xf numFmtId="166" fontId="7" fillId="0" borderId="0" xfId="22" applyNumberFormat="1" applyFont="1" applyFill="1" applyAlignment="1">
      <alignment horizontal="center" vertical="center"/>
    </xf>
    <xf numFmtId="0" fontId="8" fillId="0" borderId="0" xfId="21" applyFont="1" applyFill="1" applyAlignment="1"/>
    <xf numFmtId="166" fontId="7" fillId="0" borderId="0" xfId="21" applyNumberFormat="1" applyFont="1" applyFill="1"/>
    <xf numFmtId="166" fontId="7" fillId="0" borderId="0" xfId="22" applyNumberFormat="1" applyFont="1" applyFill="1"/>
    <xf numFmtId="166" fontId="6" fillId="2" borderId="6" xfId="22" applyNumberFormat="1" applyFont="1" applyFill="1" applyBorder="1" applyAlignment="1">
      <alignment horizontal="center" vertical="center"/>
    </xf>
    <xf numFmtId="166" fontId="6" fillId="2" borderId="4" xfId="22" applyNumberFormat="1" applyFont="1" applyFill="1" applyBorder="1" applyAlignment="1">
      <alignment horizontal="center" vertical="center"/>
    </xf>
    <xf numFmtId="167" fontId="7" fillId="0" borderId="6" xfId="21" applyNumberFormat="1" applyFont="1" applyFill="1" applyBorder="1" applyAlignment="1">
      <alignment horizontal="center"/>
    </xf>
    <xf numFmtId="166" fontId="7" fillId="0" borderId="6" xfId="21" applyNumberFormat="1" applyFont="1" applyFill="1" applyBorder="1" applyAlignment="1">
      <alignment horizontal="center"/>
    </xf>
    <xf numFmtId="166" fontId="7" fillId="0" borderId="6" xfId="22" applyNumberFormat="1" applyFont="1" applyFill="1" applyBorder="1" applyAlignment="1">
      <alignment horizontal="center"/>
    </xf>
    <xf numFmtId="16" fontId="7" fillId="0" borderId="6" xfId="21" applyNumberFormat="1" applyFont="1" applyFill="1" applyBorder="1" applyAlignment="1">
      <alignment horizontal="center" vertical="center"/>
    </xf>
    <xf numFmtId="166" fontId="7" fillId="0" borderId="6" xfId="22" applyNumberFormat="1" applyFont="1" applyFill="1" applyBorder="1" applyAlignment="1">
      <alignment horizontal="center" vertical="center"/>
    </xf>
    <xf numFmtId="166" fontId="7" fillId="0" borderId="0" xfId="22" applyNumberFormat="1" applyFont="1" applyFill="1" applyBorder="1" applyAlignment="1">
      <alignment horizontal="center" vertical="center"/>
    </xf>
    <xf numFmtId="0" fontId="7" fillId="0" borderId="6" xfId="21" applyFont="1" applyFill="1" applyBorder="1" applyAlignment="1">
      <alignment horizontal="left" vertical="center" wrapText="1"/>
    </xf>
    <xf numFmtId="166" fontId="4" fillId="0" borderId="6" xfId="22" applyNumberFormat="1" applyFont="1" applyFill="1" applyBorder="1" applyAlignment="1">
      <alignment horizontal="center" vertical="center" wrapText="1"/>
    </xf>
    <xf numFmtId="16" fontId="1" fillId="0" borderId="6" xfId="21" applyNumberFormat="1" applyBorder="1" applyAlignment="1">
      <alignment horizontal="center"/>
    </xf>
    <xf numFmtId="166" fontId="4" fillId="0" borderId="6" xfId="22" applyNumberFormat="1" applyFont="1" applyFill="1" applyBorder="1" applyAlignment="1">
      <alignment wrapText="1"/>
    </xf>
    <xf numFmtId="166" fontId="7" fillId="0" borderId="0" xfId="22" applyNumberFormat="1" applyFont="1" applyFill="1" applyAlignment="1">
      <alignment horizontal="right" vertical="center" wrapText="1"/>
    </xf>
    <xf numFmtId="16" fontId="7" fillId="0" borderId="6" xfId="21" applyNumberFormat="1" applyFont="1" applyFill="1" applyBorder="1" applyAlignment="1">
      <alignment horizontal="center" vertical="center" wrapText="1"/>
    </xf>
    <xf numFmtId="0" fontId="7" fillId="0" borderId="6" xfId="21" applyFont="1" applyFill="1" applyBorder="1" applyAlignment="1">
      <alignment horizontal="left" vertical="center"/>
    </xf>
    <xf numFmtId="166" fontId="7" fillId="0" borderId="0" xfId="22" applyNumberFormat="1" applyFont="1" applyFill="1" applyAlignment="1">
      <alignment vertical="center"/>
    </xf>
    <xf numFmtId="0" fontId="7" fillId="0" borderId="6" xfId="21" applyFont="1" applyFill="1" applyBorder="1" applyAlignment="1">
      <alignment vertical="center" wrapText="1"/>
    </xf>
    <xf numFmtId="166" fontId="7" fillId="0" borderId="0" xfId="22" applyNumberFormat="1" applyFont="1" applyFill="1" applyBorder="1" applyAlignment="1">
      <alignment horizontal="left" vertical="center"/>
    </xf>
    <xf numFmtId="0" fontId="7" fillId="0" borderId="6" xfId="21" applyFont="1" applyFill="1" applyBorder="1" applyAlignment="1">
      <alignment wrapText="1"/>
    </xf>
    <xf numFmtId="0" fontId="1" fillId="0" borderId="0" xfId="21" applyFill="1" applyAlignment="1"/>
    <xf numFmtId="16" fontId="7" fillId="0" borderId="6" xfId="21" applyNumberFormat="1" applyFont="1" applyFill="1" applyBorder="1" applyAlignment="1">
      <alignment horizontal="center"/>
    </xf>
    <xf numFmtId="0" fontId="1" fillId="0" borderId="0" xfId="21" applyAlignment="1"/>
    <xf numFmtId="0" fontId="1" fillId="0" borderId="0" xfId="21" applyFill="1"/>
    <xf numFmtId="0" fontId="7" fillId="0" borderId="6" xfId="21" applyFont="1" applyFill="1" applyBorder="1"/>
    <xf numFmtId="0" fontId="1" fillId="0" borderId="0" xfId="21" applyFill="1" applyAlignment="1">
      <alignment wrapText="1"/>
    </xf>
    <xf numFmtId="16" fontId="7" fillId="0" borderId="6" xfId="21" applyNumberFormat="1" applyFont="1" applyFill="1" applyBorder="1" applyAlignment="1">
      <alignment horizontal="center" wrapText="1"/>
    </xf>
    <xf numFmtId="166" fontId="4" fillId="0" borderId="0" xfId="22" applyNumberFormat="1" applyFont="1" applyFill="1" applyBorder="1" applyAlignment="1">
      <alignment horizontal="center" vertical="center"/>
    </xf>
    <xf numFmtId="16" fontId="7" fillId="0" borderId="6" xfId="21" applyNumberFormat="1" applyFont="1" applyFill="1" applyBorder="1" applyAlignment="1">
      <alignment vertical="center"/>
    </xf>
    <xf numFmtId="167" fontId="7" fillId="0" borderId="0" xfId="21" applyNumberFormat="1" applyFont="1" applyFill="1" applyAlignment="1"/>
    <xf numFmtId="14" fontId="7" fillId="0" borderId="0" xfId="21" applyNumberFormat="1" applyFont="1" applyFill="1"/>
    <xf numFmtId="166" fontId="6" fillId="0" borderId="0" xfId="22" applyNumberFormat="1" applyFont="1" applyFill="1"/>
    <xf numFmtId="0" fontId="2" fillId="0" borderId="0" xfId="21" applyFont="1" applyFill="1"/>
    <xf numFmtId="0" fontId="7" fillId="0" borderId="0" xfId="21" applyFont="1" applyFill="1" applyAlignment="1"/>
    <xf numFmtId="0" fontId="10" fillId="0" borderId="0" xfId="21" applyFont="1" applyFill="1"/>
    <xf numFmtId="166" fontId="11" fillId="0" borderId="0" xfId="22" applyNumberFormat="1" applyFont="1" applyFill="1"/>
    <xf numFmtId="0" fontId="7" fillId="0" borderId="0" xfId="21" applyFont="1" applyFill="1"/>
    <xf numFmtId="166" fontId="13" fillId="0" borderId="0" xfId="22" applyNumberFormat="1" applyFont="1" applyFill="1"/>
    <xf numFmtId="166" fontId="2" fillId="0" borderId="6" xfId="22" applyNumberFormat="1" applyFont="1" applyBorder="1" applyAlignment="1">
      <alignment horizontal="center" vertical="center"/>
    </xf>
    <xf numFmtId="166" fontId="1" fillId="0" borderId="0" xfId="21" applyNumberFormat="1"/>
    <xf numFmtId="0" fontId="7" fillId="0" borderId="6" xfId="21" applyFont="1" applyFill="1" applyBorder="1" applyAlignment="1">
      <alignment vertical="center"/>
    </xf>
    <xf numFmtId="0" fontId="7" fillId="0" borderId="6" xfId="21" applyFont="1" applyFill="1" applyBorder="1" applyAlignment="1">
      <alignment horizontal="left" wrapText="1"/>
    </xf>
    <xf numFmtId="166" fontId="4" fillId="0" borderId="6" xfId="22" applyNumberFormat="1" applyFont="1" applyFill="1" applyBorder="1" applyAlignment="1">
      <alignment vertical="center" wrapText="1"/>
    </xf>
    <xf numFmtId="16" fontId="7" fillId="3" borderId="6" xfId="21" applyNumberFormat="1" applyFont="1" applyFill="1" applyBorder="1" applyAlignment="1">
      <alignment horizontal="center" vertical="center"/>
    </xf>
    <xf numFmtId="166" fontId="7" fillId="3" borderId="6" xfId="22" applyNumberFormat="1" applyFont="1" applyFill="1" applyBorder="1" applyAlignment="1">
      <alignment horizontal="center" vertical="center"/>
    </xf>
    <xf numFmtId="166" fontId="7" fillId="3" borderId="0" xfId="22" applyNumberFormat="1" applyFont="1" applyFill="1" applyBorder="1" applyAlignment="1">
      <alignment horizontal="center" vertical="center"/>
    </xf>
    <xf numFmtId="166" fontId="7" fillId="3" borderId="0" xfId="22" applyNumberFormat="1" applyFont="1" applyFill="1" applyBorder="1" applyAlignment="1">
      <alignment horizontal="left" vertical="center"/>
    </xf>
    <xf numFmtId="166" fontId="14" fillId="3" borderId="6" xfId="22" applyNumberFormat="1" applyFont="1" applyFill="1" applyBorder="1" applyAlignment="1">
      <alignment horizontal="center" vertical="center"/>
    </xf>
    <xf numFmtId="166" fontId="7" fillId="6" borderId="6" xfId="22" applyNumberFormat="1" applyFont="1" applyFill="1" applyBorder="1" applyAlignment="1">
      <alignment horizontal="center" vertical="center"/>
    </xf>
    <xf numFmtId="166" fontId="14" fillId="6" borderId="6" xfId="22" applyNumberFormat="1" applyFont="1" applyFill="1" applyBorder="1" applyAlignment="1">
      <alignment horizontal="center" vertical="center"/>
    </xf>
    <xf numFmtId="166" fontId="7" fillId="5" borderId="6" xfId="22" applyNumberFormat="1" applyFont="1" applyFill="1" applyBorder="1" applyAlignment="1">
      <alignment horizontal="center" vertical="center"/>
    </xf>
    <xf numFmtId="166" fontId="14" fillId="5" borderId="6" xfId="22" applyNumberFormat="1" applyFont="1" applyFill="1" applyBorder="1" applyAlignment="1">
      <alignment horizontal="center" vertical="center"/>
    </xf>
    <xf numFmtId="166" fontId="7" fillId="4" borderId="6" xfId="22" applyNumberFormat="1" applyFont="1" applyFill="1" applyBorder="1" applyAlignment="1">
      <alignment horizontal="center" vertical="center"/>
    </xf>
    <xf numFmtId="166" fontId="14" fillId="4" borderId="6" xfId="22" applyNumberFormat="1" applyFont="1" applyFill="1" applyBorder="1" applyAlignment="1">
      <alignment horizontal="center" vertical="center"/>
    </xf>
    <xf numFmtId="166" fontId="6" fillId="6" borderId="0" xfId="22" applyNumberFormat="1" applyFont="1" applyFill="1"/>
    <xf numFmtId="166" fontId="11" fillId="5" borderId="0" xfId="22" applyNumberFormat="1" applyFont="1" applyFill="1"/>
    <xf numFmtId="166" fontId="9" fillId="5" borderId="6" xfId="22" applyNumberFormat="1" applyFont="1" applyFill="1" applyBorder="1" applyAlignment="1">
      <alignment vertical="center"/>
    </xf>
    <xf numFmtId="0" fontId="0" fillId="0" borderId="6" xfId="21" applyFont="1" applyBorder="1"/>
    <xf numFmtId="0" fontId="1" fillId="3" borderId="6" xfId="21" applyFill="1" applyBorder="1"/>
    <xf numFmtId="0" fontId="1" fillId="5" borderId="6" xfId="21" applyFill="1" applyBorder="1"/>
    <xf numFmtId="0" fontId="1" fillId="6" borderId="6" xfId="21" applyFill="1" applyBorder="1"/>
    <xf numFmtId="0" fontId="1" fillId="4" borderId="6" xfId="21" applyFill="1" applyBorder="1"/>
    <xf numFmtId="16" fontId="0" fillId="0" borderId="6" xfId="21" applyNumberFormat="1" applyFont="1" applyBorder="1" applyAlignment="1">
      <alignment horizontal="center"/>
    </xf>
    <xf numFmtId="166" fontId="6" fillId="2" borderId="4" xfId="22" applyNumberFormat="1" applyFont="1" applyFill="1" applyBorder="1" applyAlignment="1">
      <alignment horizontal="center" vertical="center"/>
    </xf>
    <xf numFmtId="16" fontId="7" fillId="7" borderId="6" xfId="21" applyNumberFormat="1" applyFont="1" applyFill="1" applyBorder="1" applyAlignment="1">
      <alignment horizontal="center" vertical="center"/>
    </xf>
    <xf numFmtId="166" fontId="7" fillId="7" borderId="6" xfId="22" applyNumberFormat="1" applyFont="1" applyFill="1" applyBorder="1" applyAlignment="1">
      <alignment horizontal="center" vertical="center"/>
    </xf>
    <xf numFmtId="166" fontId="6" fillId="2" borderId="4" xfId="22" applyNumberFormat="1" applyFont="1" applyFill="1" applyBorder="1" applyAlignment="1">
      <alignment horizontal="center" vertical="center"/>
    </xf>
    <xf numFmtId="166" fontId="9" fillId="3" borderId="6" xfId="22" applyNumberFormat="1" applyFont="1" applyFill="1" applyBorder="1" applyAlignment="1">
      <alignment vertical="center"/>
    </xf>
    <xf numFmtId="0" fontId="0" fillId="3" borderId="0" xfId="0" applyFill="1"/>
    <xf numFmtId="166" fontId="9" fillId="8" borderId="6" xfId="22" applyNumberFormat="1" applyFont="1" applyFill="1" applyBorder="1" applyAlignment="1">
      <alignment vertical="center"/>
    </xf>
    <xf numFmtId="166" fontId="6" fillId="2" borderId="4" xfId="22" applyNumberFormat="1" applyFont="1" applyFill="1" applyBorder="1" applyAlignment="1">
      <alignment horizontal="center" vertical="center"/>
    </xf>
    <xf numFmtId="166" fontId="6" fillId="2" borderId="4" xfId="22" applyNumberFormat="1" applyFont="1" applyFill="1" applyBorder="1" applyAlignment="1">
      <alignment horizontal="center" vertical="center"/>
    </xf>
    <xf numFmtId="166" fontId="6" fillId="2" borderId="2" xfId="22" applyNumberFormat="1" applyFont="1" applyFill="1" applyBorder="1" applyAlignment="1">
      <alignment horizontal="center" vertical="center" wrapText="1"/>
    </xf>
    <xf numFmtId="166" fontId="6" fillId="2" borderId="5" xfId="22" applyNumberFormat="1" applyFont="1" applyFill="1" applyBorder="1" applyAlignment="1">
      <alignment horizontal="center" vertical="center" wrapText="1"/>
    </xf>
    <xf numFmtId="0" fontId="12" fillId="0" borderId="0" xfId="21" applyFont="1" applyFill="1" applyAlignment="1">
      <alignment horizontal="center"/>
    </xf>
    <xf numFmtId="0" fontId="5" fillId="0" borderId="0" xfId="21" applyFont="1" applyAlignment="1">
      <alignment horizontal="left" vertical="center"/>
    </xf>
    <xf numFmtId="0" fontId="1" fillId="0" borderId="0" xfId="21" applyAlignment="1">
      <alignment horizontal="left" vertical="center"/>
    </xf>
    <xf numFmtId="0" fontId="1" fillId="0" borderId="1" xfId="21" applyBorder="1" applyAlignment="1">
      <alignment horizontal="left" vertical="center"/>
    </xf>
    <xf numFmtId="0" fontId="6" fillId="2" borderId="2" xfId="21" applyFont="1" applyFill="1" applyBorder="1" applyAlignment="1">
      <alignment horizontal="center" vertical="center"/>
    </xf>
    <xf numFmtId="0" fontId="6" fillId="2" borderId="5" xfId="21" applyFont="1" applyFill="1" applyBorder="1" applyAlignment="1">
      <alignment horizontal="center" vertical="center"/>
    </xf>
    <xf numFmtId="166" fontId="6" fillId="2" borderId="3" xfId="22" applyNumberFormat="1" applyFont="1" applyFill="1" applyBorder="1" applyAlignment="1">
      <alignment horizontal="center" vertical="center"/>
    </xf>
    <xf numFmtId="166" fontId="6" fillId="2" borderId="4" xfId="22" applyNumberFormat="1" applyFont="1" applyFill="1" applyBorder="1" applyAlignment="1">
      <alignment horizontal="center" vertical="center"/>
    </xf>
    <xf numFmtId="166" fontId="6" fillId="2" borderId="2" xfId="22" applyNumberFormat="1" applyFont="1" applyFill="1" applyBorder="1" applyAlignment="1">
      <alignment horizontal="center" vertical="center"/>
    </xf>
    <xf numFmtId="166" fontId="6" fillId="2" borderId="5" xfId="22" applyNumberFormat="1" applyFont="1" applyFill="1" applyBorder="1" applyAlignment="1">
      <alignment horizontal="center" vertical="center"/>
    </xf>
  </cellXfs>
  <cellStyles count="23">
    <cellStyle name="Comma 10" xfId="18"/>
    <cellStyle name="Currency [0] 10" xfId="17"/>
    <cellStyle name="Currency [0] 11" xfId="20"/>
    <cellStyle name="Currency [0] 12" xfId="22"/>
    <cellStyle name="Currency [0] 2" xfId="3"/>
    <cellStyle name="Currency [0] 3" xfId="5"/>
    <cellStyle name="Currency [0] 4" xfId="7"/>
    <cellStyle name="Currency [0] 5" xfId="9"/>
    <cellStyle name="Currency [0] 8" xfId="13"/>
    <cellStyle name="Currency [0] 9" xfId="15"/>
    <cellStyle name="Normal" xfId="0" builtinId="0"/>
    <cellStyle name="Normal 10" xfId="16"/>
    <cellStyle name="Normal 11" xfId="19"/>
    <cellStyle name="Normal 12" xfId="21"/>
    <cellStyle name="Normal 13" xfId="1"/>
    <cellStyle name="Normal 2" xfId="2"/>
    <cellStyle name="Normal 3" xfId="4"/>
    <cellStyle name="Normal 4" xfId="6"/>
    <cellStyle name="Normal 5" xfId="8"/>
    <cellStyle name="Normal 6" xfId="10"/>
    <cellStyle name="Normal 7" xfId="11"/>
    <cellStyle name="Normal 8" xfId="12"/>
    <cellStyle name="Normal 9" xfId="1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L51"/>
  <sheetViews>
    <sheetView workbookViewId="0">
      <selection activeCell="A2" sqref="A2:M53"/>
    </sheetView>
  </sheetViews>
  <sheetFormatPr defaultRowHeight="15"/>
  <cols>
    <col min="2" max="2" width="15" customWidth="1"/>
    <col min="3" max="3" width="14.85546875" customWidth="1"/>
    <col min="4" max="4" width="14.7109375" customWidth="1"/>
    <col min="5" max="5" width="15.5703125" customWidth="1"/>
    <col min="6" max="7" width="15" customWidth="1"/>
    <col min="11" max="11" width="50.5703125" customWidth="1"/>
    <col min="12" max="12" width="17" customWidth="1"/>
  </cols>
  <sheetData>
    <row r="2" spans="1:12">
      <c r="A2" s="81" t="s">
        <v>16</v>
      </c>
      <c r="B2" s="82"/>
      <c r="C2" s="82"/>
      <c r="D2" s="82"/>
      <c r="E2" s="82"/>
      <c r="F2" s="1"/>
      <c r="G2" s="1"/>
      <c r="H2" s="1"/>
      <c r="I2" s="1"/>
      <c r="J2" s="1"/>
      <c r="K2" s="1"/>
      <c r="L2" s="1"/>
    </row>
    <row r="3" spans="1:12">
      <c r="A3" s="83"/>
      <c r="B3" s="83"/>
      <c r="C3" s="83"/>
      <c r="D3" s="83"/>
      <c r="E3" s="83"/>
      <c r="F3" s="1"/>
      <c r="G3" s="1"/>
      <c r="H3" s="1"/>
      <c r="I3" s="1"/>
      <c r="J3" s="1"/>
      <c r="K3" s="1"/>
      <c r="L3" s="1"/>
    </row>
    <row r="4" spans="1:12" ht="15.75">
      <c r="A4" s="84" t="s">
        <v>0</v>
      </c>
      <c r="B4" s="86" t="s">
        <v>1</v>
      </c>
      <c r="C4" s="87"/>
      <c r="D4" s="88" t="s">
        <v>2</v>
      </c>
      <c r="E4" s="78" t="s">
        <v>3</v>
      </c>
      <c r="F4" s="88" t="s">
        <v>4</v>
      </c>
      <c r="G4" s="78" t="s">
        <v>5</v>
      </c>
      <c r="H4" s="2"/>
      <c r="I4" s="3"/>
      <c r="J4" s="4" t="s">
        <v>6</v>
      </c>
      <c r="K4" s="5"/>
      <c r="L4" s="6"/>
    </row>
    <row r="5" spans="1:12" ht="15.75">
      <c r="A5" s="85"/>
      <c r="B5" s="7" t="s">
        <v>7</v>
      </c>
      <c r="C5" s="8" t="s">
        <v>8</v>
      </c>
      <c r="D5" s="89"/>
      <c r="E5" s="79"/>
      <c r="F5" s="89"/>
      <c r="G5" s="79"/>
      <c r="H5" s="2"/>
      <c r="I5" s="3"/>
      <c r="J5" s="9" t="s">
        <v>0</v>
      </c>
      <c r="K5" s="10" t="s">
        <v>9</v>
      </c>
      <c r="L5" s="11" t="s">
        <v>10</v>
      </c>
    </row>
    <row r="6" spans="1:12">
      <c r="A6" s="49"/>
      <c r="B6" s="64"/>
      <c r="C6" s="64"/>
      <c r="D6" s="66"/>
      <c r="E6" s="65"/>
      <c r="F6" s="64"/>
      <c r="G6" s="67"/>
      <c r="H6" s="51"/>
      <c r="I6" s="6"/>
      <c r="J6" s="12">
        <v>45293</v>
      </c>
      <c r="K6" s="15" t="s">
        <v>19</v>
      </c>
      <c r="L6" s="16">
        <v>1000000</v>
      </c>
    </row>
    <row r="7" spans="1:12">
      <c r="A7" s="49">
        <v>45293</v>
      </c>
      <c r="B7" s="50">
        <v>3800000</v>
      </c>
      <c r="C7" s="50">
        <v>1665000</v>
      </c>
      <c r="D7" s="54">
        <f>B7+C7</f>
        <v>5465000</v>
      </c>
      <c r="E7" s="56">
        <v>1720000</v>
      </c>
      <c r="F7" s="50">
        <f t="shared" ref="F7:F18" si="0">D7-E7</f>
        <v>3745000</v>
      </c>
      <c r="G7" s="58">
        <f t="shared" ref="G7:G18" si="1">C7-E7</f>
        <v>-55000</v>
      </c>
      <c r="H7" s="51"/>
      <c r="I7" s="6"/>
      <c r="J7" s="68">
        <v>45293</v>
      </c>
      <c r="K7" s="63" t="s">
        <v>20</v>
      </c>
      <c r="L7" s="18">
        <v>1000000</v>
      </c>
    </row>
    <row r="8" spans="1:12">
      <c r="A8" s="12">
        <v>45294</v>
      </c>
      <c r="B8" s="13">
        <v>1350000</v>
      </c>
      <c r="C8" s="13">
        <v>350000</v>
      </c>
      <c r="D8" s="54">
        <f>B8+C8</f>
        <v>1700000</v>
      </c>
      <c r="E8" s="56">
        <v>1740000</v>
      </c>
      <c r="F8" s="13">
        <f t="shared" si="0"/>
        <v>-40000</v>
      </c>
      <c r="G8" s="58">
        <f t="shared" si="1"/>
        <v>-1390000</v>
      </c>
      <c r="H8" s="14"/>
      <c r="I8" s="19"/>
      <c r="J8" s="68">
        <v>45293</v>
      </c>
      <c r="K8" s="63" t="s">
        <v>21</v>
      </c>
      <c r="L8" s="18">
        <v>5210000</v>
      </c>
    </row>
    <row r="9" spans="1:12">
      <c r="A9" s="12">
        <v>45295</v>
      </c>
      <c r="B9" s="13">
        <v>6050000</v>
      </c>
      <c r="C9" s="13">
        <v>2400000</v>
      </c>
      <c r="D9" s="54">
        <f>B9+C9</f>
        <v>8450000</v>
      </c>
      <c r="E9" s="56">
        <v>1720000</v>
      </c>
      <c r="F9" s="13">
        <f t="shared" si="0"/>
        <v>6730000</v>
      </c>
      <c r="G9" s="58">
        <f t="shared" si="1"/>
        <v>680000</v>
      </c>
      <c r="H9" s="14"/>
      <c r="I9" s="6"/>
      <c r="J9" s="20">
        <v>45295</v>
      </c>
      <c r="K9" s="21" t="s">
        <v>22</v>
      </c>
      <c r="L9" s="18">
        <v>21200000</v>
      </c>
    </row>
    <row r="10" spans="1:12">
      <c r="A10" s="12">
        <v>45296</v>
      </c>
      <c r="B10" s="13">
        <v>12750000</v>
      </c>
      <c r="C10" s="13">
        <v>1825000</v>
      </c>
      <c r="D10" s="54">
        <f>B10+C10</f>
        <v>14575000</v>
      </c>
      <c r="E10" s="56">
        <v>2320000</v>
      </c>
      <c r="F10" s="50">
        <f t="shared" si="0"/>
        <v>12255000</v>
      </c>
      <c r="G10" s="58">
        <f t="shared" si="1"/>
        <v>-495000</v>
      </c>
      <c r="H10" s="14"/>
      <c r="I10" s="22"/>
      <c r="J10" s="20">
        <v>45298</v>
      </c>
      <c r="K10" s="46" t="s">
        <v>23</v>
      </c>
      <c r="L10" s="18">
        <v>2600000</v>
      </c>
    </row>
    <row r="11" spans="1:12">
      <c r="A11" s="12">
        <v>45297</v>
      </c>
      <c r="B11" s="13">
        <v>4450000</v>
      </c>
      <c r="C11" s="13">
        <v>2800000</v>
      </c>
      <c r="D11" s="54">
        <f>B11+C11</f>
        <v>7250000</v>
      </c>
      <c r="E11" s="56">
        <v>3225000</v>
      </c>
      <c r="F11" s="50">
        <f t="shared" si="0"/>
        <v>4025000</v>
      </c>
      <c r="G11" s="58">
        <f t="shared" si="1"/>
        <v>-425000</v>
      </c>
      <c r="H11" s="14"/>
      <c r="I11" s="22"/>
      <c r="J11" s="12">
        <v>45300</v>
      </c>
      <c r="K11" s="63" t="s">
        <v>24</v>
      </c>
      <c r="L11" s="18">
        <v>8100000</v>
      </c>
    </row>
    <row r="12" spans="1:12">
      <c r="A12" s="12">
        <v>45298</v>
      </c>
      <c r="B12" s="13"/>
      <c r="C12" s="50">
        <v>1000000</v>
      </c>
      <c r="D12" s="54">
        <v>1000000</v>
      </c>
      <c r="E12" s="56">
        <v>545000</v>
      </c>
      <c r="F12" s="13">
        <f t="shared" si="0"/>
        <v>455000</v>
      </c>
      <c r="G12" s="58">
        <f t="shared" si="1"/>
        <v>455000</v>
      </c>
      <c r="H12" s="14"/>
      <c r="I12" s="6"/>
      <c r="J12" s="12">
        <v>45301</v>
      </c>
      <c r="K12" s="21" t="s">
        <v>25</v>
      </c>
      <c r="L12" s="18">
        <v>840000</v>
      </c>
    </row>
    <row r="13" spans="1:12">
      <c r="A13" s="12">
        <v>45299</v>
      </c>
      <c r="B13" s="13">
        <v>11000000</v>
      </c>
      <c r="C13" s="13">
        <v>1120000</v>
      </c>
      <c r="D13" s="54">
        <f t="shared" ref="D13:D18" si="2">B13+C13</f>
        <v>12120000</v>
      </c>
      <c r="E13" s="56">
        <v>1970000</v>
      </c>
      <c r="F13" s="13">
        <f t="shared" si="0"/>
        <v>10150000</v>
      </c>
      <c r="G13" s="58">
        <f t="shared" si="1"/>
        <v>-850000</v>
      </c>
      <c r="H13" s="14"/>
      <c r="I13" s="6"/>
      <c r="J13" s="12">
        <v>45301</v>
      </c>
      <c r="K13" s="15" t="s">
        <v>21</v>
      </c>
      <c r="L13" s="18">
        <v>2295000</v>
      </c>
    </row>
    <row r="14" spans="1:12">
      <c r="A14" s="49">
        <v>45300</v>
      </c>
      <c r="B14" s="50">
        <v>2000000</v>
      </c>
      <c r="C14" s="50">
        <v>2200000</v>
      </c>
      <c r="D14" s="54">
        <f t="shared" si="2"/>
        <v>4200000</v>
      </c>
      <c r="E14" s="56">
        <v>1615000</v>
      </c>
      <c r="F14" s="50">
        <f t="shared" si="0"/>
        <v>2585000</v>
      </c>
      <c r="G14" s="58">
        <f t="shared" si="1"/>
        <v>585000</v>
      </c>
      <c r="H14" s="52"/>
      <c r="I14" s="6"/>
      <c r="J14" s="12">
        <v>45301</v>
      </c>
      <c r="K14" s="25" t="s">
        <v>26</v>
      </c>
      <c r="L14" s="18">
        <v>880000</v>
      </c>
    </row>
    <row r="15" spans="1:12">
      <c r="A15" s="12">
        <v>45301</v>
      </c>
      <c r="B15" s="13">
        <v>400000</v>
      </c>
      <c r="C15" s="13">
        <v>1900000</v>
      </c>
      <c r="D15" s="54">
        <f t="shared" si="2"/>
        <v>2300000</v>
      </c>
      <c r="E15" s="56">
        <v>1840000</v>
      </c>
      <c r="F15" s="13">
        <f t="shared" si="0"/>
        <v>460000</v>
      </c>
      <c r="G15" s="58">
        <f t="shared" si="1"/>
        <v>60000</v>
      </c>
      <c r="H15" s="24"/>
      <c r="I15" s="22"/>
      <c r="J15" s="12">
        <v>45302</v>
      </c>
      <c r="K15" s="25" t="s">
        <v>27</v>
      </c>
      <c r="L15" s="18">
        <v>840000</v>
      </c>
    </row>
    <row r="16" spans="1:12">
      <c r="A16" s="12">
        <v>45302</v>
      </c>
      <c r="B16" s="13">
        <v>3150000</v>
      </c>
      <c r="C16" s="13">
        <v>650000</v>
      </c>
      <c r="D16" s="54">
        <f t="shared" si="2"/>
        <v>3800000</v>
      </c>
      <c r="E16" s="56">
        <v>2060000</v>
      </c>
      <c r="F16" s="13">
        <f t="shared" si="0"/>
        <v>1740000</v>
      </c>
      <c r="G16" s="58">
        <f t="shared" si="1"/>
        <v>-1410000</v>
      </c>
      <c r="H16" s="24"/>
      <c r="I16" s="26"/>
      <c r="J16" s="27">
        <v>45303</v>
      </c>
      <c r="K16" s="47" t="s">
        <v>28</v>
      </c>
      <c r="L16" s="48">
        <v>5700000</v>
      </c>
    </row>
    <row r="17" spans="1:12">
      <c r="A17" s="12">
        <v>45303</v>
      </c>
      <c r="B17" s="13">
        <v>5600000</v>
      </c>
      <c r="C17" s="13">
        <v>300000</v>
      </c>
      <c r="D17" s="54">
        <f t="shared" si="2"/>
        <v>5900000</v>
      </c>
      <c r="E17" s="56">
        <v>2495000</v>
      </c>
      <c r="F17" s="13">
        <f t="shared" si="0"/>
        <v>3405000</v>
      </c>
      <c r="G17" s="58">
        <f t="shared" si="1"/>
        <v>-2195000</v>
      </c>
      <c r="H17" s="24"/>
      <c r="I17" s="26"/>
      <c r="J17" s="12">
        <v>45305</v>
      </c>
      <c r="K17" s="25" t="s">
        <v>28</v>
      </c>
      <c r="L17" s="18">
        <v>650000</v>
      </c>
    </row>
    <row r="18" spans="1:12">
      <c r="A18" s="12">
        <v>45304</v>
      </c>
      <c r="B18" s="13">
        <v>18110000</v>
      </c>
      <c r="C18" s="13">
        <v>3640000</v>
      </c>
      <c r="D18" s="54">
        <f t="shared" si="2"/>
        <v>21750000</v>
      </c>
      <c r="E18" s="56">
        <v>1935000</v>
      </c>
      <c r="F18" s="13">
        <f t="shared" si="0"/>
        <v>19815000</v>
      </c>
      <c r="G18" s="58">
        <f t="shared" si="1"/>
        <v>1705000</v>
      </c>
      <c r="H18" s="24"/>
      <c r="I18" s="29"/>
      <c r="J18" s="12">
        <v>45305</v>
      </c>
      <c r="K18" s="23" t="s">
        <v>29</v>
      </c>
      <c r="L18" s="18">
        <v>500000</v>
      </c>
    </row>
    <row r="19" spans="1:12">
      <c r="A19" s="12">
        <v>45305</v>
      </c>
      <c r="B19" s="13"/>
      <c r="C19" s="13"/>
      <c r="D19" s="54"/>
      <c r="E19" s="56"/>
      <c r="F19" s="13"/>
      <c r="G19" s="58"/>
      <c r="H19" s="24"/>
      <c r="I19" s="29"/>
      <c r="J19" s="27">
        <v>45307</v>
      </c>
      <c r="K19" s="30" t="s">
        <v>30</v>
      </c>
      <c r="L19" s="18">
        <v>1300000</v>
      </c>
    </row>
    <row r="20" spans="1:12">
      <c r="A20" s="12">
        <v>45306</v>
      </c>
      <c r="B20" s="13">
        <v>6500000</v>
      </c>
      <c r="C20" s="13">
        <v>3450000</v>
      </c>
      <c r="D20" s="54">
        <f>B20+C20</f>
        <v>9950000</v>
      </c>
      <c r="E20" s="56">
        <v>3230000</v>
      </c>
      <c r="F20" s="13">
        <f t="shared" ref="F20:F25" si="3">D20-E20</f>
        <v>6720000</v>
      </c>
      <c r="G20" s="58">
        <f t="shared" ref="G20:G25" si="4">C20-E20</f>
        <v>220000</v>
      </c>
      <c r="H20" s="24"/>
      <c r="I20" s="31"/>
      <c r="J20" s="32">
        <v>45307</v>
      </c>
      <c r="K20" s="23" t="s">
        <v>31</v>
      </c>
      <c r="L20" s="18">
        <v>1000000</v>
      </c>
    </row>
    <row r="21" spans="1:12">
      <c r="A21" s="49">
        <v>45307</v>
      </c>
      <c r="B21" s="50">
        <v>4500000</v>
      </c>
      <c r="C21" s="50"/>
      <c r="D21" s="54">
        <v>4500000</v>
      </c>
      <c r="E21" s="56">
        <v>3635000</v>
      </c>
      <c r="F21" s="50">
        <f t="shared" si="3"/>
        <v>865000</v>
      </c>
      <c r="G21" s="58">
        <f t="shared" si="4"/>
        <v>-3635000</v>
      </c>
      <c r="H21" s="51"/>
      <c r="I21" s="29"/>
      <c r="J21" s="27">
        <v>45308</v>
      </c>
      <c r="K21" s="30" t="s">
        <v>32</v>
      </c>
      <c r="L21" s="18">
        <v>2000000</v>
      </c>
    </row>
    <row r="22" spans="1:12">
      <c r="A22" s="49">
        <v>45308</v>
      </c>
      <c r="B22" s="50">
        <v>3600000</v>
      </c>
      <c r="C22" s="50">
        <v>275000</v>
      </c>
      <c r="D22" s="54">
        <f>B22+C22</f>
        <v>3875000</v>
      </c>
      <c r="E22" s="56">
        <v>3095000</v>
      </c>
      <c r="F22" s="50">
        <f t="shared" si="3"/>
        <v>780000</v>
      </c>
      <c r="G22" s="58">
        <f t="shared" si="4"/>
        <v>-2820000</v>
      </c>
      <c r="H22" s="51"/>
      <c r="I22" s="29"/>
      <c r="J22" s="27">
        <v>45309</v>
      </c>
      <c r="K22" s="30" t="s">
        <v>33</v>
      </c>
      <c r="L22" s="18">
        <v>840000</v>
      </c>
    </row>
    <row r="23" spans="1:12">
      <c r="A23" s="49">
        <v>45309</v>
      </c>
      <c r="B23" s="50">
        <v>16105000</v>
      </c>
      <c r="C23" s="50">
        <v>2300000</v>
      </c>
      <c r="D23" s="54">
        <f>B23+C23</f>
        <v>18405000</v>
      </c>
      <c r="E23" s="56">
        <v>2650000</v>
      </c>
      <c r="F23" s="50">
        <f t="shared" si="3"/>
        <v>15755000</v>
      </c>
      <c r="G23" s="58">
        <f t="shared" si="4"/>
        <v>-350000</v>
      </c>
      <c r="H23" s="51"/>
      <c r="I23" s="29"/>
      <c r="J23" s="27">
        <v>45311</v>
      </c>
      <c r="K23" s="30" t="s">
        <v>34</v>
      </c>
      <c r="L23" s="18">
        <v>500000</v>
      </c>
    </row>
    <row r="24" spans="1:12">
      <c r="A24" s="49">
        <v>45310</v>
      </c>
      <c r="B24" s="50">
        <v>6525000</v>
      </c>
      <c r="C24" s="50">
        <v>1025000</v>
      </c>
      <c r="D24" s="54">
        <f>B24+C24</f>
        <v>7550000</v>
      </c>
      <c r="E24" s="56">
        <v>1340000</v>
      </c>
      <c r="F24" s="50">
        <f t="shared" si="3"/>
        <v>6210000</v>
      </c>
      <c r="G24" s="58">
        <f t="shared" si="4"/>
        <v>-315000</v>
      </c>
      <c r="H24" s="51"/>
      <c r="I24" s="29"/>
      <c r="J24" s="27">
        <v>45313</v>
      </c>
      <c r="K24" s="30" t="s">
        <v>35</v>
      </c>
      <c r="L24" s="18">
        <v>23545000</v>
      </c>
    </row>
    <row r="25" spans="1:12">
      <c r="A25" s="49">
        <v>45311</v>
      </c>
      <c r="B25" s="50">
        <v>850000</v>
      </c>
      <c r="C25" s="50">
        <v>3875000</v>
      </c>
      <c r="D25" s="54">
        <f>B25+C25</f>
        <v>4725000</v>
      </c>
      <c r="E25" s="56">
        <v>2255000</v>
      </c>
      <c r="F25" s="50">
        <f t="shared" si="3"/>
        <v>2470000</v>
      </c>
      <c r="G25" s="58">
        <f t="shared" si="4"/>
        <v>1620000</v>
      </c>
      <c r="H25" s="51"/>
      <c r="I25" s="29"/>
      <c r="J25" s="27">
        <v>45313</v>
      </c>
      <c r="K25" s="30" t="s">
        <v>36</v>
      </c>
      <c r="L25" s="18">
        <v>5185000</v>
      </c>
    </row>
    <row r="26" spans="1:12">
      <c r="A26" s="70">
        <v>45312</v>
      </c>
      <c r="B26" s="71"/>
      <c r="C26" s="71"/>
      <c r="D26" s="71"/>
      <c r="E26" s="71"/>
      <c r="F26" s="71"/>
      <c r="G26" s="71"/>
      <c r="H26" s="51"/>
      <c r="I26" s="29"/>
      <c r="J26" s="27">
        <v>45315</v>
      </c>
      <c r="K26" s="30" t="s">
        <v>37</v>
      </c>
      <c r="L26" s="18">
        <v>1765000</v>
      </c>
    </row>
    <row r="27" spans="1:12">
      <c r="A27" s="12">
        <v>45313</v>
      </c>
      <c r="B27" s="13">
        <v>3375000</v>
      </c>
      <c r="C27" s="13">
        <v>700000</v>
      </c>
      <c r="D27" s="54">
        <f>B27+C27</f>
        <v>4075000</v>
      </c>
      <c r="E27" s="56">
        <v>1975000</v>
      </c>
      <c r="F27" s="13">
        <f t="shared" ref="F27:F35" si="5">D27-E27</f>
        <v>2100000</v>
      </c>
      <c r="G27" s="58">
        <f t="shared" ref="G27:G36" si="6">C27-E27</f>
        <v>-1275000</v>
      </c>
      <c r="H27" s="14"/>
      <c r="I27" s="29"/>
      <c r="J27" s="27">
        <v>45315</v>
      </c>
      <c r="K27" s="30" t="s">
        <v>38</v>
      </c>
      <c r="L27" s="18">
        <v>1000000</v>
      </c>
    </row>
    <row r="28" spans="1:12">
      <c r="A28" s="12">
        <v>45314</v>
      </c>
      <c r="B28" s="13"/>
      <c r="C28" s="13">
        <v>100000</v>
      </c>
      <c r="D28" s="54">
        <v>100000</v>
      </c>
      <c r="E28" s="56">
        <v>1425000</v>
      </c>
      <c r="F28" s="13">
        <f t="shared" si="5"/>
        <v>-1325000</v>
      </c>
      <c r="G28" s="58">
        <f t="shared" si="6"/>
        <v>-1325000</v>
      </c>
      <c r="H28" s="14"/>
      <c r="I28" s="31"/>
      <c r="J28" s="27">
        <v>45316</v>
      </c>
      <c r="K28" s="30" t="s">
        <v>39</v>
      </c>
      <c r="L28" s="18">
        <v>1000000</v>
      </c>
    </row>
    <row r="29" spans="1:12">
      <c r="A29" s="12">
        <v>45315</v>
      </c>
      <c r="B29" s="13">
        <v>10250000</v>
      </c>
      <c r="C29" s="13">
        <v>1300000</v>
      </c>
      <c r="D29" s="54">
        <f t="shared" ref="D29:D35" si="7">B29+C29</f>
        <v>11550000</v>
      </c>
      <c r="E29" s="56">
        <v>2225000</v>
      </c>
      <c r="F29" s="13">
        <f t="shared" si="5"/>
        <v>9325000</v>
      </c>
      <c r="G29" s="58">
        <f t="shared" si="6"/>
        <v>-925000</v>
      </c>
      <c r="H29" s="14"/>
      <c r="I29" s="29"/>
      <c r="J29" s="27">
        <v>45317</v>
      </c>
      <c r="K29" s="30" t="s">
        <v>40</v>
      </c>
      <c r="L29" s="18">
        <v>1500000</v>
      </c>
    </row>
    <row r="30" spans="1:12">
      <c r="A30" s="12">
        <v>45316</v>
      </c>
      <c r="B30" s="13">
        <v>5435000</v>
      </c>
      <c r="C30" s="13">
        <v>1600000</v>
      </c>
      <c r="D30" s="54">
        <f t="shared" si="7"/>
        <v>7035000</v>
      </c>
      <c r="E30" s="56">
        <v>1730000</v>
      </c>
      <c r="F30" s="13">
        <f t="shared" si="5"/>
        <v>5305000</v>
      </c>
      <c r="G30" s="58">
        <f t="shared" si="6"/>
        <v>-130000</v>
      </c>
      <c r="H30" s="33"/>
      <c r="I30" s="29"/>
      <c r="J30" s="27">
        <v>45318</v>
      </c>
      <c r="K30" s="30" t="s">
        <v>41</v>
      </c>
      <c r="L30" s="18">
        <v>51400000</v>
      </c>
    </row>
    <row r="31" spans="1:12">
      <c r="A31" s="12">
        <v>45317</v>
      </c>
      <c r="B31" s="13">
        <v>6000000</v>
      </c>
      <c r="C31" s="13">
        <v>7300000</v>
      </c>
      <c r="D31" s="54">
        <f t="shared" si="7"/>
        <v>13300000</v>
      </c>
      <c r="E31" s="56">
        <v>3475000</v>
      </c>
      <c r="F31" s="13">
        <f t="shared" si="5"/>
        <v>9825000</v>
      </c>
      <c r="G31" s="58">
        <f t="shared" si="6"/>
        <v>3825000</v>
      </c>
      <c r="H31" s="14"/>
      <c r="I31" s="29"/>
      <c r="J31" s="27">
        <v>45318</v>
      </c>
      <c r="K31" s="30" t="s">
        <v>44</v>
      </c>
      <c r="L31" s="18">
        <v>1500000</v>
      </c>
    </row>
    <row r="32" spans="1:12">
      <c r="A32" s="12">
        <v>45318</v>
      </c>
      <c r="B32" s="13">
        <v>1760000</v>
      </c>
      <c r="C32" s="13">
        <v>19450000</v>
      </c>
      <c r="D32" s="54">
        <f t="shared" si="7"/>
        <v>21210000</v>
      </c>
      <c r="E32" s="56">
        <v>4395000</v>
      </c>
      <c r="F32" s="13">
        <f t="shared" si="5"/>
        <v>16815000</v>
      </c>
      <c r="G32" s="58">
        <f t="shared" si="6"/>
        <v>15055000</v>
      </c>
      <c r="H32" s="14"/>
      <c r="I32" s="29"/>
      <c r="J32" s="27">
        <v>45318</v>
      </c>
      <c r="K32" s="30" t="s">
        <v>42</v>
      </c>
      <c r="L32" s="18">
        <v>750000</v>
      </c>
    </row>
    <row r="33" spans="1:12">
      <c r="A33" s="12">
        <v>45319</v>
      </c>
      <c r="B33" s="13">
        <v>6500000</v>
      </c>
      <c r="C33" s="13">
        <v>100000</v>
      </c>
      <c r="D33" s="54">
        <f t="shared" si="7"/>
        <v>6600000</v>
      </c>
      <c r="E33" s="56">
        <v>850000</v>
      </c>
      <c r="F33" s="13">
        <f t="shared" si="5"/>
        <v>5750000</v>
      </c>
      <c r="G33" s="58">
        <f t="shared" si="6"/>
        <v>-750000</v>
      </c>
      <c r="H33" s="14"/>
      <c r="I33" s="29"/>
      <c r="J33" s="27">
        <v>45319</v>
      </c>
      <c r="K33" s="30" t="s">
        <v>43</v>
      </c>
      <c r="L33" s="18">
        <v>1200000</v>
      </c>
    </row>
    <row r="34" spans="1:12">
      <c r="A34" s="12">
        <v>45320</v>
      </c>
      <c r="B34" s="13">
        <v>1200000</v>
      </c>
      <c r="C34" s="13">
        <v>4000000</v>
      </c>
      <c r="D34" s="54">
        <f t="shared" si="7"/>
        <v>5200000</v>
      </c>
      <c r="E34" s="56">
        <v>1900000</v>
      </c>
      <c r="F34" s="13">
        <f t="shared" si="5"/>
        <v>3300000</v>
      </c>
      <c r="G34" s="58">
        <f t="shared" si="6"/>
        <v>2100000</v>
      </c>
      <c r="H34" s="14"/>
      <c r="I34" s="29"/>
      <c r="J34" s="27">
        <v>45321</v>
      </c>
      <c r="K34" s="30" t="s">
        <v>45</v>
      </c>
      <c r="L34" s="18">
        <v>2200000</v>
      </c>
    </row>
    <row r="35" spans="1:12">
      <c r="A35" s="12">
        <v>45321</v>
      </c>
      <c r="B35" s="13">
        <v>6800000</v>
      </c>
      <c r="C35" s="13">
        <v>500000</v>
      </c>
      <c r="D35" s="54">
        <f t="shared" si="7"/>
        <v>7300000</v>
      </c>
      <c r="E35" s="56">
        <v>1865000</v>
      </c>
      <c r="F35" s="13">
        <f t="shared" si="5"/>
        <v>5435000</v>
      </c>
      <c r="G35" s="58">
        <f t="shared" si="6"/>
        <v>-1365000</v>
      </c>
      <c r="H35" s="14"/>
      <c r="I35" s="29"/>
      <c r="J35" s="27">
        <v>45322</v>
      </c>
      <c r="K35" s="30" t="s">
        <v>46</v>
      </c>
      <c r="L35" s="18">
        <v>14150000</v>
      </c>
    </row>
    <row r="36" spans="1:12">
      <c r="A36" s="12">
        <v>45322</v>
      </c>
      <c r="B36" s="13"/>
      <c r="C36" s="13">
        <v>1200000</v>
      </c>
      <c r="D36" s="54">
        <v>1200000</v>
      </c>
      <c r="E36" s="56">
        <v>1600000</v>
      </c>
      <c r="F36" s="13">
        <f>D36-E36</f>
        <v>-400000</v>
      </c>
      <c r="G36" s="58">
        <f t="shared" si="6"/>
        <v>-400000</v>
      </c>
      <c r="H36" s="14"/>
      <c r="I36" s="29"/>
      <c r="J36" s="27">
        <v>45322</v>
      </c>
      <c r="K36" s="30" t="s">
        <v>47</v>
      </c>
      <c r="L36" s="18">
        <v>14000000</v>
      </c>
    </row>
    <row r="37" spans="1:12">
      <c r="A37" s="12"/>
      <c r="B37" s="13"/>
      <c r="C37" s="13"/>
      <c r="D37" s="54"/>
      <c r="E37" s="56"/>
      <c r="F37" s="13"/>
      <c r="G37" s="58"/>
      <c r="H37" s="14"/>
      <c r="I37" s="29"/>
      <c r="J37" s="27">
        <v>45322</v>
      </c>
      <c r="K37" s="30" t="s">
        <v>48</v>
      </c>
      <c r="L37" s="18">
        <v>500000</v>
      </c>
    </row>
    <row r="38" spans="1:12">
      <c r="A38" s="12"/>
      <c r="B38" s="13"/>
      <c r="C38" s="13"/>
      <c r="D38" s="54"/>
      <c r="E38" s="56"/>
      <c r="F38" s="13"/>
      <c r="G38" s="58"/>
      <c r="H38" s="14"/>
      <c r="I38" s="29"/>
      <c r="J38" s="27">
        <v>45322</v>
      </c>
      <c r="K38" s="30" t="s">
        <v>49</v>
      </c>
      <c r="L38" s="18">
        <v>430000</v>
      </c>
    </row>
    <row r="39" spans="1:12">
      <c r="A39" s="49"/>
      <c r="B39" s="50"/>
      <c r="C39" s="50"/>
      <c r="D39" s="54"/>
      <c r="E39" s="56"/>
      <c r="F39" s="50"/>
      <c r="G39" s="58"/>
      <c r="H39" s="51"/>
      <c r="I39" s="29"/>
      <c r="J39" s="27">
        <v>45322</v>
      </c>
      <c r="K39" s="30" t="s">
        <v>39</v>
      </c>
      <c r="L39" s="18">
        <v>5000000</v>
      </c>
    </row>
    <row r="40" spans="1:12">
      <c r="A40" s="12"/>
      <c r="B40" s="13"/>
      <c r="C40" s="13"/>
      <c r="D40" s="54"/>
      <c r="E40" s="56"/>
      <c r="F40" s="13"/>
      <c r="G40" s="58"/>
      <c r="H40" s="14"/>
      <c r="I40" s="29"/>
      <c r="J40" s="27"/>
      <c r="K40" s="30"/>
      <c r="L40" s="18"/>
    </row>
    <row r="41" spans="1:12">
      <c r="A41" s="12"/>
      <c r="B41" s="13"/>
      <c r="C41" s="13"/>
      <c r="D41" s="54"/>
      <c r="E41" s="56"/>
      <c r="F41" s="13"/>
      <c r="G41" s="58"/>
      <c r="H41" s="14"/>
      <c r="I41" s="29"/>
      <c r="J41" s="34"/>
      <c r="K41" s="23"/>
      <c r="L41" s="62">
        <f>SUM(L6:L40)</f>
        <v>181580000</v>
      </c>
    </row>
    <row r="42" spans="1:12">
      <c r="A42" s="12"/>
      <c r="B42" s="13"/>
      <c r="C42" s="13"/>
      <c r="D42" s="54"/>
      <c r="E42" s="56"/>
      <c r="F42" s="13"/>
      <c r="G42" s="58"/>
      <c r="H42" s="14"/>
      <c r="I42" s="29"/>
      <c r="J42" s="28"/>
      <c r="K42" s="1"/>
      <c r="L42" s="1"/>
    </row>
    <row r="43" spans="1:12" ht="15.75">
      <c r="A43" s="12"/>
      <c r="B43" s="13"/>
      <c r="C43" s="13"/>
      <c r="D43" s="54"/>
      <c r="E43" s="56"/>
      <c r="F43" s="13"/>
      <c r="G43" s="58"/>
      <c r="H43" s="14"/>
      <c r="I43" s="29"/>
      <c r="J43" s="35" t="s">
        <v>11</v>
      </c>
      <c r="K43" s="36" t="s">
        <v>12</v>
      </c>
      <c r="L43" s="60">
        <f>B50+C50</f>
        <v>215085000</v>
      </c>
    </row>
    <row r="44" spans="1:12" ht="15.75">
      <c r="A44" s="12"/>
      <c r="B44" s="13"/>
      <c r="C44" s="13"/>
      <c r="D44" s="54"/>
      <c r="E44" s="56"/>
      <c r="F44" s="13"/>
      <c r="G44" s="58"/>
      <c r="H44" s="14"/>
      <c r="I44" s="38"/>
      <c r="J44" s="39"/>
      <c r="K44" s="40" t="s">
        <v>13</v>
      </c>
      <c r="L44" s="61">
        <v>60830000</v>
      </c>
    </row>
    <row r="45" spans="1:12" ht="15.75">
      <c r="A45" s="12"/>
      <c r="B45" s="13"/>
      <c r="C45" s="13"/>
      <c r="D45" s="54"/>
      <c r="E45" s="56"/>
      <c r="F45" s="13"/>
      <c r="G45" s="58"/>
      <c r="H45" s="14"/>
      <c r="I45" s="29"/>
      <c r="J45" s="39"/>
      <c r="K45" s="40" t="s">
        <v>14</v>
      </c>
      <c r="L45" s="61">
        <v>181580000</v>
      </c>
    </row>
    <row r="46" spans="1:12" ht="15.75">
      <c r="A46" s="49"/>
      <c r="B46" s="50"/>
      <c r="C46" s="50"/>
      <c r="D46" s="54"/>
      <c r="E46" s="56"/>
      <c r="F46" s="50"/>
      <c r="G46" s="58"/>
      <c r="H46" s="51"/>
      <c r="I46" s="29"/>
      <c r="J46" s="39"/>
      <c r="K46" s="40" t="s">
        <v>15</v>
      </c>
      <c r="L46" s="41">
        <f>L44+L45</f>
        <v>242410000</v>
      </c>
    </row>
    <row r="47" spans="1:12" ht="15.75">
      <c r="A47" s="12"/>
      <c r="B47" s="13"/>
      <c r="C47" s="13"/>
      <c r="D47" s="54"/>
      <c r="E47" s="56"/>
      <c r="F47" s="13"/>
      <c r="G47" s="58"/>
      <c r="H47" s="14"/>
      <c r="I47" s="29"/>
      <c r="J47" s="39"/>
      <c r="K47" s="42"/>
      <c r="L47" s="37"/>
    </row>
    <row r="48" spans="1:12" ht="18">
      <c r="A48" s="12"/>
      <c r="B48" s="13"/>
      <c r="C48" s="13"/>
      <c r="D48" s="54"/>
      <c r="E48" s="56"/>
      <c r="F48" s="13"/>
      <c r="G48" s="58"/>
      <c r="H48" s="14"/>
      <c r="I48" s="29"/>
      <c r="J48" s="80" t="s">
        <v>17</v>
      </c>
      <c r="K48" s="80"/>
      <c r="L48" s="43">
        <f>L43-L46</f>
        <v>-27325000</v>
      </c>
    </row>
    <row r="49" spans="1:12">
      <c r="A49" s="12"/>
      <c r="B49" s="13"/>
      <c r="C49" s="13"/>
      <c r="D49" s="54"/>
      <c r="E49" s="56"/>
      <c r="F49" s="13"/>
      <c r="G49" s="58"/>
      <c r="H49" s="14"/>
      <c r="I49" s="1"/>
      <c r="J49" s="29"/>
      <c r="K49" s="29"/>
      <c r="L49" s="1"/>
    </row>
    <row r="50" spans="1:12">
      <c r="A50" s="12"/>
      <c r="B50" s="44">
        <f t="shared" ref="B50:G50" si="8">SUM(B7:B49)</f>
        <v>148060000</v>
      </c>
      <c r="C50" s="44">
        <f t="shared" si="8"/>
        <v>67025000</v>
      </c>
      <c r="D50" s="55">
        <f t="shared" si="8"/>
        <v>215085000</v>
      </c>
      <c r="E50" s="57">
        <f t="shared" si="8"/>
        <v>60830000</v>
      </c>
      <c r="F50" s="53">
        <f t="shared" si="8"/>
        <v>154255000</v>
      </c>
      <c r="G50" s="59">
        <f t="shared" si="8"/>
        <v>6195000</v>
      </c>
      <c r="H50" s="29"/>
      <c r="I50" s="1"/>
      <c r="J50" s="1"/>
      <c r="K50" s="1"/>
      <c r="L50" s="1"/>
    </row>
    <row r="51" spans="1:12">
      <c r="A51" s="1"/>
      <c r="B51" s="1"/>
      <c r="C51" s="1"/>
      <c r="D51" s="45"/>
      <c r="E51" s="1"/>
      <c r="F51" s="1"/>
      <c r="G51" s="1"/>
      <c r="H51" s="29"/>
      <c r="I51" s="1"/>
      <c r="J51" s="1"/>
      <c r="K51" s="1"/>
      <c r="L51" s="1"/>
    </row>
  </sheetData>
  <mergeCells count="8">
    <mergeCell ref="G4:G5"/>
    <mergeCell ref="J48:K48"/>
    <mergeCell ref="A2:E3"/>
    <mergeCell ref="A4:A5"/>
    <mergeCell ref="B4:C4"/>
    <mergeCell ref="D4:D5"/>
    <mergeCell ref="E4:E5"/>
    <mergeCell ref="F4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L51"/>
  <sheetViews>
    <sheetView topLeftCell="A25" workbookViewId="0">
      <selection activeCell="I48" sqref="I48"/>
    </sheetView>
  </sheetViews>
  <sheetFormatPr defaultRowHeight="15"/>
  <cols>
    <col min="1" max="1" width="6.7109375" customWidth="1"/>
    <col min="2" max="2" width="14" customWidth="1"/>
    <col min="3" max="3" width="14.28515625" customWidth="1"/>
    <col min="4" max="4" width="16" customWidth="1"/>
    <col min="5" max="5" width="14.85546875" customWidth="1"/>
    <col min="6" max="7" width="14.5703125" customWidth="1"/>
    <col min="10" max="10" width="8.28515625" customWidth="1"/>
    <col min="11" max="11" width="46" customWidth="1"/>
    <col min="12" max="12" width="17.28515625" customWidth="1"/>
  </cols>
  <sheetData>
    <row r="3" spans="1:12">
      <c r="A3" s="81" t="s">
        <v>18</v>
      </c>
      <c r="B3" s="82"/>
      <c r="C3" s="82"/>
      <c r="D3" s="82"/>
      <c r="E3" s="82"/>
      <c r="F3" s="1"/>
      <c r="G3" s="1"/>
      <c r="H3" s="1"/>
      <c r="I3" s="1"/>
      <c r="J3" s="1"/>
      <c r="K3" s="1"/>
      <c r="L3" s="1"/>
    </row>
    <row r="4" spans="1:12">
      <c r="A4" s="83"/>
      <c r="B4" s="83"/>
      <c r="C4" s="83"/>
      <c r="D4" s="83"/>
      <c r="E4" s="83"/>
      <c r="F4" s="1"/>
      <c r="G4" s="1"/>
      <c r="H4" s="1"/>
      <c r="I4" s="1"/>
      <c r="J4" s="1"/>
      <c r="K4" s="1"/>
      <c r="L4" s="1"/>
    </row>
    <row r="5" spans="1:12" ht="15.75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2"/>
      <c r="I5" s="3"/>
      <c r="J5" s="4" t="s">
        <v>6</v>
      </c>
      <c r="K5" s="5"/>
      <c r="L5" s="6"/>
    </row>
    <row r="6" spans="1:12" ht="15.75">
      <c r="A6" s="85"/>
      <c r="B6" s="7" t="s">
        <v>7</v>
      </c>
      <c r="C6" s="69" t="s">
        <v>8</v>
      </c>
      <c r="D6" s="89"/>
      <c r="E6" s="79"/>
      <c r="F6" s="89"/>
      <c r="G6" s="79"/>
      <c r="H6" s="2"/>
      <c r="I6" s="3"/>
      <c r="J6" s="9" t="s">
        <v>0</v>
      </c>
      <c r="K6" s="10" t="s">
        <v>9</v>
      </c>
      <c r="L6" s="11" t="s">
        <v>10</v>
      </c>
    </row>
    <row r="7" spans="1:12">
      <c r="A7" s="49"/>
      <c r="B7" s="64"/>
      <c r="C7" s="64"/>
      <c r="D7" s="66"/>
      <c r="E7" s="65"/>
      <c r="F7" s="64"/>
      <c r="G7" s="67"/>
      <c r="H7" s="51"/>
      <c r="I7" s="6"/>
      <c r="J7" s="12"/>
      <c r="K7" s="15"/>
      <c r="L7" s="16"/>
    </row>
    <row r="8" spans="1:12">
      <c r="A8" s="49">
        <v>45323</v>
      </c>
      <c r="B8" s="50">
        <v>1500000</v>
      </c>
      <c r="C8" s="50">
        <v>185000</v>
      </c>
      <c r="D8" s="54">
        <f>B8+C8</f>
        <v>1685000</v>
      </c>
      <c r="E8" s="56">
        <v>1475000</v>
      </c>
      <c r="F8" s="50">
        <f t="shared" ref="F8:F14" si="0">D8-E8</f>
        <v>210000</v>
      </c>
      <c r="G8" s="58">
        <f t="shared" ref="G8:G17" si="1">C8-E8</f>
        <v>-1290000</v>
      </c>
      <c r="H8" s="51"/>
      <c r="I8" s="6"/>
      <c r="J8" s="68">
        <v>45325</v>
      </c>
      <c r="K8" s="63" t="s">
        <v>50</v>
      </c>
      <c r="L8" s="18">
        <v>200000</v>
      </c>
    </row>
    <row r="9" spans="1:12">
      <c r="A9" s="12">
        <v>45324</v>
      </c>
      <c r="B9" s="13">
        <v>7285000</v>
      </c>
      <c r="C9" s="13"/>
      <c r="D9" s="54">
        <v>7285000</v>
      </c>
      <c r="E9" s="56">
        <v>1690000</v>
      </c>
      <c r="F9" s="13">
        <f t="shared" si="0"/>
        <v>5595000</v>
      </c>
      <c r="G9" s="58">
        <f t="shared" si="1"/>
        <v>-1690000</v>
      </c>
      <c r="H9" s="14"/>
      <c r="I9" s="19"/>
      <c r="J9" s="17">
        <v>45328</v>
      </c>
      <c r="K9" s="63" t="s">
        <v>51</v>
      </c>
      <c r="L9" s="18">
        <v>145000</v>
      </c>
    </row>
    <row r="10" spans="1:12">
      <c r="A10" s="12">
        <v>45325</v>
      </c>
      <c r="B10" s="13">
        <v>2450000</v>
      </c>
      <c r="C10" s="13">
        <v>925000</v>
      </c>
      <c r="D10" s="54">
        <f>B10+C10</f>
        <v>3375000</v>
      </c>
      <c r="E10" s="56">
        <v>1480000</v>
      </c>
      <c r="F10" s="13">
        <f t="shared" si="0"/>
        <v>1895000</v>
      </c>
      <c r="G10" s="58">
        <f t="shared" si="1"/>
        <v>-555000</v>
      </c>
      <c r="H10" s="14"/>
      <c r="I10" s="6"/>
      <c r="J10" s="20">
        <v>45328</v>
      </c>
      <c r="K10" s="21" t="s">
        <v>52</v>
      </c>
      <c r="L10" s="18">
        <v>2000000</v>
      </c>
    </row>
    <row r="11" spans="1:12">
      <c r="A11" s="12">
        <v>45326</v>
      </c>
      <c r="B11" s="13">
        <v>300000</v>
      </c>
      <c r="C11" s="13"/>
      <c r="D11" s="54">
        <f>B11+C11</f>
        <v>300000</v>
      </c>
      <c r="E11" s="56">
        <v>880000</v>
      </c>
      <c r="F11" s="50">
        <f t="shared" si="0"/>
        <v>-580000</v>
      </c>
      <c r="G11" s="58">
        <f t="shared" si="1"/>
        <v>-880000</v>
      </c>
      <c r="H11" s="14"/>
      <c r="I11" s="22"/>
      <c r="J11" s="20">
        <v>45328</v>
      </c>
      <c r="K11" s="46" t="s">
        <v>53</v>
      </c>
      <c r="L11" s="18">
        <v>6815000</v>
      </c>
    </row>
    <row r="12" spans="1:12">
      <c r="A12" s="12">
        <v>45327</v>
      </c>
      <c r="B12" s="13">
        <v>4385000</v>
      </c>
      <c r="C12" s="13">
        <v>1650000</v>
      </c>
      <c r="D12" s="54">
        <f>B12+C12</f>
        <v>6035000</v>
      </c>
      <c r="E12" s="56">
        <v>2040000</v>
      </c>
      <c r="F12" s="50">
        <f t="shared" si="0"/>
        <v>3995000</v>
      </c>
      <c r="G12" s="58">
        <f t="shared" si="1"/>
        <v>-390000</v>
      </c>
      <c r="H12" s="14"/>
      <c r="I12" s="22"/>
      <c r="J12" s="12">
        <v>45329</v>
      </c>
      <c r="K12" s="63" t="s">
        <v>50</v>
      </c>
      <c r="L12" s="18">
        <v>200000</v>
      </c>
    </row>
    <row r="13" spans="1:12">
      <c r="A13" s="12">
        <v>45328</v>
      </c>
      <c r="B13" s="13">
        <v>2150000</v>
      </c>
      <c r="C13" s="50">
        <v>30000</v>
      </c>
      <c r="D13" s="54">
        <f>B13+C13</f>
        <v>2180000</v>
      </c>
      <c r="E13" s="56">
        <v>2155000</v>
      </c>
      <c r="F13" s="13">
        <f t="shared" si="0"/>
        <v>25000</v>
      </c>
      <c r="G13" s="58">
        <f t="shared" si="1"/>
        <v>-2125000</v>
      </c>
      <c r="H13" s="14"/>
      <c r="I13" s="6"/>
      <c r="J13" s="12">
        <v>45330</v>
      </c>
      <c r="K13" s="21" t="s">
        <v>28</v>
      </c>
      <c r="L13" s="18">
        <v>12600000</v>
      </c>
    </row>
    <row r="14" spans="1:12">
      <c r="A14" s="12">
        <v>45329</v>
      </c>
      <c r="B14" s="13">
        <v>4000000</v>
      </c>
      <c r="C14" s="13">
        <v>3130000</v>
      </c>
      <c r="D14" s="54">
        <f>B14+C14</f>
        <v>7130000</v>
      </c>
      <c r="E14" s="56">
        <v>2280000</v>
      </c>
      <c r="F14" s="13">
        <f t="shared" si="0"/>
        <v>4850000</v>
      </c>
      <c r="G14" s="58">
        <f t="shared" si="1"/>
        <v>850000</v>
      </c>
      <c r="H14" s="14"/>
      <c r="I14" s="6"/>
      <c r="J14" s="12">
        <v>45331</v>
      </c>
      <c r="K14" s="15" t="s">
        <v>54</v>
      </c>
      <c r="L14" s="18">
        <v>130000</v>
      </c>
    </row>
    <row r="15" spans="1:12">
      <c r="A15" s="49">
        <v>45330</v>
      </c>
      <c r="B15" s="50"/>
      <c r="C15" s="50">
        <v>2200000</v>
      </c>
      <c r="D15" s="54">
        <v>2200000</v>
      </c>
      <c r="E15" s="56">
        <v>1225000</v>
      </c>
      <c r="F15" s="50">
        <f>D15-E15</f>
        <v>975000</v>
      </c>
      <c r="G15" s="58">
        <f t="shared" si="1"/>
        <v>975000</v>
      </c>
      <c r="H15" s="52"/>
      <c r="I15" s="6"/>
      <c r="J15" s="12">
        <v>45331</v>
      </c>
      <c r="K15" s="25" t="s">
        <v>51</v>
      </c>
      <c r="L15" s="18">
        <v>220000</v>
      </c>
    </row>
    <row r="16" spans="1:12">
      <c r="A16" s="12">
        <v>45331</v>
      </c>
      <c r="B16" s="13">
        <v>5450000</v>
      </c>
      <c r="C16" s="13">
        <v>2150000</v>
      </c>
      <c r="D16" s="54">
        <f>B16+C16</f>
        <v>7600000</v>
      </c>
      <c r="E16" s="56">
        <v>2645000</v>
      </c>
      <c r="F16" s="13">
        <f>D16-E16</f>
        <v>4955000</v>
      </c>
      <c r="G16" s="58">
        <f t="shared" si="1"/>
        <v>-495000</v>
      </c>
      <c r="H16" s="24"/>
      <c r="I16" s="22"/>
      <c r="J16" s="12">
        <v>45332</v>
      </c>
      <c r="K16" s="25" t="s">
        <v>55</v>
      </c>
      <c r="L16" s="18">
        <v>600000</v>
      </c>
    </row>
    <row r="17" spans="1:12">
      <c r="A17" s="12">
        <v>45332</v>
      </c>
      <c r="B17" s="13">
        <v>500000</v>
      </c>
      <c r="C17" s="13">
        <v>9500000</v>
      </c>
      <c r="D17" s="54">
        <f>B17+C17</f>
        <v>10000000</v>
      </c>
      <c r="E17" s="56">
        <v>1845000</v>
      </c>
      <c r="F17" s="13">
        <f>D17-E17</f>
        <v>8155000</v>
      </c>
      <c r="G17" s="58">
        <f t="shared" si="1"/>
        <v>7655000</v>
      </c>
      <c r="H17" s="24"/>
      <c r="I17" s="26"/>
      <c r="J17" s="27">
        <v>45333</v>
      </c>
      <c r="K17" s="47" t="s">
        <v>56</v>
      </c>
      <c r="L17" s="48">
        <v>4150000</v>
      </c>
    </row>
    <row r="18" spans="1:12">
      <c r="A18" s="70">
        <v>45333</v>
      </c>
      <c r="B18" s="71"/>
      <c r="C18" s="71"/>
      <c r="D18" s="71"/>
      <c r="E18" s="71"/>
      <c r="F18" s="71"/>
      <c r="G18" s="71"/>
      <c r="H18" s="24"/>
      <c r="I18" s="26"/>
      <c r="J18" s="12">
        <v>45334</v>
      </c>
      <c r="K18" s="25" t="s">
        <v>57</v>
      </c>
      <c r="L18" s="18">
        <v>110000000</v>
      </c>
    </row>
    <row r="19" spans="1:12">
      <c r="A19" s="12">
        <v>45334</v>
      </c>
      <c r="B19" s="13">
        <v>3550000</v>
      </c>
      <c r="C19" s="13">
        <v>2600000</v>
      </c>
      <c r="D19" s="54">
        <f>B19+C19</f>
        <v>6150000</v>
      </c>
      <c r="E19" s="56">
        <v>2280000</v>
      </c>
      <c r="F19" s="13">
        <f>D19-E19</f>
        <v>3870000</v>
      </c>
      <c r="G19" s="58">
        <f>C19-E19</f>
        <v>320000</v>
      </c>
      <c r="H19" s="24"/>
      <c r="I19" s="29"/>
      <c r="J19" s="12">
        <v>45335</v>
      </c>
      <c r="K19" s="23" t="s">
        <v>51</v>
      </c>
      <c r="L19" s="18">
        <v>120000</v>
      </c>
    </row>
    <row r="20" spans="1:12">
      <c r="A20" s="12">
        <v>45335</v>
      </c>
      <c r="B20" s="13">
        <v>450000</v>
      </c>
      <c r="C20" s="13">
        <v>2625000</v>
      </c>
      <c r="D20" s="54">
        <f>B20+C20</f>
        <v>3075000</v>
      </c>
      <c r="E20" s="56">
        <v>1240000</v>
      </c>
      <c r="F20" s="13">
        <f>D20-E20</f>
        <v>1835000</v>
      </c>
      <c r="G20" s="58">
        <f>C20-E20</f>
        <v>1385000</v>
      </c>
      <c r="H20" s="24"/>
      <c r="I20" s="29"/>
      <c r="J20" s="27">
        <v>45340</v>
      </c>
      <c r="K20" s="30" t="s">
        <v>50</v>
      </c>
      <c r="L20" s="18">
        <v>500000</v>
      </c>
    </row>
    <row r="21" spans="1:12">
      <c r="A21" s="70">
        <v>45336</v>
      </c>
      <c r="B21" s="71"/>
      <c r="C21" s="71"/>
      <c r="D21" s="71"/>
      <c r="E21" s="71"/>
      <c r="F21" s="71"/>
      <c r="G21" s="71"/>
      <c r="H21" s="24"/>
      <c r="I21" s="31"/>
      <c r="J21" s="32">
        <v>45340</v>
      </c>
      <c r="K21" s="23" t="s">
        <v>28</v>
      </c>
      <c r="L21" s="18">
        <v>1000000</v>
      </c>
    </row>
    <row r="22" spans="1:12">
      <c r="A22" s="49">
        <v>45337</v>
      </c>
      <c r="B22" s="50"/>
      <c r="C22" s="50">
        <v>3800000</v>
      </c>
      <c r="D22" s="54">
        <v>3800000</v>
      </c>
      <c r="E22" s="56">
        <v>1260000</v>
      </c>
      <c r="F22" s="50">
        <f t="shared" ref="F22:F29" si="2">D22-E22</f>
        <v>2540000</v>
      </c>
      <c r="G22" s="58">
        <f t="shared" ref="G22:G29" si="3">C22-E22</f>
        <v>2540000</v>
      </c>
      <c r="H22" s="51"/>
      <c r="I22" s="29"/>
      <c r="J22" s="27">
        <v>45341</v>
      </c>
      <c r="K22" s="30" t="s">
        <v>58</v>
      </c>
      <c r="L22" s="18">
        <v>1800000</v>
      </c>
    </row>
    <row r="23" spans="1:12">
      <c r="A23" s="12">
        <v>45338</v>
      </c>
      <c r="B23" s="13"/>
      <c r="C23" s="13">
        <v>9050000</v>
      </c>
      <c r="D23" s="54">
        <v>9050000</v>
      </c>
      <c r="E23" s="56">
        <v>1720000</v>
      </c>
      <c r="F23" s="13">
        <f t="shared" si="2"/>
        <v>7330000</v>
      </c>
      <c r="G23" s="58">
        <f t="shared" si="3"/>
        <v>7330000</v>
      </c>
      <c r="H23" s="14"/>
      <c r="I23" s="29"/>
      <c r="J23" s="27">
        <v>45341</v>
      </c>
      <c r="K23" s="30" t="s">
        <v>59</v>
      </c>
      <c r="L23" s="18">
        <v>2880000</v>
      </c>
    </row>
    <row r="24" spans="1:12">
      <c r="A24" s="12">
        <v>45339</v>
      </c>
      <c r="B24" s="13">
        <v>4250000</v>
      </c>
      <c r="C24" s="13">
        <v>25000</v>
      </c>
      <c r="D24" s="54">
        <f>B24+C24</f>
        <v>4275000</v>
      </c>
      <c r="E24" s="56">
        <v>2065000</v>
      </c>
      <c r="F24" s="13">
        <f t="shared" si="2"/>
        <v>2210000</v>
      </c>
      <c r="G24" s="58">
        <f t="shared" si="3"/>
        <v>-2040000</v>
      </c>
      <c r="H24" s="14"/>
      <c r="I24" s="31"/>
      <c r="J24" s="27">
        <v>45341</v>
      </c>
      <c r="K24" s="30" t="s">
        <v>60</v>
      </c>
      <c r="L24" s="18">
        <v>3500000</v>
      </c>
    </row>
    <row r="25" spans="1:12">
      <c r="A25" s="12">
        <v>45340</v>
      </c>
      <c r="B25" s="13"/>
      <c r="C25" s="13">
        <v>1500000</v>
      </c>
      <c r="D25" s="54">
        <v>1500000</v>
      </c>
      <c r="E25" s="56">
        <v>1000000</v>
      </c>
      <c r="F25" s="13">
        <f t="shared" si="2"/>
        <v>500000</v>
      </c>
      <c r="G25" s="58">
        <f t="shared" si="3"/>
        <v>500000</v>
      </c>
      <c r="H25" s="14"/>
      <c r="I25" s="31"/>
      <c r="J25" s="27">
        <v>45345</v>
      </c>
      <c r="K25" s="30" t="s">
        <v>61</v>
      </c>
      <c r="L25" s="18">
        <v>490000</v>
      </c>
    </row>
    <row r="26" spans="1:12">
      <c r="A26" s="12">
        <v>45341</v>
      </c>
      <c r="B26" s="13">
        <v>3950000</v>
      </c>
      <c r="C26" s="13">
        <v>3150000</v>
      </c>
      <c r="D26" s="54">
        <f>B26+C26</f>
        <v>7100000</v>
      </c>
      <c r="E26" s="56">
        <v>2140000</v>
      </c>
      <c r="F26" s="13">
        <f t="shared" si="2"/>
        <v>4960000</v>
      </c>
      <c r="G26" s="58">
        <f t="shared" si="3"/>
        <v>1010000</v>
      </c>
      <c r="H26" s="14"/>
      <c r="I26" s="29"/>
      <c r="J26" s="27">
        <v>45345</v>
      </c>
      <c r="K26" s="30" t="s">
        <v>62</v>
      </c>
      <c r="L26" s="18">
        <v>1750000</v>
      </c>
    </row>
    <row r="27" spans="1:12">
      <c r="A27" s="12">
        <v>45342</v>
      </c>
      <c r="B27" s="13">
        <v>3500000</v>
      </c>
      <c r="C27" s="13">
        <v>2550000</v>
      </c>
      <c r="D27" s="54">
        <f>B27+C27</f>
        <v>6050000</v>
      </c>
      <c r="E27" s="56">
        <v>2735000</v>
      </c>
      <c r="F27" s="13">
        <f t="shared" si="2"/>
        <v>3315000</v>
      </c>
      <c r="G27" s="58">
        <f t="shared" si="3"/>
        <v>-185000</v>
      </c>
      <c r="H27" s="33"/>
      <c r="I27" s="29"/>
      <c r="J27" s="27">
        <v>45347</v>
      </c>
      <c r="K27" s="30" t="s">
        <v>63</v>
      </c>
      <c r="L27" s="18">
        <v>930000</v>
      </c>
    </row>
    <row r="28" spans="1:12">
      <c r="A28" s="12">
        <v>45343</v>
      </c>
      <c r="B28" s="13">
        <v>4330000</v>
      </c>
      <c r="C28" s="13">
        <v>1950000</v>
      </c>
      <c r="D28" s="54">
        <f>B28+C28</f>
        <v>6280000</v>
      </c>
      <c r="E28" s="56">
        <v>2260000</v>
      </c>
      <c r="F28" s="13">
        <f t="shared" si="2"/>
        <v>4020000</v>
      </c>
      <c r="G28" s="58">
        <f t="shared" si="3"/>
        <v>-310000</v>
      </c>
      <c r="H28" s="14"/>
      <c r="I28" s="29"/>
      <c r="J28" s="27">
        <v>45349</v>
      </c>
      <c r="K28" s="30" t="s">
        <v>40</v>
      </c>
      <c r="L28" s="18">
        <v>1550000</v>
      </c>
    </row>
    <row r="29" spans="1:12">
      <c r="A29" s="12">
        <v>45344</v>
      </c>
      <c r="B29" s="13">
        <v>150000</v>
      </c>
      <c r="C29" s="13">
        <v>100000</v>
      </c>
      <c r="D29" s="54">
        <f>B29+C29</f>
        <v>250000</v>
      </c>
      <c r="E29" s="56">
        <v>1455000</v>
      </c>
      <c r="F29" s="13">
        <f t="shared" si="2"/>
        <v>-1205000</v>
      </c>
      <c r="G29" s="58">
        <f t="shared" si="3"/>
        <v>-1355000</v>
      </c>
      <c r="H29" s="14"/>
      <c r="I29" s="29"/>
      <c r="J29" s="27">
        <v>45349</v>
      </c>
      <c r="K29" s="30" t="s">
        <v>64</v>
      </c>
      <c r="L29" s="18">
        <v>1800000</v>
      </c>
    </row>
    <row r="30" spans="1:12">
      <c r="A30" s="12">
        <v>45345</v>
      </c>
      <c r="B30" s="13">
        <v>6300000</v>
      </c>
      <c r="C30" s="13"/>
      <c r="D30" s="54">
        <v>6300000</v>
      </c>
      <c r="E30" s="56">
        <v>1955000</v>
      </c>
      <c r="F30" s="13">
        <f t="shared" ref="F30:F35" si="4">D30-E30</f>
        <v>4345000</v>
      </c>
      <c r="G30" s="58">
        <f t="shared" ref="G30:G36" si="5">C30-E30</f>
        <v>-1955000</v>
      </c>
      <c r="H30" s="14"/>
      <c r="I30" s="29"/>
      <c r="J30" s="27">
        <v>45349</v>
      </c>
      <c r="K30" s="30" t="s">
        <v>65</v>
      </c>
      <c r="L30" s="18">
        <v>500000</v>
      </c>
    </row>
    <row r="31" spans="1:12">
      <c r="A31" s="12">
        <v>45346</v>
      </c>
      <c r="B31" s="13">
        <v>10450000</v>
      </c>
      <c r="C31" s="13">
        <v>800000</v>
      </c>
      <c r="D31" s="54">
        <f>B31+C31</f>
        <v>11250000</v>
      </c>
      <c r="E31" s="56">
        <v>2085000</v>
      </c>
      <c r="F31" s="13">
        <f t="shared" si="4"/>
        <v>9165000</v>
      </c>
      <c r="G31" s="58">
        <f t="shared" si="5"/>
        <v>-1285000</v>
      </c>
      <c r="H31" s="14"/>
      <c r="I31" s="29"/>
      <c r="J31" s="27">
        <v>45350</v>
      </c>
      <c r="K31" s="30" t="s">
        <v>66</v>
      </c>
      <c r="L31" s="18">
        <v>73500000</v>
      </c>
    </row>
    <row r="32" spans="1:12">
      <c r="A32" s="12">
        <v>45347</v>
      </c>
      <c r="B32" s="13"/>
      <c r="C32" s="13">
        <v>2500000</v>
      </c>
      <c r="D32" s="54">
        <v>2500000</v>
      </c>
      <c r="E32" s="56">
        <v>1705000</v>
      </c>
      <c r="F32" s="13">
        <f t="shared" si="4"/>
        <v>795000</v>
      </c>
      <c r="G32" s="58">
        <f t="shared" si="5"/>
        <v>795000</v>
      </c>
      <c r="H32" s="14"/>
      <c r="I32" s="29"/>
      <c r="J32" s="27">
        <v>45350</v>
      </c>
      <c r="K32" s="30" t="s">
        <v>31</v>
      </c>
      <c r="L32" s="18">
        <v>900000</v>
      </c>
    </row>
    <row r="33" spans="1:12">
      <c r="A33" s="12">
        <v>45348</v>
      </c>
      <c r="B33" s="13">
        <v>18075000</v>
      </c>
      <c r="C33" s="13">
        <v>750000</v>
      </c>
      <c r="D33" s="54">
        <f>B33+C33</f>
        <v>18825000</v>
      </c>
      <c r="E33" s="56">
        <v>1730000</v>
      </c>
      <c r="F33" s="13">
        <f t="shared" si="4"/>
        <v>17095000</v>
      </c>
      <c r="G33" s="58">
        <f t="shared" si="5"/>
        <v>-980000</v>
      </c>
      <c r="H33" s="14"/>
      <c r="I33" s="29"/>
      <c r="J33" s="27">
        <v>45350</v>
      </c>
      <c r="K33" s="30" t="s">
        <v>67</v>
      </c>
      <c r="L33" s="18">
        <v>4400000</v>
      </c>
    </row>
    <row r="34" spans="1:12">
      <c r="A34" s="12">
        <v>45349</v>
      </c>
      <c r="B34" s="13">
        <v>1800000</v>
      </c>
      <c r="C34" s="13">
        <v>1200000</v>
      </c>
      <c r="D34" s="54">
        <f>B34+C34</f>
        <v>3000000</v>
      </c>
      <c r="E34" s="56">
        <v>1510000</v>
      </c>
      <c r="F34" s="13">
        <f t="shared" si="4"/>
        <v>1490000</v>
      </c>
      <c r="G34" s="58">
        <f t="shared" si="5"/>
        <v>-310000</v>
      </c>
      <c r="H34" s="14"/>
      <c r="I34" s="29"/>
      <c r="J34" s="27">
        <v>45350</v>
      </c>
      <c r="K34" s="30" t="s">
        <v>68</v>
      </c>
      <c r="L34" s="18">
        <v>4000000</v>
      </c>
    </row>
    <row r="35" spans="1:12">
      <c r="A35" s="12">
        <v>45350</v>
      </c>
      <c r="B35" s="13">
        <v>1830000</v>
      </c>
      <c r="C35" s="13">
        <v>200000</v>
      </c>
      <c r="D35" s="54">
        <f>B35+C35</f>
        <v>2030000</v>
      </c>
      <c r="E35" s="56">
        <v>2265000</v>
      </c>
      <c r="F35" s="13">
        <f t="shared" si="4"/>
        <v>-235000</v>
      </c>
      <c r="G35" s="58">
        <f t="shared" si="5"/>
        <v>-2065000</v>
      </c>
      <c r="H35" s="14"/>
      <c r="I35" s="29"/>
      <c r="J35" s="27">
        <v>45351</v>
      </c>
      <c r="K35" s="30" t="s">
        <v>34</v>
      </c>
      <c r="L35" s="18">
        <v>500000</v>
      </c>
    </row>
    <row r="36" spans="1:12">
      <c r="A36" s="12">
        <v>45351</v>
      </c>
      <c r="B36" s="13">
        <v>525000</v>
      </c>
      <c r="C36" s="13"/>
      <c r="D36" s="54">
        <v>525000</v>
      </c>
      <c r="E36" s="56">
        <v>1980000</v>
      </c>
      <c r="F36" s="13">
        <f>D36-E36:E36</f>
        <v>-1455000</v>
      </c>
      <c r="G36" s="58">
        <f t="shared" si="5"/>
        <v>-1980000</v>
      </c>
      <c r="H36" s="14"/>
      <c r="I36" s="29"/>
      <c r="J36" s="27">
        <v>45351</v>
      </c>
      <c r="K36" s="30" t="s">
        <v>69</v>
      </c>
      <c r="L36" s="18">
        <v>225000</v>
      </c>
    </row>
    <row r="37" spans="1:12">
      <c r="A37" s="12"/>
      <c r="B37" s="13"/>
      <c r="C37" s="13"/>
      <c r="D37" s="54"/>
      <c r="E37" s="56"/>
      <c r="F37" s="13"/>
      <c r="G37" s="58"/>
      <c r="H37" s="14"/>
      <c r="I37" s="29"/>
      <c r="J37" s="27"/>
      <c r="K37" s="30"/>
      <c r="L37" s="18"/>
    </row>
    <row r="38" spans="1:12">
      <c r="A38" s="12"/>
      <c r="B38" s="13"/>
      <c r="C38" s="13"/>
      <c r="D38" s="54"/>
      <c r="E38" s="56"/>
      <c r="F38" s="13"/>
      <c r="G38" s="58"/>
      <c r="H38" s="14"/>
      <c r="I38" s="29"/>
      <c r="J38" s="27"/>
      <c r="K38" s="30"/>
      <c r="L38" s="18"/>
    </row>
    <row r="39" spans="1:12">
      <c r="A39" s="49"/>
      <c r="B39" s="50"/>
      <c r="C39" s="50"/>
      <c r="D39" s="54"/>
      <c r="E39" s="56"/>
      <c r="F39" s="50"/>
      <c r="G39" s="58"/>
      <c r="H39" s="51"/>
      <c r="I39" s="29"/>
      <c r="J39" s="27"/>
      <c r="K39" s="30"/>
      <c r="L39" s="18"/>
    </row>
    <row r="40" spans="1:12">
      <c r="A40" s="12"/>
      <c r="B40" s="13"/>
      <c r="C40" s="13"/>
      <c r="D40" s="54"/>
      <c r="E40" s="56"/>
      <c r="F40" s="13"/>
      <c r="G40" s="58"/>
      <c r="H40" s="14"/>
      <c r="I40" s="29"/>
      <c r="J40" s="27"/>
      <c r="K40" s="30"/>
      <c r="L40" s="18"/>
    </row>
    <row r="41" spans="1:12">
      <c r="A41" s="12"/>
      <c r="B41" s="13"/>
      <c r="C41" s="13"/>
      <c r="D41" s="54"/>
      <c r="E41" s="56"/>
      <c r="F41" s="13"/>
      <c r="G41" s="58"/>
      <c r="H41" s="14"/>
      <c r="I41" s="29"/>
      <c r="J41" s="34"/>
      <c r="K41" s="23"/>
      <c r="L41" s="62">
        <f>SUM(L8:L40)</f>
        <v>237405000</v>
      </c>
    </row>
    <row r="42" spans="1:12">
      <c r="A42" s="12"/>
      <c r="B42" s="13"/>
      <c r="C42" s="13"/>
      <c r="D42" s="54"/>
      <c r="E42" s="56"/>
      <c r="F42" s="13"/>
      <c r="G42" s="58"/>
      <c r="H42" s="14"/>
      <c r="I42" s="29"/>
      <c r="J42" s="28"/>
      <c r="K42" s="1"/>
      <c r="L42" s="1"/>
    </row>
    <row r="43" spans="1:12" ht="15.75">
      <c r="A43" s="12"/>
      <c r="B43" s="13"/>
      <c r="C43" s="13"/>
      <c r="D43" s="54"/>
      <c r="E43" s="56"/>
      <c r="F43" s="13"/>
      <c r="G43" s="58"/>
      <c r="H43" s="14"/>
      <c r="I43" s="29"/>
      <c r="J43" s="35" t="s">
        <v>11</v>
      </c>
      <c r="K43" s="36" t="s">
        <v>12</v>
      </c>
      <c r="L43" s="60">
        <f>B50+C50</f>
        <v>139750000</v>
      </c>
    </row>
    <row r="44" spans="1:12" ht="15.75">
      <c r="A44" s="12"/>
      <c r="B44" s="13"/>
      <c r="C44" s="13"/>
      <c r="D44" s="54"/>
      <c r="E44" s="56"/>
      <c r="F44" s="13"/>
      <c r="G44" s="58"/>
      <c r="H44" s="14"/>
      <c r="I44" s="38"/>
      <c r="J44" s="39"/>
      <c r="K44" s="40" t="s">
        <v>13</v>
      </c>
      <c r="L44" s="61">
        <v>49100000</v>
      </c>
    </row>
    <row r="45" spans="1:12" ht="15.75">
      <c r="A45" s="12"/>
      <c r="B45" s="13"/>
      <c r="C45" s="13"/>
      <c r="D45" s="54"/>
      <c r="E45" s="56"/>
      <c r="F45" s="13"/>
      <c r="G45" s="58"/>
      <c r="H45" s="14"/>
      <c r="I45" s="29"/>
      <c r="J45" s="39"/>
      <c r="K45" s="40" t="s">
        <v>14</v>
      </c>
      <c r="L45" s="61">
        <v>237405000</v>
      </c>
    </row>
    <row r="46" spans="1:12" ht="15.75">
      <c r="A46" s="49"/>
      <c r="B46" s="50"/>
      <c r="C46" s="50"/>
      <c r="D46" s="54"/>
      <c r="E46" s="56"/>
      <c r="F46" s="50"/>
      <c r="G46" s="58"/>
      <c r="H46" s="51"/>
      <c r="I46" s="29"/>
      <c r="J46" s="39"/>
      <c r="K46" s="40" t="s">
        <v>15</v>
      </c>
      <c r="L46" s="41">
        <f>L44+L45</f>
        <v>286505000</v>
      </c>
    </row>
    <row r="47" spans="1:12" ht="15.75">
      <c r="A47" s="12"/>
      <c r="B47" s="13"/>
      <c r="C47" s="13"/>
      <c r="D47" s="54"/>
      <c r="E47" s="56"/>
      <c r="F47" s="13"/>
      <c r="G47" s="58"/>
      <c r="H47" s="14"/>
      <c r="I47" s="29"/>
      <c r="J47" s="39"/>
      <c r="K47" s="42"/>
      <c r="L47" s="37"/>
    </row>
    <row r="48" spans="1:12" ht="18">
      <c r="A48" s="12"/>
      <c r="B48" s="13"/>
      <c r="C48" s="13"/>
      <c r="D48" s="54"/>
      <c r="E48" s="56"/>
      <c r="F48" s="13"/>
      <c r="G48" s="58"/>
      <c r="H48" s="14"/>
      <c r="I48" s="29"/>
      <c r="J48" s="80" t="s">
        <v>111</v>
      </c>
      <c r="K48" s="80"/>
      <c r="L48" s="43">
        <f>L43-L46</f>
        <v>-146755000</v>
      </c>
    </row>
    <row r="49" spans="1:12">
      <c r="A49" s="12"/>
      <c r="B49" s="13"/>
      <c r="C49" s="13"/>
      <c r="D49" s="54"/>
      <c r="E49" s="56"/>
      <c r="F49" s="13"/>
      <c r="G49" s="58"/>
      <c r="H49" s="14"/>
      <c r="I49" s="1"/>
      <c r="J49" s="29"/>
      <c r="K49" s="29"/>
      <c r="L49" s="1"/>
    </row>
    <row r="50" spans="1:12">
      <c r="A50" s="12"/>
      <c r="B50" s="44">
        <f t="shared" ref="B50:G50" si="6">SUM(B8:B49)</f>
        <v>87180000</v>
      </c>
      <c r="C50" s="44">
        <f t="shared" si="6"/>
        <v>52570000</v>
      </c>
      <c r="D50" s="55">
        <f t="shared" si="6"/>
        <v>139750000</v>
      </c>
      <c r="E50" s="57">
        <f t="shared" si="6"/>
        <v>49100000</v>
      </c>
      <c r="F50" s="53">
        <f t="shared" si="6"/>
        <v>90650000</v>
      </c>
      <c r="G50" s="59">
        <f t="shared" si="6"/>
        <v>3470000</v>
      </c>
      <c r="H50" s="29"/>
      <c r="I50" s="1"/>
      <c r="J50" s="1"/>
      <c r="K50" s="1"/>
      <c r="L50" s="1"/>
    </row>
    <row r="51" spans="1:12">
      <c r="A51" s="1"/>
      <c r="B51" s="1"/>
      <c r="C51" s="1"/>
      <c r="D51" s="45"/>
      <c r="E51" s="1"/>
      <c r="F51" s="1"/>
      <c r="G51" s="1"/>
      <c r="H51" s="29"/>
      <c r="I51" s="1"/>
      <c r="J51" s="1"/>
      <c r="K51" s="1"/>
      <c r="L51" s="1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L51"/>
  <sheetViews>
    <sheetView topLeftCell="A25" workbookViewId="0">
      <selection activeCell="J49" sqref="J49"/>
    </sheetView>
  </sheetViews>
  <sheetFormatPr defaultRowHeight="15"/>
  <cols>
    <col min="1" max="1" width="7.7109375" customWidth="1"/>
    <col min="2" max="2" width="14.28515625" customWidth="1"/>
    <col min="3" max="3" width="14.140625" customWidth="1"/>
    <col min="4" max="4" width="15.28515625" customWidth="1"/>
    <col min="5" max="5" width="14.28515625" customWidth="1"/>
    <col min="6" max="6" width="15.140625" customWidth="1"/>
    <col min="7" max="7" width="13.7109375" customWidth="1"/>
    <col min="11" max="11" width="41.7109375" customWidth="1"/>
    <col min="12" max="12" width="18" customWidth="1"/>
  </cols>
  <sheetData>
    <row r="3" spans="1:12">
      <c r="A3" s="81" t="s">
        <v>70</v>
      </c>
      <c r="B3" s="82"/>
      <c r="C3" s="82"/>
      <c r="D3" s="82"/>
      <c r="E3" s="82"/>
      <c r="F3" s="1"/>
      <c r="G3" s="1"/>
      <c r="H3" s="1"/>
      <c r="I3" s="1"/>
      <c r="J3" s="1"/>
      <c r="K3" s="1"/>
      <c r="L3" s="1"/>
    </row>
    <row r="4" spans="1:12">
      <c r="A4" s="83"/>
      <c r="B4" s="83"/>
      <c r="C4" s="83"/>
      <c r="D4" s="83"/>
      <c r="E4" s="83"/>
      <c r="F4" s="1"/>
      <c r="G4" s="1"/>
      <c r="H4" s="1"/>
      <c r="I4" s="1"/>
      <c r="J4" s="1"/>
      <c r="K4" s="1"/>
      <c r="L4" s="1"/>
    </row>
    <row r="5" spans="1:12" ht="15.75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2"/>
      <c r="I5" s="3"/>
      <c r="J5" s="4" t="s">
        <v>6</v>
      </c>
      <c r="K5" s="5"/>
      <c r="L5" s="6"/>
    </row>
    <row r="6" spans="1:12" ht="15.75">
      <c r="A6" s="85"/>
      <c r="B6" s="7" t="s">
        <v>7</v>
      </c>
      <c r="C6" s="72" t="s">
        <v>8</v>
      </c>
      <c r="D6" s="89"/>
      <c r="E6" s="79"/>
      <c r="F6" s="89"/>
      <c r="G6" s="79"/>
      <c r="H6" s="2"/>
      <c r="I6" s="3"/>
      <c r="J6" s="9" t="s">
        <v>0</v>
      </c>
      <c r="K6" s="10" t="s">
        <v>9</v>
      </c>
      <c r="L6" s="11" t="s">
        <v>10</v>
      </c>
    </row>
    <row r="7" spans="1:12">
      <c r="A7" s="49"/>
      <c r="B7" s="64"/>
      <c r="C7" s="64"/>
      <c r="D7" s="66"/>
      <c r="E7" s="65"/>
      <c r="F7" s="64"/>
      <c r="G7" s="67"/>
      <c r="H7" s="51"/>
      <c r="I7" s="6"/>
      <c r="J7" s="12"/>
      <c r="K7" s="15"/>
      <c r="L7" s="16"/>
    </row>
    <row r="8" spans="1:12">
      <c r="A8" s="49">
        <v>45352</v>
      </c>
      <c r="B8" s="50"/>
      <c r="C8" s="50">
        <v>900000</v>
      </c>
      <c r="D8" s="54">
        <v>900000</v>
      </c>
      <c r="E8" s="56">
        <v>2315000</v>
      </c>
      <c r="F8" s="50">
        <f t="shared" ref="F8:F16" si="0">D8-E8</f>
        <v>-1415000</v>
      </c>
      <c r="G8" s="58">
        <f t="shared" ref="G8:G16" si="1">C8-E8</f>
        <v>-1415000</v>
      </c>
      <c r="H8" s="51"/>
      <c r="I8" s="6"/>
      <c r="J8" s="68">
        <v>45352</v>
      </c>
      <c r="K8" s="63" t="s">
        <v>71</v>
      </c>
      <c r="L8" s="18">
        <v>2000000</v>
      </c>
    </row>
    <row r="9" spans="1:12">
      <c r="A9" s="12">
        <v>45353</v>
      </c>
      <c r="B9" s="13">
        <v>5800000</v>
      </c>
      <c r="C9" s="13">
        <v>4590000</v>
      </c>
      <c r="D9" s="54">
        <f>B9+C9</f>
        <v>10390000</v>
      </c>
      <c r="E9" s="56">
        <v>3545000</v>
      </c>
      <c r="F9" s="13">
        <f t="shared" si="0"/>
        <v>6845000</v>
      </c>
      <c r="G9" s="58">
        <f t="shared" si="1"/>
        <v>1045000</v>
      </c>
      <c r="H9" s="14"/>
      <c r="I9" s="19"/>
      <c r="J9" s="17">
        <v>45354</v>
      </c>
      <c r="K9" s="63" t="s">
        <v>72</v>
      </c>
      <c r="L9" s="18">
        <v>4000000</v>
      </c>
    </row>
    <row r="10" spans="1:12">
      <c r="A10" s="12">
        <v>45354</v>
      </c>
      <c r="B10" s="13">
        <v>1850000</v>
      </c>
      <c r="C10" s="13"/>
      <c r="D10" s="54">
        <v>1850000</v>
      </c>
      <c r="E10" s="56">
        <v>950000</v>
      </c>
      <c r="F10" s="13">
        <f t="shared" si="0"/>
        <v>900000</v>
      </c>
      <c r="G10" s="58">
        <f t="shared" si="1"/>
        <v>-950000</v>
      </c>
      <c r="H10" s="14"/>
      <c r="I10" s="6"/>
      <c r="J10" s="20" t="s">
        <v>74</v>
      </c>
      <c r="K10" s="21" t="s">
        <v>75</v>
      </c>
      <c r="L10" s="18">
        <v>600000</v>
      </c>
    </row>
    <row r="11" spans="1:12">
      <c r="A11" s="12">
        <v>45355</v>
      </c>
      <c r="B11" s="13">
        <v>3850000</v>
      </c>
      <c r="C11" s="13">
        <v>3050000</v>
      </c>
      <c r="D11" s="54">
        <f>B11+C11</f>
        <v>6900000</v>
      </c>
      <c r="E11" s="56">
        <v>2985000</v>
      </c>
      <c r="F11" s="50">
        <f t="shared" si="0"/>
        <v>3915000</v>
      </c>
      <c r="G11" s="58">
        <f t="shared" si="1"/>
        <v>65000</v>
      </c>
      <c r="H11" s="14"/>
      <c r="I11" s="22"/>
      <c r="J11" s="20" t="s">
        <v>79</v>
      </c>
      <c r="K11" s="46" t="s">
        <v>82</v>
      </c>
      <c r="L11" s="18">
        <v>2600000</v>
      </c>
    </row>
    <row r="12" spans="1:12">
      <c r="A12" s="12" t="s">
        <v>73</v>
      </c>
      <c r="B12" s="13">
        <v>2000000</v>
      </c>
      <c r="C12" s="13">
        <v>9590000</v>
      </c>
      <c r="D12" s="54">
        <f>B12+C12</f>
        <v>11590000</v>
      </c>
      <c r="E12" s="56">
        <v>2730000</v>
      </c>
      <c r="F12" s="50">
        <f t="shared" si="0"/>
        <v>8860000</v>
      </c>
      <c r="G12" s="58">
        <f t="shared" si="1"/>
        <v>6860000</v>
      </c>
      <c r="H12" s="14"/>
      <c r="I12" s="22"/>
      <c r="J12" s="12" t="s">
        <v>84</v>
      </c>
      <c r="K12" s="63" t="s">
        <v>39</v>
      </c>
      <c r="L12" s="18">
        <v>500000</v>
      </c>
    </row>
    <row r="13" spans="1:12">
      <c r="A13" s="12" t="s">
        <v>74</v>
      </c>
      <c r="B13" s="13">
        <v>1375000</v>
      </c>
      <c r="C13" s="50">
        <v>3250000</v>
      </c>
      <c r="D13" s="54">
        <f>B13+C13</f>
        <v>4625000</v>
      </c>
      <c r="E13" s="56">
        <v>1790000</v>
      </c>
      <c r="F13" s="13">
        <f t="shared" si="0"/>
        <v>2835000</v>
      </c>
      <c r="G13" s="58">
        <f t="shared" si="1"/>
        <v>1460000</v>
      </c>
      <c r="H13" s="14"/>
      <c r="I13" s="6"/>
      <c r="J13" s="12">
        <v>45366</v>
      </c>
      <c r="K13" s="21" t="s">
        <v>85</v>
      </c>
      <c r="L13" s="18">
        <v>600000</v>
      </c>
    </row>
    <row r="14" spans="1:12">
      <c r="A14" s="12" t="s">
        <v>76</v>
      </c>
      <c r="B14" s="13">
        <v>750000</v>
      </c>
      <c r="C14" s="13">
        <v>2450000</v>
      </c>
      <c r="D14" s="54">
        <f>B14+C14</f>
        <v>3200000</v>
      </c>
      <c r="E14" s="56">
        <v>2360000</v>
      </c>
      <c r="F14" s="13">
        <f t="shared" si="0"/>
        <v>840000</v>
      </c>
      <c r="G14" s="58">
        <f t="shared" si="1"/>
        <v>90000</v>
      </c>
      <c r="H14" s="14"/>
      <c r="I14" s="6"/>
      <c r="J14" s="12">
        <v>45366</v>
      </c>
      <c r="K14" s="15" t="s">
        <v>30</v>
      </c>
      <c r="L14" s="18">
        <v>1300000</v>
      </c>
    </row>
    <row r="15" spans="1:12">
      <c r="A15" s="49" t="s">
        <v>77</v>
      </c>
      <c r="B15" s="50"/>
      <c r="C15" s="50"/>
      <c r="D15" s="54"/>
      <c r="E15" s="56">
        <v>1550000</v>
      </c>
      <c r="F15" s="50">
        <f t="shared" si="0"/>
        <v>-1550000</v>
      </c>
      <c r="G15" s="58">
        <f t="shared" si="1"/>
        <v>-1550000</v>
      </c>
      <c r="H15" s="52"/>
      <c r="I15" s="6"/>
      <c r="J15" s="12">
        <v>45369</v>
      </c>
      <c r="K15" s="25" t="s">
        <v>34</v>
      </c>
      <c r="L15" s="18">
        <v>500000</v>
      </c>
    </row>
    <row r="16" spans="1:12">
      <c r="A16" s="12" t="s">
        <v>78</v>
      </c>
      <c r="B16" s="13">
        <v>2500000</v>
      </c>
      <c r="C16" s="13">
        <v>350000</v>
      </c>
      <c r="D16" s="54">
        <f>B16+C16</f>
        <v>2850000</v>
      </c>
      <c r="E16" s="56">
        <v>2720000</v>
      </c>
      <c r="F16" s="13">
        <f t="shared" si="0"/>
        <v>130000</v>
      </c>
      <c r="G16" s="58">
        <f t="shared" si="1"/>
        <v>-2370000</v>
      </c>
      <c r="H16" s="24"/>
      <c r="I16" s="22"/>
      <c r="J16" s="12">
        <v>45369</v>
      </c>
      <c r="K16" s="25" t="s">
        <v>86</v>
      </c>
      <c r="L16" s="18">
        <v>500000</v>
      </c>
    </row>
    <row r="17" spans="1:12">
      <c r="A17" s="70" t="s">
        <v>79</v>
      </c>
      <c r="B17" s="71"/>
      <c r="C17" s="71"/>
      <c r="D17" s="71"/>
      <c r="E17" s="71"/>
      <c r="F17" s="71"/>
      <c r="G17" s="71"/>
      <c r="H17" s="24"/>
      <c r="I17" s="26"/>
      <c r="J17" s="27">
        <v>45369</v>
      </c>
      <c r="K17" s="47" t="s">
        <v>65</v>
      </c>
      <c r="L17" s="48">
        <v>500000</v>
      </c>
    </row>
    <row r="18" spans="1:12">
      <c r="A18" s="70" t="s">
        <v>80</v>
      </c>
      <c r="B18" s="71"/>
      <c r="C18" s="71"/>
      <c r="D18" s="71"/>
      <c r="E18" s="71"/>
      <c r="F18" s="71"/>
      <c r="G18" s="71"/>
      <c r="H18" s="24"/>
      <c r="I18" s="26"/>
      <c r="J18" s="12">
        <v>45377</v>
      </c>
      <c r="K18" s="25" t="s">
        <v>41</v>
      </c>
      <c r="L18" s="18">
        <v>9000000</v>
      </c>
    </row>
    <row r="19" spans="1:12">
      <c r="A19" s="12" t="s">
        <v>81</v>
      </c>
      <c r="B19" s="13">
        <v>700000</v>
      </c>
      <c r="C19" s="13">
        <v>800000</v>
      </c>
      <c r="D19" s="54">
        <f>B19+C19</f>
        <v>1500000</v>
      </c>
      <c r="E19" s="56">
        <v>1375000</v>
      </c>
      <c r="F19" s="13">
        <f>D19-E19</f>
        <v>125000</v>
      </c>
      <c r="G19" s="58">
        <f>C19-E19</f>
        <v>-575000</v>
      </c>
      <c r="H19" s="24"/>
      <c r="I19" s="29"/>
      <c r="J19" s="12">
        <v>45377</v>
      </c>
      <c r="K19" s="23" t="s">
        <v>87</v>
      </c>
      <c r="L19" s="18">
        <v>170000</v>
      </c>
    </row>
    <row r="20" spans="1:12">
      <c r="A20" s="12" t="s">
        <v>83</v>
      </c>
      <c r="B20" s="13">
        <v>1100000</v>
      </c>
      <c r="C20" s="13">
        <v>450000</v>
      </c>
      <c r="D20" s="54">
        <f>B20+C20</f>
        <v>1550000</v>
      </c>
      <c r="E20" s="56">
        <v>1310000</v>
      </c>
      <c r="F20" s="13">
        <f>D20-E20</f>
        <v>240000</v>
      </c>
      <c r="G20" s="58">
        <f>C20-E20</f>
        <v>-860000</v>
      </c>
      <c r="H20" s="24"/>
      <c r="I20" s="29"/>
      <c r="J20" s="27">
        <v>45377</v>
      </c>
      <c r="K20" s="30" t="s">
        <v>34</v>
      </c>
      <c r="L20" s="18">
        <v>200000</v>
      </c>
    </row>
    <row r="21" spans="1:12">
      <c r="A21" s="49" t="s">
        <v>84</v>
      </c>
      <c r="B21" s="50">
        <v>6480000</v>
      </c>
      <c r="C21" s="50">
        <v>460000</v>
      </c>
      <c r="D21" s="54">
        <f>B21+C21</f>
        <v>6940000</v>
      </c>
      <c r="E21" s="56">
        <v>940000</v>
      </c>
      <c r="F21" s="50">
        <f>D21-E21</f>
        <v>6000000</v>
      </c>
      <c r="G21" s="58">
        <f>C21-E21</f>
        <v>-480000</v>
      </c>
      <c r="H21" s="24"/>
      <c r="I21" s="31"/>
      <c r="J21" s="32">
        <v>45378</v>
      </c>
      <c r="K21" s="23" t="s">
        <v>88</v>
      </c>
      <c r="L21" s="18">
        <v>2900000</v>
      </c>
    </row>
    <row r="22" spans="1:12">
      <c r="A22" s="49">
        <v>45366</v>
      </c>
      <c r="B22" s="50">
        <v>250000</v>
      </c>
      <c r="C22" s="50">
        <v>3450000</v>
      </c>
      <c r="D22" s="54">
        <f>B22+C22</f>
        <v>3700000</v>
      </c>
      <c r="E22" s="56">
        <v>1830000</v>
      </c>
      <c r="F22" s="50">
        <f>D22-E22</f>
        <v>1870000</v>
      </c>
      <c r="G22" s="58">
        <f>C22-E22</f>
        <v>1620000</v>
      </c>
      <c r="H22" s="51"/>
      <c r="I22" s="29"/>
      <c r="J22" s="27">
        <v>45380</v>
      </c>
      <c r="K22" s="30" t="s">
        <v>41</v>
      </c>
      <c r="L22" s="18">
        <v>15000000</v>
      </c>
    </row>
    <row r="23" spans="1:12">
      <c r="A23" s="12">
        <v>45367</v>
      </c>
      <c r="B23" s="13">
        <v>2050000</v>
      </c>
      <c r="C23" s="13">
        <v>4000000</v>
      </c>
      <c r="D23" s="54">
        <f>B23+C23</f>
        <v>6050000</v>
      </c>
      <c r="E23" s="56">
        <v>3440000</v>
      </c>
      <c r="F23" s="13">
        <f>D23-E23</f>
        <v>2610000</v>
      </c>
      <c r="G23" s="58">
        <f>C23-E23</f>
        <v>560000</v>
      </c>
      <c r="H23" s="14"/>
      <c r="I23" s="29"/>
      <c r="J23" s="27">
        <v>45380</v>
      </c>
      <c r="K23" s="30" t="s">
        <v>89</v>
      </c>
      <c r="L23" s="18">
        <v>9990000</v>
      </c>
    </row>
    <row r="24" spans="1:12">
      <c r="A24" s="70">
        <v>45368</v>
      </c>
      <c r="B24" s="71"/>
      <c r="C24" s="71"/>
      <c r="D24" s="71"/>
      <c r="E24" s="71"/>
      <c r="F24" s="71"/>
      <c r="G24" s="71"/>
      <c r="H24" s="14"/>
      <c r="I24" s="31"/>
      <c r="J24" s="27">
        <v>45381</v>
      </c>
      <c r="K24" s="30" t="s">
        <v>40</v>
      </c>
      <c r="L24" s="18">
        <v>1550000</v>
      </c>
    </row>
    <row r="25" spans="1:12">
      <c r="A25" s="12">
        <v>45369</v>
      </c>
      <c r="B25" s="13"/>
      <c r="C25" s="13">
        <v>2260000</v>
      </c>
      <c r="D25" s="54">
        <v>2260000</v>
      </c>
      <c r="E25" s="56">
        <v>1175000</v>
      </c>
      <c r="F25" s="13">
        <f t="shared" ref="F25:F31" si="2">D25-E25</f>
        <v>1085000</v>
      </c>
      <c r="G25" s="58">
        <f t="shared" ref="G25:G31" si="3">C25-E25</f>
        <v>1085000</v>
      </c>
      <c r="H25" s="14"/>
      <c r="I25" s="31"/>
      <c r="J25" s="27">
        <v>45381</v>
      </c>
      <c r="K25" s="30" t="s">
        <v>65</v>
      </c>
      <c r="L25" s="18">
        <v>200000</v>
      </c>
    </row>
    <row r="26" spans="1:12">
      <c r="A26" s="12">
        <v>45370</v>
      </c>
      <c r="B26" s="13">
        <v>9250000</v>
      </c>
      <c r="C26" s="13">
        <v>3850000</v>
      </c>
      <c r="D26" s="54">
        <f>B26+C26</f>
        <v>13100000</v>
      </c>
      <c r="E26" s="56">
        <v>3410000</v>
      </c>
      <c r="F26" s="13">
        <f t="shared" si="2"/>
        <v>9690000</v>
      </c>
      <c r="G26" s="58">
        <f t="shared" si="3"/>
        <v>440000</v>
      </c>
      <c r="H26" s="14"/>
      <c r="I26" s="29"/>
      <c r="J26" s="27">
        <v>45382</v>
      </c>
      <c r="K26" s="30" t="s">
        <v>86</v>
      </c>
      <c r="L26" s="18">
        <v>10000000</v>
      </c>
    </row>
    <row r="27" spans="1:12">
      <c r="A27" s="12">
        <v>45371</v>
      </c>
      <c r="B27" s="13">
        <v>750000</v>
      </c>
      <c r="C27" s="13">
        <v>2300000</v>
      </c>
      <c r="D27" s="54">
        <f>B27+C27</f>
        <v>3050000</v>
      </c>
      <c r="E27" s="56">
        <v>1430000</v>
      </c>
      <c r="F27" s="13">
        <f t="shared" si="2"/>
        <v>1620000</v>
      </c>
      <c r="G27" s="58">
        <f t="shared" si="3"/>
        <v>870000</v>
      </c>
      <c r="H27" s="33"/>
      <c r="I27" s="29"/>
      <c r="J27" s="27">
        <v>45382</v>
      </c>
      <c r="K27" s="30" t="s">
        <v>90</v>
      </c>
      <c r="L27" s="18">
        <v>3000000</v>
      </c>
    </row>
    <row r="28" spans="1:12">
      <c r="A28" s="12">
        <v>45372</v>
      </c>
      <c r="B28" s="13"/>
      <c r="C28" s="13">
        <v>1225000</v>
      </c>
      <c r="D28" s="54">
        <v>1225000</v>
      </c>
      <c r="E28" s="56">
        <v>1510000</v>
      </c>
      <c r="F28" s="13">
        <f t="shared" si="2"/>
        <v>-285000</v>
      </c>
      <c r="G28" s="58">
        <f t="shared" si="3"/>
        <v>-285000</v>
      </c>
      <c r="H28" s="14"/>
      <c r="I28" s="29"/>
      <c r="J28" s="27">
        <v>45382</v>
      </c>
      <c r="K28" s="30" t="s">
        <v>91</v>
      </c>
      <c r="L28" s="18">
        <v>9500000</v>
      </c>
    </row>
    <row r="29" spans="1:12">
      <c r="A29" s="12">
        <v>45373</v>
      </c>
      <c r="B29" s="13">
        <v>4350000</v>
      </c>
      <c r="C29" s="13">
        <v>3050000</v>
      </c>
      <c r="D29" s="54">
        <f>B29+C29</f>
        <v>7400000</v>
      </c>
      <c r="E29" s="56">
        <v>2525000</v>
      </c>
      <c r="F29" s="13">
        <f t="shared" si="2"/>
        <v>4875000</v>
      </c>
      <c r="G29" s="58">
        <f t="shared" si="3"/>
        <v>525000</v>
      </c>
      <c r="H29" s="14"/>
      <c r="I29" s="29"/>
      <c r="J29" s="27"/>
      <c r="K29" s="30"/>
      <c r="L29" s="18"/>
    </row>
    <row r="30" spans="1:12">
      <c r="A30" s="12">
        <v>45374</v>
      </c>
      <c r="B30" s="13">
        <v>4800000</v>
      </c>
      <c r="C30" s="13">
        <v>2050000</v>
      </c>
      <c r="D30" s="54">
        <f>B30+C30</f>
        <v>6850000</v>
      </c>
      <c r="E30" s="56">
        <v>1685000</v>
      </c>
      <c r="F30" s="13">
        <f t="shared" si="2"/>
        <v>5165000</v>
      </c>
      <c r="G30" s="58">
        <f t="shared" si="3"/>
        <v>365000</v>
      </c>
      <c r="H30" s="14"/>
      <c r="I30" s="29"/>
      <c r="J30" s="27"/>
      <c r="K30" s="30"/>
      <c r="L30" s="18"/>
    </row>
    <row r="31" spans="1:12">
      <c r="A31" s="12">
        <v>45375</v>
      </c>
      <c r="B31" s="13">
        <v>2100000</v>
      </c>
      <c r="C31" s="13">
        <v>1000000</v>
      </c>
      <c r="D31" s="54">
        <f>B31+C31</f>
        <v>3100000</v>
      </c>
      <c r="E31" s="56">
        <v>785000</v>
      </c>
      <c r="F31" s="13">
        <f t="shared" si="2"/>
        <v>2315000</v>
      </c>
      <c r="G31" s="58">
        <f t="shared" si="3"/>
        <v>215000</v>
      </c>
      <c r="H31" s="14"/>
      <c r="I31" s="29"/>
      <c r="J31" s="27"/>
      <c r="K31" s="30"/>
      <c r="L31" s="18"/>
    </row>
    <row r="32" spans="1:12">
      <c r="A32" s="12">
        <v>45376</v>
      </c>
      <c r="B32" s="13">
        <v>850000</v>
      </c>
      <c r="C32" s="13"/>
      <c r="D32" s="54">
        <v>850000</v>
      </c>
      <c r="E32" s="56">
        <v>2185000</v>
      </c>
      <c r="F32" s="13">
        <f t="shared" ref="F32:F38" si="4">D32-E32</f>
        <v>-1335000</v>
      </c>
      <c r="G32" s="58">
        <f t="shared" ref="G32:G38" si="5">C32-E32</f>
        <v>-2185000</v>
      </c>
      <c r="H32" s="14"/>
      <c r="I32" s="29"/>
      <c r="J32" s="27"/>
      <c r="K32" s="30"/>
      <c r="L32" s="18"/>
    </row>
    <row r="33" spans="1:12">
      <c r="A33" s="12">
        <v>45377</v>
      </c>
      <c r="B33" s="13">
        <v>2250000</v>
      </c>
      <c r="C33" s="13">
        <v>50000</v>
      </c>
      <c r="D33" s="54">
        <f t="shared" ref="D33:D38" si="6">B33+C33</f>
        <v>2300000</v>
      </c>
      <c r="E33" s="56">
        <v>2930000</v>
      </c>
      <c r="F33" s="13">
        <f t="shared" si="4"/>
        <v>-630000</v>
      </c>
      <c r="G33" s="58">
        <f t="shared" si="5"/>
        <v>-2880000</v>
      </c>
      <c r="H33" s="14"/>
      <c r="I33" s="29"/>
      <c r="J33" s="27"/>
      <c r="K33" s="30"/>
      <c r="L33" s="18"/>
    </row>
    <row r="34" spans="1:12">
      <c r="A34" s="12">
        <v>45378</v>
      </c>
      <c r="B34" s="13">
        <v>1200000</v>
      </c>
      <c r="C34" s="13">
        <v>180000</v>
      </c>
      <c r="D34" s="54">
        <f t="shared" si="6"/>
        <v>1380000</v>
      </c>
      <c r="E34" s="56">
        <v>1225000</v>
      </c>
      <c r="F34" s="13">
        <f t="shared" si="4"/>
        <v>155000</v>
      </c>
      <c r="G34" s="58">
        <f t="shared" si="5"/>
        <v>-1045000</v>
      </c>
      <c r="H34" s="14"/>
      <c r="I34" s="29"/>
      <c r="J34" s="27"/>
      <c r="K34" s="30"/>
      <c r="L34" s="18"/>
    </row>
    <row r="35" spans="1:12">
      <c r="A35" s="12">
        <v>45379</v>
      </c>
      <c r="B35" s="13">
        <v>3300000</v>
      </c>
      <c r="C35" s="13">
        <v>3450000</v>
      </c>
      <c r="D35" s="54">
        <f t="shared" si="6"/>
        <v>6750000</v>
      </c>
      <c r="E35" s="56">
        <v>2170000</v>
      </c>
      <c r="F35" s="13">
        <f t="shared" si="4"/>
        <v>4580000</v>
      </c>
      <c r="G35" s="58">
        <f t="shared" si="5"/>
        <v>1280000</v>
      </c>
      <c r="H35" s="14"/>
      <c r="I35" s="29"/>
      <c r="J35" s="27"/>
      <c r="K35" s="30"/>
      <c r="L35" s="18"/>
    </row>
    <row r="36" spans="1:12">
      <c r="A36" s="12">
        <v>45380</v>
      </c>
      <c r="B36" s="13">
        <v>17825000</v>
      </c>
      <c r="C36" s="13">
        <v>2700000</v>
      </c>
      <c r="D36" s="54">
        <f t="shared" si="6"/>
        <v>20525000</v>
      </c>
      <c r="E36" s="56">
        <v>2680000</v>
      </c>
      <c r="F36" s="13">
        <f t="shared" si="4"/>
        <v>17845000</v>
      </c>
      <c r="G36" s="58">
        <f t="shared" si="5"/>
        <v>20000</v>
      </c>
      <c r="H36" s="14"/>
      <c r="I36" s="29"/>
      <c r="J36" s="27"/>
      <c r="K36" s="30"/>
      <c r="L36" s="18"/>
    </row>
    <row r="37" spans="1:12">
      <c r="A37" s="12">
        <v>45381</v>
      </c>
      <c r="B37" s="13">
        <v>2800000</v>
      </c>
      <c r="C37" s="13">
        <v>1650000</v>
      </c>
      <c r="D37" s="54">
        <f t="shared" si="6"/>
        <v>4450000</v>
      </c>
      <c r="E37" s="56">
        <v>2235000</v>
      </c>
      <c r="F37" s="13">
        <f t="shared" si="4"/>
        <v>2215000</v>
      </c>
      <c r="G37" s="58">
        <f t="shared" si="5"/>
        <v>-585000</v>
      </c>
      <c r="H37" s="14"/>
      <c r="I37" s="29"/>
      <c r="J37" s="27"/>
      <c r="K37" s="30"/>
      <c r="L37" s="18"/>
    </row>
    <row r="38" spans="1:12">
      <c r="A38" s="12">
        <v>45382</v>
      </c>
      <c r="B38" s="13">
        <v>2950000</v>
      </c>
      <c r="C38" s="13">
        <v>300000</v>
      </c>
      <c r="D38" s="54">
        <f t="shared" si="6"/>
        <v>3250000</v>
      </c>
      <c r="E38" s="56">
        <v>600000</v>
      </c>
      <c r="F38" s="13">
        <f t="shared" si="4"/>
        <v>2650000</v>
      </c>
      <c r="G38" s="58">
        <f t="shared" si="5"/>
        <v>-300000</v>
      </c>
      <c r="H38" s="14"/>
      <c r="I38" s="29"/>
      <c r="J38" s="27"/>
      <c r="K38" s="30"/>
      <c r="L38" s="18"/>
    </row>
    <row r="39" spans="1:12">
      <c r="A39" s="49"/>
      <c r="B39" s="50"/>
      <c r="C39" s="50"/>
      <c r="D39" s="54"/>
      <c r="E39" s="56"/>
      <c r="F39" s="50"/>
      <c r="G39" s="58"/>
      <c r="H39" s="51"/>
      <c r="I39" s="29"/>
      <c r="J39" s="27"/>
      <c r="K39" s="30"/>
      <c r="L39" s="18"/>
    </row>
    <row r="40" spans="1:12">
      <c r="A40" s="12"/>
      <c r="B40" s="13"/>
      <c r="C40" s="13"/>
      <c r="D40" s="54"/>
      <c r="E40" s="56"/>
      <c r="F40" s="13"/>
      <c r="G40" s="58"/>
      <c r="H40" s="14"/>
      <c r="I40" s="29"/>
      <c r="J40" s="27"/>
      <c r="K40" s="30"/>
      <c r="L40" s="18"/>
    </row>
    <row r="41" spans="1:12">
      <c r="A41" s="12"/>
      <c r="B41" s="13"/>
      <c r="C41" s="13"/>
      <c r="D41" s="54"/>
      <c r="E41" s="56"/>
      <c r="F41" s="13"/>
      <c r="G41" s="58"/>
      <c r="H41" s="14"/>
      <c r="I41" s="29"/>
      <c r="J41" s="34"/>
      <c r="K41" s="23"/>
      <c r="L41" s="62">
        <f>SUM(L8:L40)</f>
        <v>74610000</v>
      </c>
    </row>
    <row r="42" spans="1:12">
      <c r="A42" s="12"/>
      <c r="B42" s="13"/>
      <c r="C42" s="13"/>
      <c r="D42" s="54"/>
      <c r="E42" s="56"/>
      <c r="F42" s="13"/>
      <c r="G42" s="58"/>
      <c r="H42" s="14"/>
      <c r="I42" s="29"/>
      <c r="J42" s="28"/>
      <c r="K42" s="1"/>
      <c r="L42" s="1"/>
    </row>
    <row r="43" spans="1:12" ht="15.75">
      <c r="A43" s="12"/>
      <c r="B43" s="13"/>
      <c r="C43" s="13"/>
      <c r="D43" s="54"/>
      <c r="E43" s="56"/>
      <c r="F43" s="13"/>
      <c r="G43" s="58"/>
      <c r="H43" s="14"/>
      <c r="I43" s="29"/>
      <c r="J43" s="35" t="s">
        <v>11</v>
      </c>
      <c r="K43" s="36" t="s">
        <v>12</v>
      </c>
      <c r="L43" s="60">
        <f>B50+C50</f>
        <v>138535000</v>
      </c>
    </row>
    <row r="44" spans="1:12" ht="15.75">
      <c r="A44" s="12"/>
      <c r="B44" s="13"/>
      <c r="C44" s="13"/>
      <c r="D44" s="54"/>
      <c r="E44" s="56"/>
      <c r="F44" s="13"/>
      <c r="G44" s="58"/>
      <c r="H44" s="14"/>
      <c r="I44" s="38"/>
      <c r="J44" s="39"/>
      <c r="K44" s="40" t="s">
        <v>13</v>
      </c>
      <c r="L44" s="61">
        <v>56385000</v>
      </c>
    </row>
    <row r="45" spans="1:12" ht="15.75">
      <c r="A45" s="12"/>
      <c r="B45" s="13"/>
      <c r="C45" s="13"/>
      <c r="D45" s="54"/>
      <c r="E45" s="56"/>
      <c r="F45" s="13"/>
      <c r="G45" s="58"/>
      <c r="H45" s="14"/>
      <c r="I45" s="29"/>
      <c r="J45" s="39"/>
      <c r="K45" s="40" t="s">
        <v>14</v>
      </c>
      <c r="L45" s="61">
        <v>74610000</v>
      </c>
    </row>
    <row r="46" spans="1:12" ht="15.75">
      <c r="A46" s="49"/>
      <c r="B46" s="50"/>
      <c r="C46" s="50"/>
      <c r="D46" s="54"/>
      <c r="E46" s="56"/>
      <c r="F46" s="50"/>
      <c r="G46" s="58"/>
      <c r="H46" s="51"/>
      <c r="I46" s="29"/>
      <c r="J46" s="39"/>
      <c r="K46" s="40" t="s">
        <v>15</v>
      </c>
      <c r="L46" s="41">
        <f>L44+L45</f>
        <v>130995000</v>
      </c>
    </row>
    <row r="47" spans="1:12" ht="15.75">
      <c r="A47" s="12"/>
      <c r="B47" s="13"/>
      <c r="C47" s="13"/>
      <c r="D47" s="54"/>
      <c r="E47" s="56"/>
      <c r="F47" s="13"/>
      <c r="G47" s="58"/>
      <c r="H47" s="14"/>
      <c r="I47" s="29"/>
      <c r="J47" s="39"/>
      <c r="K47" s="42"/>
      <c r="L47" s="37"/>
    </row>
    <row r="48" spans="1:12" ht="18">
      <c r="A48" s="12"/>
      <c r="B48" s="13"/>
      <c r="C48" s="13"/>
      <c r="D48" s="54"/>
      <c r="E48" s="56"/>
      <c r="F48" s="13"/>
      <c r="G48" s="58"/>
      <c r="H48" s="14"/>
      <c r="I48" s="29"/>
      <c r="J48" s="80" t="s">
        <v>110</v>
      </c>
      <c r="K48" s="80"/>
      <c r="L48" s="43">
        <f>L43-L46</f>
        <v>7540000</v>
      </c>
    </row>
    <row r="49" spans="1:12">
      <c r="A49" s="12"/>
      <c r="B49" s="13"/>
      <c r="C49" s="13"/>
      <c r="D49" s="54"/>
      <c r="E49" s="56"/>
      <c r="F49" s="13"/>
      <c r="G49" s="58"/>
      <c r="H49" s="14"/>
      <c r="I49" s="1"/>
      <c r="J49" s="29"/>
      <c r="K49" s="29"/>
      <c r="L49" s="1"/>
    </row>
    <row r="50" spans="1:12">
      <c r="A50" s="12"/>
      <c r="B50" s="44">
        <f>SUM(B8:B49)</f>
        <v>81130000</v>
      </c>
      <c r="C50" s="44">
        <f>SUM(C8:C49)</f>
        <v>57405000</v>
      </c>
      <c r="D50" s="55">
        <f>SUM(D8:D49)</f>
        <v>138535000</v>
      </c>
      <c r="E50" s="57">
        <f>SUM(E8:E49)</f>
        <v>56385000</v>
      </c>
      <c r="F50" s="53">
        <f>SUM(F8:F49)</f>
        <v>82150000</v>
      </c>
      <c r="G50" s="59">
        <f>SUM(G7:G49)</f>
        <v>1020000</v>
      </c>
      <c r="H50" s="29"/>
      <c r="I50" s="1"/>
      <c r="J50" s="1"/>
      <c r="K50" s="1"/>
      <c r="L50" s="1"/>
    </row>
    <row r="51" spans="1:12">
      <c r="A51" s="1"/>
      <c r="B51" s="1"/>
      <c r="C51" s="1"/>
      <c r="D51" s="45"/>
      <c r="E51" s="1"/>
      <c r="F51" s="1"/>
      <c r="G51" s="1"/>
      <c r="H51" s="29"/>
      <c r="I51" s="1"/>
      <c r="J51" s="1"/>
      <c r="K51" s="1"/>
      <c r="L51" s="1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L50"/>
  <sheetViews>
    <sheetView topLeftCell="A25" workbookViewId="0">
      <selection activeCell="J26" sqref="J26"/>
    </sheetView>
  </sheetViews>
  <sheetFormatPr defaultRowHeight="15"/>
  <cols>
    <col min="2" max="2" width="14.28515625" customWidth="1"/>
    <col min="3" max="3" width="14.42578125" customWidth="1"/>
    <col min="4" max="4" width="15.42578125" customWidth="1"/>
    <col min="5" max="5" width="14.140625" customWidth="1"/>
    <col min="6" max="6" width="14.42578125" customWidth="1"/>
    <col min="7" max="7" width="16" customWidth="1"/>
    <col min="11" max="11" width="39.140625" customWidth="1"/>
    <col min="12" max="12" width="17.28515625" customWidth="1"/>
  </cols>
  <sheetData>
    <row r="3" spans="1:12">
      <c r="A3" s="81" t="s">
        <v>92</v>
      </c>
      <c r="B3" s="82"/>
      <c r="C3" s="82"/>
      <c r="D3" s="82"/>
      <c r="E3" s="82"/>
      <c r="F3" s="1"/>
      <c r="G3" s="1"/>
      <c r="H3" s="1"/>
      <c r="I3" s="1"/>
      <c r="J3" s="1"/>
      <c r="K3" s="1"/>
      <c r="L3" s="1"/>
    </row>
    <row r="4" spans="1:12">
      <c r="A4" s="83"/>
      <c r="B4" s="83"/>
      <c r="C4" s="83"/>
      <c r="D4" s="83"/>
      <c r="E4" s="83"/>
      <c r="F4" s="1"/>
      <c r="G4" s="1"/>
      <c r="H4" s="1"/>
      <c r="I4" s="1"/>
      <c r="J4" s="1"/>
      <c r="K4" s="1"/>
      <c r="L4" s="1"/>
    </row>
    <row r="5" spans="1:12" ht="15.75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2"/>
      <c r="I5" s="3"/>
      <c r="J5" s="4" t="s">
        <v>6</v>
      </c>
      <c r="K5" s="5"/>
      <c r="L5" s="6"/>
    </row>
    <row r="6" spans="1:12" ht="15.75">
      <c r="A6" s="85"/>
      <c r="B6" s="7" t="s">
        <v>7</v>
      </c>
      <c r="C6" s="72" t="s">
        <v>8</v>
      </c>
      <c r="D6" s="89"/>
      <c r="E6" s="79"/>
      <c r="F6" s="89"/>
      <c r="G6" s="79"/>
      <c r="H6" s="2"/>
      <c r="I6" s="3"/>
      <c r="J6" s="9" t="s">
        <v>0</v>
      </c>
      <c r="K6" s="10" t="s">
        <v>9</v>
      </c>
      <c r="L6" s="11" t="s">
        <v>10</v>
      </c>
    </row>
    <row r="7" spans="1:12">
      <c r="A7" s="49"/>
      <c r="B7" s="64"/>
      <c r="C7" s="64"/>
      <c r="D7" s="66"/>
      <c r="E7" s="65"/>
      <c r="F7" s="64"/>
      <c r="G7" s="67"/>
      <c r="H7" s="51"/>
      <c r="I7" s="6"/>
      <c r="J7" s="12"/>
      <c r="K7" s="15"/>
      <c r="L7" s="16"/>
    </row>
    <row r="8" spans="1:12">
      <c r="A8" s="49">
        <v>45383</v>
      </c>
      <c r="B8" s="50">
        <v>7400000</v>
      </c>
      <c r="C8" s="50">
        <v>9875000</v>
      </c>
      <c r="D8" s="54">
        <f t="shared" ref="D8:D15" si="0">B8+C8</f>
        <v>17275000</v>
      </c>
      <c r="E8" s="56">
        <v>9615000</v>
      </c>
      <c r="F8" s="50">
        <f t="shared" ref="F8:F15" si="1">D8-E8</f>
        <v>7660000</v>
      </c>
      <c r="G8" s="58">
        <f t="shared" ref="G8:G15" si="2">C8-E8</f>
        <v>260000</v>
      </c>
      <c r="H8" s="51"/>
      <c r="I8" s="6"/>
      <c r="J8" s="68">
        <v>45384</v>
      </c>
      <c r="K8" s="63" t="s">
        <v>93</v>
      </c>
      <c r="L8" s="18">
        <v>2000000</v>
      </c>
    </row>
    <row r="9" spans="1:12">
      <c r="A9" s="12">
        <v>45384</v>
      </c>
      <c r="B9" s="13">
        <v>3000000</v>
      </c>
      <c r="C9" s="13">
        <v>2750000</v>
      </c>
      <c r="D9" s="54">
        <f t="shared" si="0"/>
        <v>5750000</v>
      </c>
      <c r="E9" s="56">
        <v>5660000</v>
      </c>
      <c r="F9" s="13">
        <f t="shared" si="1"/>
        <v>90000</v>
      </c>
      <c r="G9" s="58">
        <f t="shared" si="2"/>
        <v>-2910000</v>
      </c>
      <c r="H9" s="14"/>
      <c r="I9" s="19"/>
      <c r="J9" s="17">
        <v>45385</v>
      </c>
      <c r="K9" s="63" t="s">
        <v>34</v>
      </c>
      <c r="L9" s="18">
        <v>500000</v>
      </c>
    </row>
    <row r="10" spans="1:12">
      <c r="A10" s="12">
        <v>45385</v>
      </c>
      <c r="B10" s="13">
        <v>11750000</v>
      </c>
      <c r="C10" s="13">
        <v>1400000</v>
      </c>
      <c r="D10" s="54">
        <f t="shared" si="0"/>
        <v>13150000</v>
      </c>
      <c r="E10" s="56">
        <v>2905000</v>
      </c>
      <c r="F10" s="13">
        <f t="shared" si="1"/>
        <v>10245000</v>
      </c>
      <c r="G10" s="58">
        <f t="shared" si="2"/>
        <v>-1505000</v>
      </c>
      <c r="H10" s="14"/>
      <c r="I10" s="6"/>
      <c r="J10" s="20">
        <v>45385</v>
      </c>
      <c r="K10" s="21" t="s">
        <v>94</v>
      </c>
      <c r="L10" s="18">
        <v>3800000</v>
      </c>
    </row>
    <row r="11" spans="1:12">
      <c r="A11" s="12">
        <v>45386</v>
      </c>
      <c r="B11" s="13">
        <v>11900000</v>
      </c>
      <c r="C11" s="13">
        <v>3600000</v>
      </c>
      <c r="D11" s="54">
        <f t="shared" si="0"/>
        <v>15500000</v>
      </c>
      <c r="E11" s="56">
        <v>3905000</v>
      </c>
      <c r="F11" s="50">
        <f t="shared" si="1"/>
        <v>11595000</v>
      </c>
      <c r="G11" s="58">
        <f t="shared" si="2"/>
        <v>-305000</v>
      </c>
      <c r="H11" s="14"/>
      <c r="I11" s="22"/>
      <c r="J11" s="20">
        <v>45386</v>
      </c>
      <c r="K11" s="46" t="s">
        <v>41</v>
      </c>
      <c r="L11" s="18">
        <v>38500000</v>
      </c>
    </row>
    <row r="12" spans="1:12">
      <c r="A12" s="12">
        <v>45387</v>
      </c>
      <c r="B12" s="13">
        <v>1050000</v>
      </c>
      <c r="C12" s="13">
        <v>1900000</v>
      </c>
      <c r="D12" s="54">
        <f t="shared" si="0"/>
        <v>2950000</v>
      </c>
      <c r="E12" s="56">
        <v>2860000</v>
      </c>
      <c r="F12" s="50">
        <f t="shared" si="1"/>
        <v>90000</v>
      </c>
      <c r="G12" s="58">
        <f t="shared" si="2"/>
        <v>-960000</v>
      </c>
      <c r="H12" s="14"/>
      <c r="I12" s="22"/>
      <c r="J12" s="12">
        <v>45387</v>
      </c>
      <c r="K12" s="63" t="s">
        <v>95</v>
      </c>
      <c r="L12" s="18">
        <v>1065000</v>
      </c>
    </row>
    <row r="13" spans="1:12">
      <c r="A13" s="12">
        <v>45388</v>
      </c>
      <c r="B13" s="13">
        <v>3900000</v>
      </c>
      <c r="C13" s="50">
        <v>6060000</v>
      </c>
      <c r="D13" s="54">
        <f t="shared" si="0"/>
        <v>9960000</v>
      </c>
      <c r="E13" s="56">
        <v>2155000</v>
      </c>
      <c r="F13" s="13">
        <f t="shared" si="1"/>
        <v>7805000</v>
      </c>
      <c r="G13" s="58">
        <f t="shared" si="2"/>
        <v>3905000</v>
      </c>
      <c r="H13" s="14"/>
      <c r="I13" s="6"/>
      <c r="J13" s="12">
        <v>45390</v>
      </c>
      <c r="K13" s="21" t="s">
        <v>65</v>
      </c>
      <c r="L13" s="18">
        <v>105000</v>
      </c>
    </row>
    <row r="14" spans="1:12">
      <c r="A14" s="12">
        <v>45389</v>
      </c>
      <c r="B14" s="13">
        <v>3200000</v>
      </c>
      <c r="C14" s="13">
        <v>2830000</v>
      </c>
      <c r="D14" s="54">
        <f t="shared" si="0"/>
        <v>6030000</v>
      </c>
      <c r="E14" s="56">
        <v>1850000</v>
      </c>
      <c r="F14" s="13">
        <f t="shared" si="1"/>
        <v>4180000</v>
      </c>
      <c r="G14" s="58">
        <f t="shared" si="2"/>
        <v>980000</v>
      </c>
      <c r="H14" s="14"/>
      <c r="I14" s="6"/>
      <c r="J14" s="12">
        <v>45391</v>
      </c>
      <c r="K14" s="15" t="s">
        <v>96</v>
      </c>
      <c r="L14" s="18">
        <v>2650000</v>
      </c>
    </row>
    <row r="15" spans="1:12">
      <c r="A15" s="49">
        <v>45390</v>
      </c>
      <c r="B15" s="50">
        <v>5800000</v>
      </c>
      <c r="C15" s="50">
        <v>2105000</v>
      </c>
      <c r="D15" s="54">
        <f t="shared" si="0"/>
        <v>7905000</v>
      </c>
      <c r="E15" s="56">
        <v>2360000</v>
      </c>
      <c r="F15" s="50">
        <f t="shared" si="1"/>
        <v>5545000</v>
      </c>
      <c r="G15" s="58">
        <f t="shared" si="2"/>
        <v>-255000</v>
      </c>
      <c r="H15" s="52"/>
      <c r="I15" s="6"/>
      <c r="J15" s="12">
        <v>45392</v>
      </c>
      <c r="K15" s="25" t="s">
        <v>95</v>
      </c>
      <c r="L15" s="18">
        <v>500000</v>
      </c>
    </row>
    <row r="16" spans="1:12">
      <c r="A16" s="70">
        <v>45391</v>
      </c>
      <c r="B16" s="71"/>
      <c r="C16" s="71"/>
      <c r="D16" s="71"/>
      <c r="E16" s="71"/>
      <c r="F16" s="71"/>
      <c r="G16" s="71"/>
      <c r="H16" s="24"/>
      <c r="I16" s="22"/>
      <c r="J16" s="12">
        <v>45394</v>
      </c>
      <c r="K16" s="25" t="s">
        <v>34</v>
      </c>
      <c r="L16" s="18">
        <v>500000</v>
      </c>
    </row>
    <row r="17" spans="1:12">
      <c r="A17" s="70">
        <v>45392</v>
      </c>
      <c r="B17" s="71"/>
      <c r="C17" s="71"/>
      <c r="D17" s="71"/>
      <c r="E17" s="71"/>
      <c r="F17" s="71"/>
      <c r="G17" s="71"/>
      <c r="H17" s="24"/>
      <c r="I17" s="26"/>
      <c r="J17" s="27">
        <v>45394</v>
      </c>
      <c r="K17" s="47" t="s">
        <v>97</v>
      </c>
      <c r="L17" s="48">
        <v>550000</v>
      </c>
    </row>
    <row r="18" spans="1:12">
      <c r="A18" s="70">
        <v>45393</v>
      </c>
      <c r="B18" s="71"/>
      <c r="C18" s="71"/>
      <c r="D18" s="71"/>
      <c r="E18" s="71"/>
      <c r="F18" s="71"/>
      <c r="G18" s="71"/>
      <c r="H18" s="24"/>
      <c r="I18" s="26"/>
      <c r="J18" s="12">
        <v>45396</v>
      </c>
      <c r="K18" s="25" t="s">
        <v>65</v>
      </c>
      <c r="L18" s="18">
        <v>205000</v>
      </c>
    </row>
    <row r="19" spans="1:12">
      <c r="A19" s="70">
        <v>45394</v>
      </c>
      <c r="B19" s="71"/>
      <c r="C19" s="71"/>
      <c r="D19" s="71"/>
      <c r="E19" s="71"/>
      <c r="F19" s="71"/>
      <c r="G19" s="71"/>
      <c r="H19" s="24"/>
      <c r="I19" s="29"/>
      <c r="J19" s="12">
        <v>45397</v>
      </c>
      <c r="K19" s="23" t="s">
        <v>98</v>
      </c>
      <c r="L19" s="18">
        <v>6100000</v>
      </c>
    </row>
    <row r="20" spans="1:12">
      <c r="A20" s="70">
        <v>45395</v>
      </c>
      <c r="B20" s="71"/>
      <c r="C20" s="71"/>
      <c r="D20" s="71"/>
      <c r="E20" s="71"/>
      <c r="F20" s="71"/>
      <c r="G20" s="71"/>
      <c r="H20" s="24"/>
      <c r="I20" s="29"/>
      <c r="J20" s="27">
        <v>45398</v>
      </c>
      <c r="K20" s="30" t="s">
        <v>95</v>
      </c>
      <c r="L20" s="18">
        <v>150000</v>
      </c>
    </row>
    <row r="21" spans="1:12">
      <c r="A21" s="70">
        <v>45396</v>
      </c>
      <c r="B21" s="71"/>
      <c r="C21" s="71"/>
      <c r="D21" s="71"/>
      <c r="E21" s="71"/>
      <c r="F21" s="71"/>
      <c r="G21" s="71"/>
      <c r="H21" s="24"/>
      <c r="I21" s="31"/>
      <c r="J21" s="32">
        <v>45400</v>
      </c>
      <c r="K21" s="23" t="s">
        <v>99</v>
      </c>
      <c r="L21" s="18">
        <v>1925000</v>
      </c>
    </row>
    <row r="22" spans="1:12">
      <c r="A22" s="49">
        <v>45397</v>
      </c>
      <c r="B22" s="50"/>
      <c r="C22" s="50">
        <v>2650000</v>
      </c>
      <c r="D22" s="54">
        <v>2650000</v>
      </c>
      <c r="E22" s="56">
        <v>1415000</v>
      </c>
      <c r="F22" s="50">
        <f t="shared" ref="F22:F27" si="3">D22-E22</f>
        <v>1235000</v>
      </c>
      <c r="G22" s="58">
        <f t="shared" ref="G22:G27" si="4">C22-E22</f>
        <v>1235000</v>
      </c>
      <c r="H22" s="51"/>
      <c r="I22" s="29"/>
      <c r="J22" s="27">
        <v>45400</v>
      </c>
      <c r="K22" s="30" t="s">
        <v>100</v>
      </c>
      <c r="L22" s="18">
        <v>130000</v>
      </c>
    </row>
    <row r="23" spans="1:12">
      <c r="A23" s="12">
        <v>45398</v>
      </c>
      <c r="B23" s="13">
        <v>9200000</v>
      </c>
      <c r="C23" s="13">
        <v>95000</v>
      </c>
      <c r="D23" s="54">
        <f>B23+C23</f>
        <v>9295000</v>
      </c>
      <c r="E23" s="56">
        <v>1425000</v>
      </c>
      <c r="F23" s="13">
        <f t="shared" si="3"/>
        <v>7870000</v>
      </c>
      <c r="G23" s="58">
        <f t="shared" si="4"/>
        <v>-1330000</v>
      </c>
      <c r="H23" s="14"/>
      <c r="I23" s="29"/>
      <c r="J23" s="27">
        <v>45401</v>
      </c>
      <c r="K23" s="30" t="s">
        <v>101</v>
      </c>
      <c r="L23" s="18">
        <v>925000</v>
      </c>
    </row>
    <row r="24" spans="1:12">
      <c r="A24" s="12">
        <v>45399</v>
      </c>
      <c r="B24" s="13">
        <v>3750000</v>
      </c>
      <c r="C24" s="13">
        <v>1790000</v>
      </c>
      <c r="D24" s="54">
        <f>B24+C24</f>
        <v>5540000</v>
      </c>
      <c r="E24" s="56">
        <v>2210000</v>
      </c>
      <c r="F24" s="13">
        <f t="shared" si="3"/>
        <v>3330000</v>
      </c>
      <c r="G24" s="58">
        <f t="shared" si="4"/>
        <v>-420000</v>
      </c>
      <c r="H24" s="14"/>
      <c r="I24" s="31"/>
      <c r="J24" s="27">
        <v>45403</v>
      </c>
      <c r="K24" s="30" t="s">
        <v>34</v>
      </c>
      <c r="L24" s="18">
        <v>200000</v>
      </c>
    </row>
    <row r="25" spans="1:12">
      <c r="A25" s="12">
        <v>45400</v>
      </c>
      <c r="B25" s="13">
        <v>1250000</v>
      </c>
      <c r="C25" s="13">
        <v>1785000</v>
      </c>
      <c r="D25" s="54">
        <f>B25+C25</f>
        <v>3035000</v>
      </c>
      <c r="E25" s="56">
        <v>2515000</v>
      </c>
      <c r="F25" s="13">
        <f t="shared" si="3"/>
        <v>520000</v>
      </c>
      <c r="G25" s="58">
        <f t="shared" si="4"/>
        <v>-730000</v>
      </c>
      <c r="H25" s="14"/>
      <c r="I25" s="31"/>
      <c r="J25" s="27">
        <v>45404</v>
      </c>
      <c r="K25" s="30" t="s">
        <v>102</v>
      </c>
      <c r="L25" s="18">
        <v>750000</v>
      </c>
    </row>
    <row r="26" spans="1:12">
      <c r="A26" s="12">
        <v>45401</v>
      </c>
      <c r="B26" s="13">
        <v>900000</v>
      </c>
      <c r="C26" s="13">
        <v>25000</v>
      </c>
      <c r="D26" s="54">
        <f>B26+C26</f>
        <v>925000</v>
      </c>
      <c r="E26" s="56">
        <v>1835000</v>
      </c>
      <c r="F26" s="13">
        <f t="shared" si="3"/>
        <v>-910000</v>
      </c>
      <c r="G26" s="58">
        <f t="shared" si="4"/>
        <v>-1810000</v>
      </c>
      <c r="H26" s="14"/>
      <c r="I26" s="29"/>
      <c r="J26" s="27">
        <v>45404</v>
      </c>
      <c r="K26" s="30" t="s">
        <v>103</v>
      </c>
      <c r="L26" s="18">
        <v>100000</v>
      </c>
    </row>
    <row r="27" spans="1:12">
      <c r="A27" s="12">
        <v>45402</v>
      </c>
      <c r="B27" s="13">
        <v>2250000</v>
      </c>
      <c r="C27" s="13">
        <v>1950000</v>
      </c>
      <c r="D27" s="54">
        <f>B27+C27</f>
        <v>4200000</v>
      </c>
      <c r="E27" s="56">
        <v>1235000</v>
      </c>
      <c r="F27" s="13">
        <f t="shared" si="3"/>
        <v>2965000</v>
      </c>
      <c r="G27" s="58">
        <f t="shared" si="4"/>
        <v>715000</v>
      </c>
      <c r="H27" s="33"/>
      <c r="I27" s="29"/>
      <c r="J27" s="27">
        <v>45407</v>
      </c>
      <c r="K27" s="30" t="s">
        <v>34</v>
      </c>
      <c r="L27" s="18">
        <v>1000000</v>
      </c>
    </row>
    <row r="28" spans="1:12">
      <c r="A28" s="70">
        <v>45403</v>
      </c>
      <c r="B28" s="71"/>
      <c r="C28" s="71"/>
      <c r="D28" s="71"/>
      <c r="E28" s="71"/>
      <c r="F28" s="71"/>
      <c r="G28" s="71"/>
      <c r="H28" s="14"/>
      <c r="I28" s="29"/>
      <c r="J28" s="27">
        <v>45408</v>
      </c>
      <c r="K28" s="30" t="s">
        <v>104</v>
      </c>
      <c r="L28" s="18">
        <v>260000</v>
      </c>
    </row>
    <row r="29" spans="1:12">
      <c r="A29" s="12">
        <v>45404</v>
      </c>
      <c r="B29" s="13">
        <v>200000</v>
      </c>
      <c r="C29" s="13">
        <v>16500000</v>
      </c>
      <c r="D29" s="54">
        <f>B29+C29</f>
        <v>16700000</v>
      </c>
      <c r="E29" s="56">
        <v>3010000</v>
      </c>
      <c r="F29" s="13">
        <f t="shared" ref="F29:F36" si="5">D29-E29</f>
        <v>13690000</v>
      </c>
      <c r="G29" s="58">
        <f t="shared" ref="G29:G36" si="6">C29-E29</f>
        <v>13490000</v>
      </c>
      <c r="H29" s="14"/>
      <c r="I29" s="29"/>
      <c r="J29" s="27">
        <v>45410</v>
      </c>
      <c r="K29" s="30" t="s">
        <v>105</v>
      </c>
      <c r="L29" s="18">
        <v>100000</v>
      </c>
    </row>
    <row r="30" spans="1:12">
      <c r="A30" s="12">
        <v>45405</v>
      </c>
      <c r="B30" s="13">
        <v>550000</v>
      </c>
      <c r="C30" s="13">
        <v>4100000</v>
      </c>
      <c r="D30" s="54">
        <f>B30+C30</f>
        <v>4650000</v>
      </c>
      <c r="E30" s="56">
        <v>1470000</v>
      </c>
      <c r="F30" s="13">
        <f t="shared" si="5"/>
        <v>3180000</v>
      </c>
      <c r="G30" s="58">
        <f t="shared" si="6"/>
        <v>2630000</v>
      </c>
      <c r="H30" s="14"/>
      <c r="I30" s="29"/>
      <c r="J30" s="27">
        <v>45411</v>
      </c>
      <c r="K30" s="30" t="s">
        <v>106</v>
      </c>
      <c r="L30" s="18">
        <v>9900000</v>
      </c>
    </row>
    <row r="31" spans="1:12">
      <c r="A31" s="12">
        <v>45406</v>
      </c>
      <c r="B31" s="13">
        <v>1000000</v>
      </c>
      <c r="C31" s="13">
        <v>75000</v>
      </c>
      <c r="D31" s="54">
        <f>B31+C31</f>
        <v>1075000</v>
      </c>
      <c r="E31" s="56">
        <v>1730000</v>
      </c>
      <c r="F31" s="13">
        <f t="shared" si="5"/>
        <v>-655000</v>
      </c>
      <c r="G31" s="58">
        <f t="shared" si="6"/>
        <v>-1655000</v>
      </c>
      <c r="H31" s="14"/>
      <c r="I31" s="29"/>
      <c r="J31" s="27">
        <v>45411</v>
      </c>
      <c r="K31" s="30" t="s">
        <v>23</v>
      </c>
      <c r="L31" s="18">
        <v>48200000</v>
      </c>
    </row>
    <row r="32" spans="1:12">
      <c r="A32" s="12">
        <v>45407</v>
      </c>
      <c r="B32" s="13">
        <v>3250000</v>
      </c>
      <c r="C32" s="13">
        <v>2000000</v>
      </c>
      <c r="D32" s="54">
        <f>B32+C32</f>
        <v>5250000</v>
      </c>
      <c r="E32" s="56">
        <v>1645000</v>
      </c>
      <c r="F32" s="13">
        <f t="shared" si="5"/>
        <v>3605000</v>
      </c>
      <c r="G32" s="58">
        <f t="shared" si="6"/>
        <v>355000</v>
      </c>
      <c r="H32" s="14"/>
      <c r="I32" s="29"/>
      <c r="J32" s="27">
        <v>45412</v>
      </c>
      <c r="K32" s="30" t="s">
        <v>105</v>
      </c>
      <c r="L32" s="18">
        <v>1550000</v>
      </c>
    </row>
    <row r="33" spans="1:12">
      <c r="A33" s="12">
        <v>45408</v>
      </c>
      <c r="B33" s="13">
        <v>7400000</v>
      </c>
      <c r="C33" s="13">
        <v>2900000</v>
      </c>
      <c r="D33" s="54">
        <f>B33+C33</f>
        <v>10300000</v>
      </c>
      <c r="E33" s="56">
        <v>1690000</v>
      </c>
      <c r="F33" s="13">
        <f t="shared" si="5"/>
        <v>8610000</v>
      </c>
      <c r="G33" s="58">
        <f t="shared" si="6"/>
        <v>1210000</v>
      </c>
      <c r="H33" s="14"/>
      <c r="I33" s="29"/>
      <c r="J33" s="27"/>
      <c r="K33" s="30"/>
      <c r="L33" s="18"/>
    </row>
    <row r="34" spans="1:12">
      <c r="A34" s="12">
        <v>45409</v>
      </c>
      <c r="B34" s="13">
        <v>650000</v>
      </c>
      <c r="C34" s="13"/>
      <c r="D34" s="54">
        <v>650000</v>
      </c>
      <c r="E34" s="56">
        <v>1175000</v>
      </c>
      <c r="F34" s="13">
        <f t="shared" si="5"/>
        <v>-525000</v>
      </c>
      <c r="G34" s="58">
        <f t="shared" si="6"/>
        <v>-1175000</v>
      </c>
      <c r="H34" s="14"/>
      <c r="I34" s="29"/>
      <c r="J34" s="27"/>
      <c r="K34" s="30"/>
      <c r="L34" s="18"/>
    </row>
    <row r="35" spans="1:12">
      <c r="A35" s="12">
        <v>45411</v>
      </c>
      <c r="B35" s="13">
        <v>4950000</v>
      </c>
      <c r="C35" s="13">
        <v>1125000</v>
      </c>
      <c r="D35" s="54">
        <f>B35+C35</f>
        <v>6075000</v>
      </c>
      <c r="E35" s="56">
        <v>1585000</v>
      </c>
      <c r="F35" s="13">
        <f t="shared" si="5"/>
        <v>4490000</v>
      </c>
      <c r="G35" s="58">
        <f t="shared" si="6"/>
        <v>-460000</v>
      </c>
      <c r="H35" s="14"/>
      <c r="I35" s="29"/>
      <c r="J35" s="27"/>
      <c r="K35" s="30"/>
      <c r="L35" s="18"/>
    </row>
    <row r="36" spans="1:12">
      <c r="A36" s="12">
        <v>45412</v>
      </c>
      <c r="B36" s="13">
        <v>1200000</v>
      </c>
      <c r="C36" s="13">
        <v>5000000</v>
      </c>
      <c r="D36" s="54">
        <f>B36+C36</f>
        <v>6200000</v>
      </c>
      <c r="E36" s="56">
        <v>1460000</v>
      </c>
      <c r="F36" s="13">
        <f t="shared" si="5"/>
        <v>4740000</v>
      </c>
      <c r="G36" s="58">
        <f t="shared" si="6"/>
        <v>3540000</v>
      </c>
      <c r="H36" s="14"/>
      <c r="I36" s="29"/>
      <c r="J36" s="27"/>
      <c r="K36" s="30"/>
      <c r="L36" s="18"/>
    </row>
    <row r="37" spans="1:12">
      <c r="A37" s="12"/>
      <c r="B37" s="13"/>
      <c r="C37" s="13"/>
      <c r="D37" s="54"/>
      <c r="E37" s="56"/>
      <c r="F37" s="13"/>
      <c r="G37" s="58"/>
      <c r="H37" s="14"/>
      <c r="I37" s="29"/>
      <c r="J37" s="27"/>
      <c r="K37" s="30"/>
      <c r="L37" s="18"/>
    </row>
    <row r="38" spans="1:12">
      <c r="A38" s="12"/>
      <c r="B38" s="13"/>
      <c r="C38" s="13"/>
      <c r="D38" s="54"/>
      <c r="E38" s="56"/>
      <c r="F38" s="13"/>
      <c r="G38" s="58"/>
      <c r="H38" s="14"/>
      <c r="I38" s="29"/>
      <c r="J38" s="27"/>
      <c r="K38" s="30"/>
      <c r="L38" s="18"/>
    </row>
    <row r="39" spans="1:12">
      <c r="A39" s="49"/>
      <c r="B39" s="50"/>
      <c r="C39" s="50"/>
      <c r="D39" s="54"/>
      <c r="E39" s="56"/>
      <c r="F39" s="50"/>
      <c r="G39" s="58"/>
      <c r="H39" s="51"/>
      <c r="I39" s="29"/>
      <c r="J39" s="27"/>
      <c r="K39" s="30"/>
      <c r="L39" s="18"/>
    </row>
    <row r="40" spans="1:12">
      <c r="A40" s="12"/>
      <c r="B40" s="13"/>
      <c r="C40" s="13"/>
      <c r="D40" s="54"/>
      <c r="E40" s="56"/>
      <c r="F40" s="13"/>
      <c r="G40" s="58"/>
      <c r="H40" s="14"/>
      <c r="I40" s="29"/>
      <c r="J40" s="27"/>
      <c r="K40" s="30"/>
      <c r="L40" s="18"/>
    </row>
    <row r="41" spans="1:12">
      <c r="A41" s="12"/>
      <c r="B41" s="13"/>
      <c r="C41" s="13"/>
      <c r="D41" s="54"/>
      <c r="E41" s="56"/>
      <c r="F41" s="13"/>
      <c r="G41" s="58"/>
      <c r="H41" s="14"/>
      <c r="I41" s="29"/>
      <c r="J41" s="34"/>
      <c r="K41" s="23"/>
      <c r="L41" s="73">
        <f>SUM(L8:L40)</f>
        <v>121665000</v>
      </c>
    </row>
    <row r="42" spans="1:12">
      <c r="A42" s="12"/>
      <c r="B42" s="13"/>
      <c r="C42" s="13"/>
      <c r="D42" s="54"/>
      <c r="E42" s="56"/>
      <c r="F42" s="13"/>
      <c r="G42" s="58"/>
      <c r="H42" s="14"/>
      <c r="I42" s="29"/>
      <c r="J42" s="28"/>
      <c r="K42" s="1"/>
      <c r="L42" s="1"/>
    </row>
    <row r="43" spans="1:12" ht="15.75">
      <c r="A43" s="12"/>
      <c r="B43" s="13"/>
      <c r="C43" s="13"/>
      <c r="D43" s="54"/>
      <c r="E43" s="56"/>
      <c r="F43" s="13"/>
      <c r="G43" s="58"/>
      <c r="H43" s="14"/>
      <c r="I43" s="29"/>
      <c r="J43" s="35" t="s">
        <v>11</v>
      </c>
      <c r="K43" s="36" t="s">
        <v>12</v>
      </c>
      <c r="L43" s="60">
        <f>B50+C50</f>
        <v>155065000</v>
      </c>
    </row>
    <row r="44" spans="1:12" ht="15.75">
      <c r="A44" s="12"/>
      <c r="B44" s="13"/>
      <c r="C44" s="13"/>
      <c r="D44" s="54"/>
      <c r="E44" s="56"/>
      <c r="F44" s="13"/>
      <c r="G44" s="58"/>
      <c r="H44" s="14"/>
      <c r="I44" s="38"/>
      <c r="J44" s="39"/>
      <c r="K44" s="40" t="s">
        <v>13</v>
      </c>
      <c r="L44" s="61">
        <v>55710000</v>
      </c>
    </row>
    <row r="45" spans="1:12" ht="15.75">
      <c r="A45" s="12"/>
      <c r="B45" s="13"/>
      <c r="C45" s="13"/>
      <c r="D45" s="54"/>
      <c r="E45" s="56"/>
      <c r="F45" s="13"/>
      <c r="G45" s="58"/>
      <c r="H45" s="14"/>
      <c r="I45" s="29"/>
      <c r="J45" s="39"/>
      <c r="K45" s="40" t="s">
        <v>14</v>
      </c>
      <c r="L45" s="61">
        <v>121665000</v>
      </c>
    </row>
    <row r="46" spans="1:12" ht="15.75">
      <c r="A46" s="49"/>
      <c r="B46" s="50"/>
      <c r="C46" s="50"/>
      <c r="D46" s="54"/>
      <c r="E46" s="56"/>
      <c r="F46" s="50"/>
      <c r="G46" s="58"/>
      <c r="H46" s="51"/>
      <c r="I46" s="29"/>
      <c r="J46" s="39"/>
      <c r="K46" s="40" t="s">
        <v>15</v>
      </c>
      <c r="L46" s="41">
        <f>L44+L45</f>
        <v>177375000</v>
      </c>
    </row>
    <row r="47" spans="1:12" ht="15.75">
      <c r="A47" s="12"/>
      <c r="B47" s="13"/>
      <c r="C47" s="13"/>
      <c r="D47" s="54"/>
      <c r="E47" s="56"/>
      <c r="F47" s="13"/>
      <c r="G47" s="58"/>
      <c r="H47" s="14"/>
      <c r="I47" s="29"/>
      <c r="J47" s="39"/>
      <c r="K47" s="42"/>
      <c r="L47" s="37"/>
    </row>
    <row r="48" spans="1:12" ht="18">
      <c r="A48" s="12"/>
      <c r="B48" s="13"/>
      <c r="C48" s="13"/>
      <c r="D48" s="54"/>
      <c r="E48" s="56"/>
      <c r="F48" s="13"/>
      <c r="G48" s="58"/>
      <c r="H48" s="14"/>
      <c r="I48" s="29"/>
      <c r="J48" s="80" t="s">
        <v>109</v>
      </c>
      <c r="K48" s="80"/>
      <c r="L48" s="43">
        <f>L43-L46</f>
        <v>-22310000</v>
      </c>
    </row>
    <row r="49" spans="1:12">
      <c r="A49" s="12"/>
      <c r="B49" s="13"/>
      <c r="C49" s="13"/>
      <c r="D49" s="54"/>
      <c r="E49" s="56"/>
      <c r="F49" s="13"/>
      <c r="G49" s="58"/>
      <c r="H49" s="14"/>
      <c r="I49" s="1"/>
      <c r="J49" s="29"/>
      <c r="K49" s="29"/>
      <c r="L49" s="1"/>
    </row>
    <row r="50" spans="1:12">
      <c r="A50" s="12"/>
      <c r="B50" s="44">
        <f t="shared" ref="B50:G50" si="7">SUM(B8:B49)</f>
        <v>84550000</v>
      </c>
      <c r="C50" s="44">
        <f t="shared" si="7"/>
        <v>70515000</v>
      </c>
      <c r="D50" s="55">
        <f t="shared" si="7"/>
        <v>155065000</v>
      </c>
      <c r="E50" s="57">
        <f t="shared" si="7"/>
        <v>55710000</v>
      </c>
      <c r="F50" s="53">
        <f t="shared" si="7"/>
        <v>99355000</v>
      </c>
      <c r="G50" s="59">
        <f t="shared" si="7"/>
        <v>14805000</v>
      </c>
      <c r="H50" s="29"/>
      <c r="I50" s="1"/>
      <c r="J50" s="1"/>
      <c r="K50" s="1"/>
      <c r="L50" s="1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L52"/>
  <sheetViews>
    <sheetView topLeftCell="A34" workbookViewId="0">
      <selection activeCell="K44" sqref="K44"/>
    </sheetView>
  </sheetViews>
  <sheetFormatPr defaultRowHeight="15"/>
  <cols>
    <col min="1" max="1" width="7.28515625" customWidth="1"/>
    <col min="2" max="3" width="14.85546875" customWidth="1"/>
    <col min="4" max="4" width="15.5703125" customWidth="1"/>
    <col min="5" max="5" width="14.85546875" customWidth="1"/>
    <col min="6" max="6" width="16.42578125" customWidth="1"/>
    <col min="7" max="7" width="16.140625" customWidth="1"/>
    <col min="10" max="10" width="8.140625" customWidth="1"/>
    <col min="11" max="11" width="45" customWidth="1"/>
    <col min="12" max="12" width="17.140625" customWidth="1"/>
  </cols>
  <sheetData>
    <row r="3" spans="1:12">
      <c r="A3" s="81" t="s">
        <v>107</v>
      </c>
      <c r="B3" s="82"/>
      <c r="C3" s="82"/>
      <c r="D3" s="82"/>
      <c r="E3" s="82"/>
      <c r="F3" s="1"/>
      <c r="G3" s="1"/>
      <c r="H3" s="1"/>
      <c r="I3" s="1"/>
      <c r="J3" s="1"/>
      <c r="K3" s="1"/>
      <c r="L3" s="1"/>
    </row>
    <row r="4" spans="1:12">
      <c r="A4" s="83"/>
      <c r="B4" s="83"/>
      <c r="C4" s="83"/>
      <c r="D4" s="83"/>
      <c r="E4" s="83"/>
      <c r="F4" s="1"/>
      <c r="G4" s="1"/>
      <c r="H4" s="1"/>
      <c r="I4" s="1"/>
      <c r="J4" s="1"/>
      <c r="K4" s="1"/>
      <c r="L4" s="1"/>
    </row>
    <row r="5" spans="1:12" ht="15.75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2"/>
      <c r="I5" s="3"/>
      <c r="J5" s="4" t="s">
        <v>6</v>
      </c>
      <c r="K5" s="5"/>
      <c r="L5" s="6"/>
    </row>
    <row r="6" spans="1:12" ht="15.75">
      <c r="A6" s="85"/>
      <c r="B6" s="7" t="s">
        <v>7</v>
      </c>
      <c r="C6" s="72" t="s">
        <v>8</v>
      </c>
      <c r="D6" s="89"/>
      <c r="E6" s="79"/>
      <c r="F6" s="89"/>
      <c r="G6" s="79"/>
      <c r="H6" s="2"/>
      <c r="I6" s="3"/>
      <c r="J6" s="9" t="s">
        <v>0</v>
      </c>
      <c r="K6" s="10" t="s">
        <v>9</v>
      </c>
      <c r="L6" s="11" t="s">
        <v>10</v>
      </c>
    </row>
    <row r="7" spans="1:12">
      <c r="A7" s="49"/>
      <c r="B7" s="64"/>
      <c r="C7" s="64"/>
      <c r="D7" s="66"/>
      <c r="E7" s="65"/>
      <c r="F7" s="64"/>
      <c r="G7" s="67"/>
      <c r="H7" s="51"/>
      <c r="I7" s="6"/>
      <c r="J7" s="12"/>
      <c r="K7" s="15"/>
      <c r="L7" s="16"/>
    </row>
    <row r="8" spans="1:12">
      <c r="A8" s="49" t="s">
        <v>112</v>
      </c>
      <c r="B8" s="50">
        <v>4275000</v>
      </c>
      <c r="C8" s="50">
        <v>20000</v>
      </c>
      <c r="D8" s="54">
        <f>B8+C8</f>
        <v>4295000</v>
      </c>
      <c r="E8" s="56">
        <v>1340000</v>
      </c>
      <c r="F8" s="50">
        <f>D8-E8</f>
        <v>2955000</v>
      </c>
      <c r="G8" s="58">
        <f>C8-E8</f>
        <v>-1320000</v>
      </c>
      <c r="H8" s="51"/>
      <c r="I8" s="6"/>
      <c r="J8" s="68" t="s">
        <v>112</v>
      </c>
      <c r="K8" s="63" t="s">
        <v>51</v>
      </c>
      <c r="L8" s="18">
        <v>120000</v>
      </c>
    </row>
    <row r="9" spans="1:12">
      <c r="A9" s="12" t="s">
        <v>113</v>
      </c>
      <c r="B9" s="13">
        <v>5250000</v>
      </c>
      <c r="C9" s="13">
        <v>1700000</v>
      </c>
      <c r="D9" s="54">
        <f>B9+C9</f>
        <v>6950000</v>
      </c>
      <c r="E9" s="56">
        <v>1225000</v>
      </c>
      <c r="F9" s="13">
        <f>D9-E9</f>
        <v>5725000</v>
      </c>
      <c r="G9" s="58">
        <f>C9-E9</f>
        <v>475000</v>
      </c>
      <c r="H9" s="14"/>
      <c r="I9" s="19"/>
      <c r="J9" s="68" t="s">
        <v>112</v>
      </c>
      <c r="K9" s="63" t="s">
        <v>65</v>
      </c>
      <c r="L9" s="18">
        <v>500000</v>
      </c>
    </row>
    <row r="10" spans="1:12">
      <c r="A10" s="12" t="s">
        <v>114</v>
      </c>
      <c r="B10" s="13"/>
      <c r="C10" s="13"/>
      <c r="D10" s="54"/>
      <c r="E10" s="56">
        <v>1765000</v>
      </c>
      <c r="F10" s="13">
        <f>D10-E10</f>
        <v>-1765000</v>
      </c>
      <c r="G10" s="58">
        <f>C10-E10</f>
        <v>-1765000</v>
      </c>
      <c r="H10" s="14"/>
      <c r="I10" s="6"/>
      <c r="J10" s="20" t="s">
        <v>114</v>
      </c>
      <c r="K10" s="21" t="s">
        <v>115</v>
      </c>
      <c r="L10" s="18">
        <v>11325000</v>
      </c>
    </row>
    <row r="11" spans="1:12">
      <c r="A11" s="12" t="s">
        <v>116</v>
      </c>
      <c r="B11" s="13">
        <v>3200000</v>
      </c>
      <c r="C11" s="13">
        <v>1900000</v>
      </c>
      <c r="D11" s="54">
        <f>B11+C11</f>
        <v>5100000</v>
      </c>
      <c r="E11" s="56">
        <v>1285000</v>
      </c>
      <c r="F11" s="50">
        <f>D11-E11</f>
        <v>3815000</v>
      </c>
      <c r="G11" s="58">
        <f>C11-E11</f>
        <v>615000</v>
      </c>
      <c r="H11" s="14"/>
      <c r="I11" s="22"/>
      <c r="J11" s="20" t="s">
        <v>116</v>
      </c>
      <c r="K11" s="46" t="s">
        <v>117</v>
      </c>
      <c r="L11" s="18">
        <v>1650000</v>
      </c>
    </row>
    <row r="12" spans="1:12">
      <c r="A12" s="70" t="s">
        <v>73</v>
      </c>
      <c r="B12" s="71"/>
      <c r="C12" s="71"/>
      <c r="D12" s="71"/>
      <c r="E12" s="71"/>
      <c r="F12" s="71"/>
      <c r="G12" s="71"/>
      <c r="H12" s="14"/>
      <c r="I12" s="22"/>
      <c r="J12" s="12" t="s">
        <v>74</v>
      </c>
      <c r="K12" s="63" t="s">
        <v>23</v>
      </c>
      <c r="L12" s="18">
        <v>16950000</v>
      </c>
    </row>
    <row r="13" spans="1:12">
      <c r="A13" s="12" t="s">
        <v>74</v>
      </c>
      <c r="B13" s="13">
        <v>5300000</v>
      </c>
      <c r="C13" s="50">
        <v>150000</v>
      </c>
      <c r="D13" s="54">
        <f>B13+C13</f>
        <v>5450000</v>
      </c>
      <c r="E13" s="56">
        <v>1700000</v>
      </c>
      <c r="F13" s="13">
        <f t="shared" ref="F13:F25" si="0">D13-E13</f>
        <v>3750000</v>
      </c>
      <c r="G13" s="58">
        <f t="shared" ref="G13:G25" si="1">C13-E13</f>
        <v>-1550000</v>
      </c>
      <c r="H13" s="14"/>
      <c r="I13" s="6"/>
      <c r="J13" s="12" t="s">
        <v>76</v>
      </c>
      <c r="K13" s="21" t="s">
        <v>105</v>
      </c>
      <c r="L13" s="18">
        <v>4300000</v>
      </c>
    </row>
    <row r="14" spans="1:12">
      <c r="A14" s="12" t="s">
        <v>76</v>
      </c>
      <c r="B14" s="13">
        <v>850000</v>
      </c>
      <c r="C14" s="13">
        <v>1850000</v>
      </c>
      <c r="D14" s="54">
        <f>B14+C14</f>
        <v>2700000</v>
      </c>
      <c r="E14" s="56">
        <v>1715000</v>
      </c>
      <c r="F14" s="13">
        <f t="shared" si="0"/>
        <v>985000</v>
      </c>
      <c r="G14" s="58">
        <f t="shared" si="1"/>
        <v>135000</v>
      </c>
      <c r="H14" s="14"/>
      <c r="I14" s="6"/>
      <c r="J14" s="12" t="s">
        <v>76</v>
      </c>
      <c r="K14" s="15" t="s">
        <v>118</v>
      </c>
      <c r="L14" s="18">
        <v>200000</v>
      </c>
    </row>
    <row r="15" spans="1:12">
      <c r="A15" s="49" t="s">
        <v>77</v>
      </c>
      <c r="B15" s="50">
        <v>4000000</v>
      </c>
      <c r="C15" s="50">
        <v>275000</v>
      </c>
      <c r="D15" s="54">
        <f>B15+C15</f>
        <v>4275000</v>
      </c>
      <c r="E15" s="56">
        <v>1865000</v>
      </c>
      <c r="F15" s="50">
        <f t="shared" si="0"/>
        <v>2410000</v>
      </c>
      <c r="G15" s="58">
        <f t="shared" si="1"/>
        <v>-1590000</v>
      </c>
      <c r="H15" s="52"/>
      <c r="I15" s="6"/>
      <c r="J15" s="12" t="s">
        <v>78</v>
      </c>
      <c r="K15" s="25" t="s">
        <v>119</v>
      </c>
      <c r="L15" s="18">
        <v>10000000</v>
      </c>
    </row>
    <row r="16" spans="1:12">
      <c r="A16" s="12" t="s">
        <v>78</v>
      </c>
      <c r="B16" s="13">
        <v>3950000</v>
      </c>
      <c r="C16" s="13">
        <v>4900000</v>
      </c>
      <c r="D16" s="54">
        <f>B16+C16</f>
        <v>8850000</v>
      </c>
      <c r="E16" s="56">
        <v>1645000</v>
      </c>
      <c r="F16" s="13">
        <f t="shared" si="0"/>
        <v>7205000</v>
      </c>
      <c r="G16" s="58">
        <f t="shared" si="1"/>
        <v>3255000</v>
      </c>
      <c r="H16" s="24"/>
      <c r="I16" s="22"/>
      <c r="J16" s="12" t="s">
        <v>79</v>
      </c>
      <c r="K16" s="25" t="s">
        <v>105</v>
      </c>
      <c r="L16" s="18">
        <v>600000</v>
      </c>
    </row>
    <row r="17" spans="1:12">
      <c r="A17" s="12" t="s">
        <v>79</v>
      </c>
      <c r="B17" s="13">
        <v>7850000</v>
      </c>
      <c r="C17" s="13"/>
      <c r="D17" s="54">
        <v>7850000</v>
      </c>
      <c r="E17" s="56">
        <v>3495000</v>
      </c>
      <c r="F17" s="13">
        <f t="shared" si="0"/>
        <v>4355000</v>
      </c>
      <c r="G17" s="58">
        <f t="shared" si="1"/>
        <v>-3495000</v>
      </c>
      <c r="H17" s="24"/>
      <c r="I17" s="26"/>
      <c r="J17" s="27" t="s">
        <v>80</v>
      </c>
      <c r="K17" s="47" t="s">
        <v>105</v>
      </c>
      <c r="L17" s="48">
        <v>250000</v>
      </c>
    </row>
    <row r="18" spans="1:12">
      <c r="A18" s="49" t="s">
        <v>80</v>
      </c>
      <c r="B18" s="50">
        <v>3000000</v>
      </c>
      <c r="C18" s="50">
        <v>1500000</v>
      </c>
      <c r="D18" s="54">
        <f t="shared" ref="D18:D23" si="2">B18+C18</f>
        <v>4500000</v>
      </c>
      <c r="E18" s="56">
        <v>1480000</v>
      </c>
      <c r="F18" s="50">
        <f t="shared" si="0"/>
        <v>3020000</v>
      </c>
      <c r="G18" s="58">
        <f t="shared" si="1"/>
        <v>20000</v>
      </c>
      <c r="H18" s="24"/>
      <c r="I18" s="26"/>
      <c r="J18" s="12" t="s">
        <v>121</v>
      </c>
      <c r="K18" s="25" t="s">
        <v>51</v>
      </c>
      <c r="L18" s="18">
        <v>225000</v>
      </c>
    </row>
    <row r="19" spans="1:12">
      <c r="A19" s="12" t="s">
        <v>81</v>
      </c>
      <c r="B19" s="13">
        <v>1900000</v>
      </c>
      <c r="C19" s="13">
        <v>700000</v>
      </c>
      <c r="D19" s="54">
        <f t="shared" si="2"/>
        <v>2600000</v>
      </c>
      <c r="E19" s="56">
        <v>875000</v>
      </c>
      <c r="F19" s="13">
        <f t="shared" si="0"/>
        <v>1725000</v>
      </c>
      <c r="G19" s="58">
        <f t="shared" si="1"/>
        <v>-175000</v>
      </c>
      <c r="H19" s="24"/>
      <c r="I19" s="29"/>
      <c r="J19" s="12" t="s">
        <v>123</v>
      </c>
      <c r="K19" s="23" t="s">
        <v>34</v>
      </c>
      <c r="L19" s="18">
        <v>500000</v>
      </c>
    </row>
    <row r="20" spans="1:12">
      <c r="A20" s="12" t="s">
        <v>83</v>
      </c>
      <c r="B20" s="13">
        <v>550000</v>
      </c>
      <c r="C20" s="13">
        <v>350000</v>
      </c>
      <c r="D20" s="54">
        <f t="shared" si="2"/>
        <v>900000</v>
      </c>
      <c r="E20" s="56">
        <v>2430000</v>
      </c>
      <c r="F20" s="13">
        <f t="shared" si="0"/>
        <v>-1530000</v>
      </c>
      <c r="G20" s="58">
        <f t="shared" si="1"/>
        <v>-2080000</v>
      </c>
      <c r="H20" s="24"/>
      <c r="I20" s="29"/>
      <c r="J20" s="27" t="s">
        <v>123</v>
      </c>
      <c r="K20" s="30" t="s">
        <v>65</v>
      </c>
      <c r="L20" s="18">
        <v>500000</v>
      </c>
    </row>
    <row r="21" spans="1:12">
      <c r="A21" s="49" t="s">
        <v>84</v>
      </c>
      <c r="B21" s="50">
        <v>2500000</v>
      </c>
      <c r="C21" s="50">
        <v>6555000</v>
      </c>
      <c r="D21" s="54">
        <f t="shared" si="2"/>
        <v>9055000</v>
      </c>
      <c r="E21" s="56">
        <v>3080000</v>
      </c>
      <c r="F21" s="50">
        <f t="shared" si="0"/>
        <v>5975000</v>
      </c>
      <c r="G21" s="58">
        <f t="shared" si="1"/>
        <v>3475000</v>
      </c>
      <c r="H21" s="24"/>
      <c r="I21" s="31"/>
      <c r="J21" s="32" t="s">
        <v>124</v>
      </c>
      <c r="K21" s="23" t="s">
        <v>125</v>
      </c>
      <c r="L21" s="18">
        <v>750000</v>
      </c>
    </row>
    <row r="22" spans="1:12">
      <c r="A22" s="49" t="s">
        <v>120</v>
      </c>
      <c r="B22" s="50">
        <v>3400000</v>
      </c>
      <c r="C22" s="50">
        <v>1800000</v>
      </c>
      <c r="D22" s="54">
        <f t="shared" si="2"/>
        <v>5200000</v>
      </c>
      <c r="E22" s="56">
        <v>1780000</v>
      </c>
      <c r="F22" s="50">
        <f t="shared" si="0"/>
        <v>3420000</v>
      </c>
      <c r="G22" s="58">
        <f t="shared" si="1"/>
        <v>20000</v>
      </c>
      <c r="H22" s="51"/>
      <c r="I22" s="29"/>
      <c r="J22" s="27" t="s">
        <v>127</v>
      </c>
      <c r="K22" s="30" t="s">
        <v>128</v>
      </c>
      <c r="L22" s="18">
        <v>1000000</v>
      </c>
    </row>
    <row r="23" spans="1:12">
      <c r="A23" s="12" t="s">
        <v>121</v>
      </c>
      <c r="B23" s="13">
        <v>1000000</v>
      </c>
      <c r="C23" s="13">
        <v>3250000</v>
      </c>
      <c r="D23" s="54">
        <f t="shared" si="2"/>
        <v>4250000</v>
      </c>
      <c r="E23" s="56">
        <v>1920000</v>
      </c>
      <c r="F23" s="13">
        <f t="shared" si="0"/>
        <v>2330000</v>
      </c>
      <c r="G23" s="58">
        <f t="shared" si="1"/>
        <v>1330000</v>
      </c>
      <c r="H23" s="14"/>
      <c r="I23" s="29"/>
      <c r="J23" s="27" t="s">
        <v>130</v>
      </c>
      <c r="K23" s="30" t="s">
        <v>131</v>
      </c>
      <c r="L23" s="18">
        <v>550000</v>
      </c>
    </row>
    <row r="24" spans="1:12">
      <c r="A24" s="12" t="s">
        <v>122</v>
      </c>
      <c r="B24" s="13"/>
      <c r="C24" s="13">
        <v>1500000</v>
      </c>
      <c r="D24" s="54">
        <v>1500000</v>
      </c>
      <c r="E24" s="56">
        <v>3215000</v>
      </c>
      <c r="F24" s="13">
        <f t="shared" si="0"/>
        <v>-1715000</v>
      </c>
      <c r="G24" s="58">
        <f t="shared" si="1"/>
        <v>-1715000</v>
      </c>
      <c r="H24" s="14"/>
      <c r="I24" s="31"/>
      <c r="J24" s="27" t="s">
        <v>130</v>
      </c>
      <c r="K24" s="30" t="s">
        <v>105</v>
      </c>
      <c r="L24" s="18">
        <v>250000</v>
      </c>
    </row>
    <row r="25" spans="1:12">
      <c r="A25" s="12" t="s">
        <v>123</v>
      </c>
      <c r="B25" s="13">
        <v>23550000</v>
      </c>
      <c r="C25" s="13">
        <v>3450000</v>
      </c>
      <c r="D25" s="54">
        <f>B25+C25</f>
        <v>27000000</v>
      </c>
      <c r="E25" s="56">
        <v>1090000</v>
      </c>
      <c r="F25" s="13">
        <f t="shared" si="0"/>
        <v>25910000</v>
      </c>
      <c r="G25" s="58">
        <f t="shared" si="1"/>
        <v>2360000</v>
      </c>
      <c r="H25" s="14"/>
      <c r="I25" s="31"/>
      <c r="J25" s="27" t="s">
        <v>132</v>
      </c>
      <c r="K25" s="30" t="s">
        <v>133</v>
      </c>
      <c r="L25" s="18">
        <v>800000</v>
      </c>
    </row>
    <row r="26" spans="1:12">
      <c r="A26" s="70" t="s">
        <v>124</v>
      </c>
      <c r="B26" s="71"/>
      <c r="C26" s="71"/>
      <c r="D26" s="71"/>
      <c r="E26" s="71"/>
      <c r="F26" s="71"/>
      <c r="G26" s="71"/>
      <c r="H26" s="14"/>
      <c r="I26" s="29"/>
      <c r="J26" s="27" t="s">
        <v>132</v>
      </c>
      <c r="K26" s="30" t="s">
        <v>105</v>
      </c>
      <c r="L26" s="18">
        <v>500000</v>
      </c>
    </row>
    <row r="27" spans="1:12">
      <c r="A27" s="12" t="s">
        <v>126</v>
      </c>
      <c r="B27" s="13">
        <v>1400000</v>
      </c>
      <c r="C27" s="13">
        <v>2300000</v>
      </c>
      <c r="D27" s="54">
        <f>B27+C27</f>
        <v>3700000</v>
      </c>
      <c r="E27" s="56">
        <v>1355000</v>
      </c>
      <c r="F27" s="13">
        <f t="shared" ref="F27:F37" si="3">D27-E27</f>
        <v>2345000</v>
      </c>
      <c r="G27" s="58">
        <f t="shared" ref="G27:G37" si="4">C27-E27</f>
        <v>945000</v>
      </c>
      <c r="H27" s="33"/>
      <c r="I27" s="29"/>
      <c r="J27" s="27" t="s">
        <v>134</v>
      </c>
      <c r="K27" s="30" t="s">
        <v>135</v>
      </c>
      <c r="L27" s="18">
        <v>10000000</v>
      </c>
    </row>
    <row r="28" spans="1:12">
      <c r="A28" s="12" t="s">
        <v>127</v>
      </c>
      <c r="B28" s="13">
        <v>3905000</v>
      </c>
      <c r="C28" s="13">
        <v>50000</v>
      </c>
      <c r="D28" s="54">
        <f>B28+C28</f>
        <v>3955000</v>
      </c>
      <c r="E28" s="56">
        <v>1410000</v>
      </c>
      <c r="F28" s="13">
        <f t="shared" si="3"/>
        <v>2545000</v>
      </c>
      <c r="G28" s="58">
        <f t="shared" si="4"/>
        <v>-1360000</v>
      </c>
      <c r="H28" s="14"/>
      <c r="I28" s="29"/>
      <c r="J28" s="27" t="s">
        <v>136</v>
      </c>
      <c r="K28" s="30" t="s">
        <v>40</v>
      </c>
      <c r="L28" s="18">
        <v>1550000</v>
      </c>
    </row>
    <row r="29" spans="1:12">
      <c r="A29" s="12" t="s">
        <v>129</v>
      </c>
      <c r="B29" s="13">
        <v>1000000</v>
      </c>
      <c r="C29" s="13">
        <v>1800000</v>
      </c>
      <c r="D29" s="54">
        <f>B29+C29</f>
        <v>2800000</v>
      </c>
      <c r="E29" s="56">
        <v>1930000</v>
      </c>
      <c r="F29" s="13">
        <f t="shared" si="3"/>
        <v>870000</v>
      </c>
      <c r="G29" s="58">
        <f t="shared" si="4"/>
        <v>-130000</v>
      </c>
      <c r="H29" s="14"/>
      <c r="I29" s="29"/>
      <c r="J29" s="27" t="s">
        <v>136</v>
      </c>
      <c r="K29" s="30" t="s">
        <v>137</v>
      </c>
      <c r="L29" s="18">
        <v>500000</v>
      </c>
    </row>
    <row r="30" spans="1:12">
      <c r="A30" s="12" t="s">
        <v>130</v>
      </c>
      <c r="B30" s="13">
        <v>11500000</v>
      </c>
      <c r="C30" s="13">
        <v>300000</v>
      </c>
      <c r="D30" s="54">
        <f>B30+C30</f>
        <v>11800000</v>
      </c>
      <c r="E30" s="56">
        <v>1765000</v>
      </c>
      <c r="F30" s="13">
        <f t="shared" si="3"/>
        <v>10035000</v>
      </c>
      <c r="G30" s="58">
        <f t="shared" si="4"/>
        <v>-1465000</v>
      </c>
      <c r="H30" s="14"/>
      <c r="I30" s="29"/>
      <c r="J30" s="27" t="s">
        <v>138</v>
      </c>
      <c r="K30" s="30" t="s">
        <v>34</v>
      </c>
      <c r="L30" s="18">
        <v>500000</v>
      </c>
    </row>
    <row r="31" spans="1:12">
      <c r="A31" s="12" t="s">
        <v>132</v>
      </c>
      <c r="B31" s="13">
        <v>2125000</v>
      </c>
      <c r="C31" s="13"/>
      <c r="D31" s="54">
        <v>2125000</v>
      </c>
      <c r="E31" s="56">
        <v>1500000</v>
      </c>
      <c r="F31" s="13">
        <f t="shared" si="3"/>
        <v>625000</v>
      </c>
      <c r="G31" s="58">
        <f t="shared" si="4"/>
        <v>-1500000</v>
      </c>
      <c r="H31" s="14"/>
      <c r="I31" s="29"/>
      <c r="J31" s="27" t="s">
        <v>138</v>
      </c>
      <c r="K31" s="30" t="s">
        <v>139</v>
      </c>
      <c r="L31" s="18">
        <v>9055000</v>
      </c>
    </row>
    <row r="32" spans="1:12">
      <c r="A32" s="12" t="s">
        <v>134</v>
      </c>
      <c r="B32" s="13">
        <v>3900000</v>
      </c>
      <c r="C32" s="13">
        <v>350000</v>
      </c>
      <c r="D32" s="54">
        <f t="shared" ref="D32:D37" si="5">B32+C32</f>
        <v>4250000</v>
      </c>
      <c r="E32" s="56">
        <v>1380000</v>
      </c>
      <c r="F32" s="13">
        <f t="shared" si="3"/>
        <v>2870000</v>
      </c>
      <c r="G32" s="58">
        <f t="shared" si="4"/>
        <v>-1030000</v>
      </c>
      <c r="H32" s="14"/>
      <c r="I32" s="29"/>
      <c r="J32" s="27" t="s">
        <v>138</v>
      </c>
      <c r="K32" s="30" t="s">
        <v>51</v>
      </c>
      <c r="L32" s="18">
        <v>840000</v>
      </c>
    </row>
    <row r="33" spans="1:12">
      <c r="A33" s="12" t="s">
        <v>136</v>
      </c>
      <c r="B33" s="13">
        <v>1700000</v>
      </c>
      <c r="C33" s="13">
        <v>240000</v>
      </c>
      <c r="D33" s="54">
        <f t="shared" si="5"/>
        <v>1940000</v>
      </c>
      <c r="E33" s="56">
        <v>2325000</v>
      </c>
      <c r="F33" s="13">
        <f t="shared" si="3"/>
        <v>-385000</v>
      </c>
      <c r="G33" s="58">
        <f t="shared" si="4"/>
        <v>-2085000</v>
      </c>
      <c r="H33" s="14"/>
      <c r="I33" s="29"/>
      <c r="J33" s="27" t="s">
        <v>140</v>
      </c>
      <c r="K33" s="30" t="s">
        <v>23</v>
      </c>
      <c r="L33" s="18">
        <v>10000000</v>
      </c>
    </row>
    <row r="34" spans="1:12">
      <c r="A34" s="12" t="s">
        <v>138</v>
      </c>
      <c r="B34" s="13">
        <v>4250000</v>
      </c>
      <c r="C34" s="13">
        <v>200000</v>
      </c>
      <c r="D34" s="54">
        <f t="shared" si="5"/>
        <v>4450000</v>
      </c>
      <c r="E34" s="56">
        <v>2190000</v>
      </c>
      <c r="F34" s="13">
        <f t="shared" si="3"/>
        <v>2260000</v>
      </c>
      <c r="G34" s="58">
        <f t="shared" si="4"/>
        <v>-1990000</v>
      </c>
      <c r="H34" s="14"/>
      <c r="I34" s="29"/>
      <c r="J34" s="27" t="s">
        <v>142</v>
      </c>
      <c r="K34" s="30" t="s">
        <v>143</v>
      </c>
      <c r="L34" s="18">
        <v>2180000</v>
      </c>
    </row>
    <row r="35" spans="1:12">
      <c r="A35" s="12" t="s">
        <v>140</v>
      </c>
      <c r="B35" s="13">
        <v>850000</v>
      </c>
      <c r="C35" s="13">
        <v>1900000</v>
      </c>
      <c r="D35" s="54">
        <f t="shared" si="5"/>
        <v>2750000</v>
      </c>
      <c r="E35" s="56">
        <v>1330000</v>
      </c>
      <c r="F35" s="13">
        <f t="shared" si="3"/>
        <v>1420000</v>
      </c>
      <c r="G35" s="58">
        <f t="shared" si="4"/>
        <v>570000</v>
      </c>
      <c r="H35" s="14"/>
      <c r="I35" s="29"/>
      <c r="J35" s="27" t="s">
        <v>142</v>
      </c>
      <c r="K35" s="30" t="s">
        <v>144</v>
      </c>
      <c r="L35" s="18">
        <v>660000</v>
      </c>
    </row>
    <row r="36" spans="1:12">
      <c r="A36" s="12" t="s">
        <v>141</v>
      </c>
      <c r="B36" s="13">
        <v>1625000</v>
      </c>
      <c r="C36" s="13">
        <v>300000</v>
      </c>
      <c r="D36" s="54">
        <f t="shared" si="5"/>
        <v>1925000</v>
      </c>
      <c r="E36" s="56">
        <v>1550000</v>
      </c>
      <c r="F36" s="13">
        <f t="shared" si="3"/>
        <v>375000</v>
      </c>
      <c r="G36" s="58">
        <f t="shared" si="4"/>
        <v>-1250000</v>
      </c>
      <c r="H36" s="14"/>
      <c r="I36" s="29"/>
      <c r="J36" s="27" t="s">
        <v>142</v>
      </c>
      <c r="K36" s="30" t="s">
        <v>65</v>
      </c>
      <c r="L36" s="18">
        <v>500000</v>
      </c>
    </row>
    <row r="37" spans="1:12">
      <c r="A37" s="12" t="s">
        <v>142</v>
      </c>
      <c r="B37" s="13">
        <v>1600000</v>
      </c>
      <c r="C37" s="13">
        <v>2050000</v>
      </c>
      <c r="D37" s="54">
        <f t="shared" si="5"/>
        <v>3650000</v>
      </c>
      <c r="E37" s="56">
        <v>1700000</v>
      </c>
      <c r="F37" s="13">
        <f t="shared" si="3"/>
        <v>1950000</v>
      </c>
      <c r="G37" s="58">
        <f t="shared" si="4"/>
        <v>350000</v>
      </c>
      <c r="H37" s="14"/>
      <c r="I37" s="29"/>
      <c r="J37" s="27" t="s">
        <v>142</v>
      </c>
      <c r="K37" s="30" t="s">
        <v>105</v>
      </c>
      <c r="L37" s="18">
        <v>4000000</v>
      </c>
    </row>
    <row r="38" spans="1:12">
      <c r="A38" s="12"/>
      <c r="B38" s="13"/>
      <c r="C38" s="13"/>
      <c r="D38" s="54"/>
      <c r="E38" s="56"/>
      <c r="F38" s="13"/>
      <c r="G38" s="58"/>
      <c r="H38" s="14"/>
      <c r="I38" s="29"/>
      <c r="J38" s="27"/>
      <c r="K38" s="30"/>
      <c r="L38" s="18"/>
    </row>
    <row r="39" spans="1:12">
      <c r="A39" s="49"/>
      <c r="B39" s="50"/>
      <c r="C39" s="50"/>
      <c r="D39" s="54"/>
      <c r="E39" s="56"/>
      <c r="F39" s="50"/>
      <c r="G39" s="58"/>
      <c r="H39" s="51"/>
      <c r="I39" s="29"/>
      <c r="J39" s="27"/>
      <c r="K39" s="30"/>
      <c r="L39" s="18"/>
    </row>
    <row r="40" spans="1:12">
      <c r="A40" s="12"/>
      <c r="B40" s="13"/>
      <c r="C40" s="13"/>
      <c r="D40" s="54"/>
      <c r="E40" s="56"/>
      <c r="F40" s="13"/>
      <c r="G40" s="58"/>
      <c r="H40" s="14"/>
      <c r="I40" s="29"/>
      <c r="J40" s="27"/>
      <c r="K40" s="30"/>
      <c r="L40" s="18"/>
    </row>
    <row r="41" spans="1:12">
      <c r="A41" s="12"/>
      <c r="B41" s="13"/>
      <c r="C41" s="13"/>
      <c r="D41" s="54"/>
      <c r="E41" s="56"/>
      <c r="F41" s="13"/>
      <c r="G41" s="58"/>
      <c r="H41" s="14"/>
      <c r="I41" s="29"/>
      <c r="J41" s="34"/>
      <c r="K41" s="23"/>
      <c r="L41" s="62">
        <f>SUM(L8:L40)</f>
        <v>90755000</v>
      </c>
    </row>
    <row r="42" spans="1:12">
      <c r="A42" s="12"/>
      <c r="B42" s="13"/>
      <c r="C42" s="13"/>
      <c r="D42" s="54"/>
      <c r="E42" s="56"/>
      <c r="F42" s="13"/>
      <c r="G42" s="58"/>
      <c r="H42" s="14"/>
      <c r="I42" s="29"/>
      <c r="J42" s="28"/>
      <c r="K42" s="1"/>
      <c r="L42" s="1"/>
    </row>
    <row r="43" spans="1:12" ht="15.75">
      <c r="A43" s="12"/>
      <c r="B43" s="13"/>
      <c r="C43" s="13"/>
      <c r="D43" s="54"/>
      <c r="E43" s="56"/>
      <c r="F43" s="13"/>
      <c r="G43" s="58"/>
      <c r="H43" s="14"/>
      <c r="I43" s="29"/>
      <c r="J43" s="35" t="s">
        <v>11</v>
      </c>
      <c r="K43" s="36" t="s">
        <v>12</v>
      </c>
      <c r="L43" s="60">
        <f>B50+C50</f>
        <v>143820000</v>
      </c>
    </row>
    <row r="44" spans="1:12" ht="15.75">
      <c r="A44" s="12"/>
      <c r="B44" s="13"/>
      <c r="C44" s="13"/>
      <c r="D44" s="54"/>
      <c r="E44" s="56"/>
      <c r="F44" s="13"/>
      <c r="G44" s="58"/>
      <c r="H44" s="14"/>
      <c r="I44" s="38"/>
      <c r="J44" s="39"/>
      <c r="K44" s="40" t="s">
        <v>13</v>
      </c>
      <c r="L44" s="61">
        <v>50340000</v>
      </c>
    </row>
    <row r="45" spans="1:12" ht="15.75">
      <c r="A45" s="12"/>
      <c r="B45" s="13"/>
      <c r="C45" s="13"/>
      <c r="D45" s="54"/>
      <c r="E45" s="56"/>
      <c r="F45" s="13"/>
      <c r="G45" s="58"/>
      <c r="H45" s="14"/>
      <c r="I45" s="29"/>
      <c r="J45" s="39"/>
      <c r="K45" s="40" t="s">
        <v>14</v>
      </c>
      <c r="L45" s="61">
        <v>90755000</v>
      </c>
    </row>
    <row r="46" spans="1:12" ht="15.75">
      <c r="A46" s="49"/>
      <c r="B46" s="50"/>
      <c r="C46" s="50"/>
      <c r="D46" s="54"/>
      <c r="E46" s="56"/>
      <c r="F46" s="50"/>
      <c r="G46" s="58"/>
      <c r="H46" s="51"/>
      <c r="I46" s="29"/>
      <c r="J46" s="39"/>
      <c r="K46" s="40" t="s">
        <v>15</v>
      </c>
      <c r="L46" s="41">
        <f>L44+L45</f>
        <v>141095000</v>
      </c>
    </row>
    <row r="47" spans="1:12" ht="15.75">
      <c r="A47" s="12"/>
      <c r="B47" s="13"/>
      <c r="C47" s="13"/>
      <c r="D47" s="54"/>
      <c r="E47" s="56"/>
      <c r="F47" s="13"/>
      <c r="G47" s="58"/>
      <c r="H47" s="14"/>
      <c r="I47" s="29"/>
      <c r="J47" s="39"/>
      <c r="K47" s="42"/>
      <c r="L47" s="37"/>
    </row>
    <row r="48" spans="1:12" ht="18">
      <c r="A48" s="12"/>
      <c r="B48" s="13"/>
      <c r="C48" s="13"/>
      <c r="D48" s="54"/>
      <c r="E48" s="56"/>
      <c r="F48" s="13"/>
      <c r="G48" s="58"/>
      <c r="H48" s="14"/>
      <c r="I48" s="29"/>
      <c r="J48" s="80" t="s">
        <v>108</v>
      </c>
      <c r="K48" s="80"/>
      <c r="L48" s="43">
        <f>L43-L46</f>
        <v>2725000</v>
      </c>
    </row>
    <row r="49" spans="1:12">
      <c r="A49" s="12"/>
      <c r="B49" s="13"/>
      <c r="C49" s="13"/>
      <c r="D49" s="54"/>
      <c r="E49" s="56"/>
      <c r="F49" s="13"/>
      <c r="G49" s="58"/>
      <c r="H49" s="14"/>
      <c r="I49" s="1"/>
      <c r="J49" s="29"/>
      <c r="K49" s="29"/>
      <c r="L49" s="1"/>
    </row>
    <row r="50" spans="1:12">
      <c r="A50" s="12"/>
      <c r="B50" s="44">
        <f t="shared" ref="B50:G50" si="6">SUM(B8:B49)</f>
        <v>104430000</v>
      </c>
      <c r="C50" s="44">
        <f t="shared" si="6"/>
        <v>39390000</v>
      </c>
      <c r="D50" s="55">
        <f t="shared" si="6"/>
        <v>143820000</v>
      </c>
      <c r="E50" s="57">
        <f t="shared" si="6"/>
        <v>50340000</v>
      </c>
      <c r="F50" s="53">
        <f t="shared" si="6"/>
        <v>93480000</v>
      </c>
      <c r="G50" s="59">
        <f t="shared" si="6"/>
        <v>-10950000</v>
      </c>
      <c r="H50" s="29"/>
      <c r="I50" s="1"/>
      <c r="J50" s="1"/>
      <c r="K50" s="1"/>
      <c r="L50" s="1"/>
    </row>
    <row r="52" spans="1:12">
      <c r="H52" s="74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L54"/>
  <sheetViews>
    <sheetView topLeftCell="A43" workbookViewId="0">
      <selection activeCell="K67" sqref="K67"/>
    </sheetView>
  </sheetViews>
  <sheetFormatPr defaultRowHeight="15"/>
  <cols>
    <col min="1" max="1" width="6.85546875" customWidth="1"/>
    <col min="2" max="2" width="15.28515625" customWidth="1"/>
    <col min="3" max="3" width="14.5703125" customWidth="1"/>
    <col min="4" max="4" width="14.85546875" customWidth="1"/>
    <col min="5" max="5" width="14.7109375" customWidth="1"/>
    <col min="6" max="6" width="16.42578125" customWidth="1"/>
    <col min="7" max="7" width="15.42578125" customWidth="1"/>
    <col min="11" max="11" width="45.140625" customWidth="1"/>
    <col min="12" max="12" width="17.140625" customWidth="1"/>
  </cols>
  <sheetData>
    <row r="3" spans="1:12">
      <c r="A3" s="81" t="s">
        <v>145</v>
      </c>
      <c r="B3" s="82"/>
      <c r="C3" s="82"/>
      <c r="D3" s="82"/>
      <c r="E3" s="82"/>
      <c r="F3" s="1"/>
      <c r="G3" s="1"/>
      <c r="H3" s="1"/>
      <c r="I3" s="1"/>
      <c r="J3" s="1"/>
      <c r="K3" s="1"/>
      <c r="L3" s="1"/>
    </row>
    <row r="4" spans="1:12">
      <c r="A4" s="83"/>
      <c r="B4" s="83"/>
      <c r="C4" s="83"/>
      <c r="D4" s="83"/>
      <c r="E4" s="83"/>
      <c r="F4" s="1"/>
      <c r="G4" s="1"/>
      <c r="H4" s="1"/>
      <c r="I4" s="1"/>
      <c r="J4" s="1"/>
      <c r="K4" s="1"/>
      <c r="L4" s="1"/>
    </row>
    <row r="5" spans="1:12" ht="15.75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2"/>
      <c r="I5" s="3"/>
      <c r="J5" s="4" t="s">
        <v>6</v>
      </c>
      <c r="K5" s="5"/>
      <c r="L5" s="6"/>
    </row>
    <row r="6" spans="1:12" ht="15.75">
      <c r="A6" s="85"/>
      <c r="B6" s="7" t="s">
        <v>7</v>
      </c>
      <c r="C6" s="72" t="s">
        <v>8</v>
      </c>
      <c r="D6" s="89"/>
      <c r="E6" s="79"/>
      <c r="F6" s="89"/>
      <c r="G6" s="79"/>
      <c r="H6" s="2"/>
      <c r="I6" s="3"/>
      <c r="J6" s="9" t="s">
        <v>0</v>
      </c>
      <c r="K6" s="10" t="s">
        <v>9</v>
      </c>
      <c r="L6" s="11" t="s">
        <v>10</v>
      </c>
    </row>
    <row r="7" spans="1:12">
      <c r="A7" s="49"/>
      <c r="B7" s="64"/>
      <c r="C7" s="64"/>
      <c r="D7" s="66"/>
      <c r="E7" s="65"/>
      <c r="F7" s="64"/>
      <c r="G7" s="67"/>
      <c r="H7" s="51"/>
      <c r="I7" s="6"/>
      <c r="J7" s="12"/>
      <c r="K7" s="15"/>
      <c r="L7" s="16"/>
    </row>
    <row r="8" spans="1:12">
      <c r="A8" s="49" t="s">
        <v>147</v>
      </c>
      <c r="B8" s="50">
        <v>8250000</v>
      </c>
      <c r="C8" s="50"/>
      <c r="D8" s="54">
        <v>8250000</v>
      </c>
      <c r="E8" s="56">
        <v>1580000</v>
      </c>
      <c r="F8" s="50">
        <f t="shared" ref="F8:F15" si="0">D8-E8</f>
        <v>6670000</v>
      </c>
      <c r="G8" s="58">
        <f t="shared" ref="G8:G16" si="1">C8-E8</f>
        <v>-1580000</v>
      </c>
      <c r="H8" s="51"/>
      <c r="I8" s="6"/>
      <c r="J8" s="68" t="s">
        <v>149</v>
      </c>
      <c r="K8" s="63" t="s">
        <v>150</v>
      </c>
      <c r="L8" s="18">
        <v>800000</v>
      </c>
    </row>
    <row r="9" spans="1:12">
      <c r="A9" s="12" t="s">
        <v>148</v>
      </c>
      <c r="B9" s="13">
        <v>5150000</v>
      </c>
      <c r="C9" s="13">
        <v>8250000</v>
      </c>
      <c r="D9" s="54">
        <f t="shared" ref="D9:D15" si="2">B9+C9</f>
        <v>13400000</v>
      </c>
      <c r="E9" s="56">
        <v>975000</v>
      </c>
      <c r="F9" s="13">
        <f t="shared" si="0"/>
        <v>12425000</v>
      </c>
      <c r="G9" s="58">
        <f t="shared" si="1"/>
        <v>7275000</v>
      </c>
      <c r="H9" s="14"/>
      <c r="I9" s="19"/>
      <c r="J9" s="68" t="s">
        <v>151</v>
      </c>
      <c r="K9" s="63" t="s">
        <v>152</v>
      </c>
      <c r="L9" s="18">
        <v>290000</v>
      </c>
    </row>
    <row r="10" spans="1:12">
      <c r="A10" s="12" t="s">
        <v>149</v>
      </c>
      <c r="B10" s="13">
        <v>4250000</v>
      </c>
      <c r="C10" s="13">
        <v>4100000</v>
      </c>
      <c r="D10" s="54">
        <f t="shared" si="2"/>
        <v>8350000</v>
      </c>
      <c r="E10" s="56">
        <v>3295000</v>
      </c>
      <c r="F10" s="13">
        <f t="shared" si="0"/>
        <v>5055000</v>
      </c>
      <c r="G10" s="58">
        <f t="shared" si="1"/>
        <v>805000</v>
      </c>
      <c r="H10" s="14"/>
      <c r="I10" s="6"/>
      <c r="J10" s="20" t="s">
        <v>153</v>
      </c>
      <c r="K10" s="21" t="s">
        <v>23</v>
      </c>
      <c r="L10" s="18">
        <v>40500000</v>
      </c>
    </row>
    <row r="11" spans="1:12">
      <c r="A11" s="12" t="s">
        <v>151</v>
      </c>
      <c r="B11" s="13">
        <v>4545000</v>
      </c>
      <c r="C11" s="13">
        <v>755000</v>
      </c>
      <c r="D11" s="54">
        <f t="shared" si="2"/>
        <v>5300000</v>
      </c>
      <c r="E11" s="56">
        <v>1555000</v>
      </c>
      <c r="F11" s="50">
        <f t="shared" si="0"/>
        <v>3745000</v>
      </c>
      <c r="G11" s="58">
        <f t="shared" si="1"/>
        <v>-800000</v>
      </c>
      <c r="H11" s="14"/>
      <c r="I11" s="22"/>
      <c r="J11" s="20" t="s">
        <v>153</v>
      </c>
      <c r="K11" s="46" t="s">
        <v>51</v>
      </c>
      <c r="L11" s="18">
        <v>185000</v>
      </c>
    </row>
    <row r="12" spans="1:12">
      <c r="A12" s="12" t="s">
        <v>153</v>
      </c>
      <c r="B12" s="13">
        <v>3400000</v>
      </c>
      <c r="C12" s="13">
        <v>680000</v>
      </c>
      <c r="D12" s="54">
        <f t="shared" si="2"/>
        <v>4080000</v>
      </c>
      <c r="E12" s="56">
        <v>1680000</v>
      </c>
      <c r="F12" s="50">
        <f t="shared" si="0"/>
        <v>2400000</v>
      </c>
      <c r="G12" s="58">
        <f t="shared" si="1"/>
        <v>-1000000</v>
      </c>
      <c r="H12" s="14"/>
      <c r="I12" s="22"/>
      <c r="J12" s="12" t="s">
        <v>153</v>
      </c>
      <c r="K12" s="63" t="s">
        <v>154</v>
      </c>
      <c r="L12" s="18">
        <v>1400000</v>
      </c>
    </row>
    <row r="13" spans="1:12">
      <c r="A13" s="12" t="s">
        <v>155</v>
      </c>
      <c r="B13" s="13">
        <v>4050000</v>
      </c>
      <c r="C13" s="50">
        <v>1020000</v>
      </c>
      <c r="D13" s="54">
        <f t="shared" si="2"/>
        <v>5070000</v>
      </c>
      <c r="E13" s="56">
        <v>1960000</v>
      </c>
      <c r="F13" s="13">
        <f t="shared" si="0"/>
        <v>3110000</v>
      </c>
      <c r="G13" s="58">
        <f t="shared" si="1"/>
        <v>-940000</v>
      </c>
      <c r="H13" s="14"/>
      <c r="I13" s="6"/>
      <c r="J13" s="12" t="s">
        <v>153</v>
      </c>
      <c r="K13" s="21" t="s">
        <v>71</v>
      </c>
      <c r="L13" s="18">
        <v>2000000</v>
      </c>
    </row>
    <row r="14" spans="1:12">
      <c r="A14" s="12" t="s">
        <v>157</v>
      </c>
      <c r="B14" s="13">
        <v>2700000</v>
      </c>
      <c r="C14" s="13">
        <v>200000</v>
      </c>
      <c r="D14" s="54">
        <f t="shared" si="2"/>
        <v>2900000</v>
      </c>
      <c r="E14" s="56">
        <v>1760000</v>
      </c>
      <c r="F14" s="13">
        <f t="shared" si="0"/>
        <v>1140000</v>
      </c>
      <c r="G14" s="58">
        <f t="shared" si="1"/>
        <v>-1560000</v>
      </c>
      <c r="H14" s="14"/>
      <c r="I14" s="6"/>
      <c r="J14" s="12" t="s">
        <v>155</v>
      </c>
      <c r="K14" s="15" t="s">
        <v>156</v>
      </c>
      <c r="L14" s="18">
        <v>1500000</v>
      </c>
    </row>
    <row r="15" spans="1:12">
      <c r="A15" s="49" t="s">
        <v>159</v>
      </c>
      <c r="B15" s="50">
        <v>4120000</v>
      </c>
      <c r="C15" s="50">
        <v>3850000</v>
      </c>
      <c r="D15" s="54">
        <f t="shared" si="2"/>
        <v>7970000</v>
      </c>
      <c r="E15" s="56">
        <v>1430000</v>
      </c>
      <c r="F15" s="50">
        <f t="shared" si="0"/>
        <v>6540000</v>
      </c>
      <c r="G15" s="58">
        <f t="shared" si="1"/>
        <v>2420000</v>
      </c>
      <c r="H15" s="52"/>
      <c r="I15" s="6"/>
      <c r="J15" s="12" t="s">
        <v>157</v>
      </c>
      <c r="K15" s="25" t="s">
        <v>34</v>
      </c>
      <c r="L15" s="18">
        <v>500000</v>
      </c>
    </row>
    <row r="16" spans="1:12">
      <c r="A16" s="12" t="s">
        <v>160</v>
      </c>
      <c r="B16" s="13"/>
      <c r="C16" s="13">
        <v>200000</v>
      </c>
      <c r="D16" s="54">
        <v>200000</v>
      </c>
      <c r="E16" s="56">
        <v>780000</v>
      </c>
      <c r="F16" s="13">
        <f t="shared" ref="F16:F22" si="3">D16-E16</f>
        <v>-580000</v>
      </c>
      <c r="G16" s="58">
        <f t="shared" si="1"/>
        <v>-580000</v>
      </c>
      <c r="H16" s="24"/>
      <c r="I16" s="22"/>
      <c r="J16" s="12" t="s">
        <v>157</v>
      </c>
      <c r="K16" s="25" t="s">
        <v>158</v>
      </c>
      <c r="L16" s="18">
        <v>350000</v>
      </c>
    </row>
    <row r="17" spans="1:12">
      <c r="A17" s="12" t="s">
        <v>161</v>
      </c>
      <c r="B17" s="13">
        <v>2600000</v>
      </c>
      <c r="C17" s="13"/>
      <c r="D17" s="54">
        <f>B17+C17</f>
        <v>2600000</v>
      </c>
      <c r="E17" s="56">
        <v>2200000</v>
      </c>
      <c r="F17" s="13">
        <f t="shared" si="3"/>
        <v>400000</v>
      </c>
      <c r="G17" s="58">
        <f t="shared" ref="G17:G22" si="4">C17-E17</f>
        <v>-2200000</v>
      </c>
      <c r="H17" s="24"/>
      <c r="I17" s="26"/>
      <c r="J17" s="27" t="s">
        <v>157</v>
      </c>
      <c r="K17" s="47" t="s">
        <v>23</v>
      </c>
      <c r="L17" s="48">
        <v>20000000</v>
      </c>
    </row>
    <row r="18" spans="1:12">
      <c r="A18" s="49" t="s">
        <v>162</v>
      </c>
      <c r="B18" s="50"/>
      <c r="C18" s="50">
        <v>100000</v>
      </c>
      <c r="D18" s="54">
        <v>100000</v>
      </c>
      <c r="E18" s="56">
        <v>1320000</v>
      </c>
      <c r="F18" s="50">
        <f t="shared" si="3"/>
        <v>-1220000</v>
      </c>
      <c r="G18" s="58">
        <f t="shared" si="4"/>
        <v>-1220000</v>
      </c>
      <c r="H18" s="24"/>
      <c r="I18" s="26"/>
      <c r="J18" s="12" t="s">
        <v>163</v>
      </c>
      <c r="K18" s="25" t="s">
        <v>164</v>
      </c>
      <c r="L18" s="18">
        <v>150000</v>
      </c>
    </row>
    <row r="19" spans="1:12">
      <c r="A19" s="12" t="s">
        <v>163</v>
      </c>
      <c r="B19" s="13">
        <v>1950000</v>
      </c>
      <c r="C19" s="13">
        <v>100000</v>
      </c>
      <c r="D19" s="54">
        <f>B19+C19</f>
        <v>2050000</v>
      </c>
      <c r="E19" s="56">
        <v>1500000</v>
      </c>
      <c r="F19" s="13">
        <f t="shared" si="3"/>
        <v>550000</v>
      </c>
      <c r="G19" s="58">
        <f t="shared" si="4"/>
        <v>-1400000</v>
      </c>
      <c r="H19" s="24"/>
      <c r="I19" s="29"/>
      <c r="J19" s="12" t="s">
        <v>167</v>
      </c>
      <c r="K19" s="23" t="s">
        <v>166</v>
      </c>
      <c r="L19" s="18">
        <v>2550000</v>
      </c>
    </row>
    <row r="20" spans="1:12">
      <c r="A20" s="12" t="s">
        <v>165</v>
      </c>
      <c r="B20" s="13">
        <v>4650000</v>
      </c>
      <c r="C20" s="13">
        <v>1750000</v>
      </c>
      <c r="D20" s="54">
        <f>B20+C20</f>
        <v>6400000</v>
      </c>
      <c r="E20" s="56">
        <v>1960000</v>
      </c>
      <c r="F20" s="13">
        <f t="shared" si="3"/>
        <v>4440000</v>
      </c>
      <c r="G20" s="58">
        <f t="shared" si="4"/>
        <v>-210000</v>
      </c>
      <c r="H20" s="24"/>
      <c r="I20" s="29"/>
      <c r="J20" s="27" t="s">
        <v>167</v>
      </c>
      <c r="K20" s="30" t="s">
        <v>168</v>
      </c>
      <c r="L20" s="18">
        <v>750000</v>
      </c>
    </row>
    <row r="21" spans="1:12">
      <c r="A21" s="49" t="s">
        <v>167</v>
      </c>
      <c r="B21" s="50">
        <v>4100000</v>
      </c>
      <c r="C21" s="50">
        <v>1500000</v>
      </c>
      <c r="D21" s="54">
        <f>B21+C21</f>
        <v>5600000</v>
      </c>
      <c r="E21" s="56">
        <v>1870000</v>
      </c>
      <c r="F21" s="50">
        <f t="shared" si="3"/>
        <v>3730000</v>
      </c>
      <c r="G21" s="58">
        <f t="shared" si="4"/>
        <v>-370000</v>
      </c>
      <c r="H21" s="24"/>
      <c r="I21" s="31"/>
      <c r="J21" s="32" t="s">
        <v>169</v>
      </c>
      <c r="K21" s="23" t="s">
        <v>65</v>
      </c>
      <c r="L21" s="18">
        <v>500000</v>
      </c>
    </row>
    <row r="22" spans="1:12">
      <c r="A22" s="49" t="s">
        <v>169</v>
      </c>
      <c r="B22" s="50">
        <v>15020000</v>
      </c>
      <c r="C22" s="50">
        <v>2900000</v>
      </c>
      <c r="D22" s="54">
        <f>B22+C22</f>
        <v>17920000</v>
      </c>
      <c r="E22" s="56">
        <v>3815000</v>
      </c>
      <c r="F22" s="50">
        <f t="shared" si="3"/>
        <v>14105000</v>
      </c>
      <c r="G22" s="58">
        <f t="shared" si="4"/>
        <v>-915000</v>
      </c>
      <c r="H22" s="51"/>
      <c r="I22" s="29"/>
      <c r="J22" s="27" t="s">
        <v>169</v>
      </c>
      <c r="K22" s="30" t="s">
        <v>170</v>
      </c>
      <c r="L22" s="18">
        <v>800000</v>
      </c>
    </row>
    <row r="23" spans="1:12">
      <c r="A23" s="70" t="s">
        <v>171</v>
      </c>
      <c r="B23" s="71"/>
      <c r="C23" s="71"/>
      <c r="D23" s="71"/>
      <c r="E23" s="71"/>
      <c r="F23" s="71"/>
      <c r="G23" s="71"/>
      <c r="H23" s="14"/>
      <c r="I23" s="29"/>
      <c r="J23" s="27" t="s">
        <v>172</v>
      </c>
      <c r="K23" s="30" t="s">
        <v>34</v>
      </c>
      <c r="L23" s="18">
        <v>200000</v>
      </c>
    </row>
    <row r="24" spans="1:12">
      <c r="A24" s="70" t="s">
        <v>172</v>
      </c>
      <c r="B24" s="71"/>
      <c r="C24" s="71"/>
      <c r="D24" s="71"/>
      <c r="E24" s="71"/>
      <c r="F24" s="71"/>
      <c r="G24" s="71"/>
      <c r="H24" s="14"/>
      <c r="I24" s="31"/>
      <c r="J24" s="27" t="s">
        <v>172</v>
      </c>
      <c r="K24" s="30" t="s">
        <v>174</v>
      </c>
      <c r="L24" s="18">
        <v>350000</v>
      </c>
    </row>
    <row r="25" spans="1:12">
      <c r="A25" s="12" t="s">
        <v>173</v>
      </c>
      <c r="B25" s="13">
        <v>14445000</v>
      </c>
      <c r="C25" s="13">
        <v>300000</v>
      </c>
      <c r="D25" s="54">
        <f>B25+C25</f>
        <v>14745000</v>
      </c>
      <c r="E25" s="56">
        <v>1385000</v>
      </c>
      <c r="F25" s="13">
        <f t="shared" ref="F25:F33" si="5">D25-E25</f>
        <v>13360000</v>
      </c>
      <c r="G25" s="58">
        <f t="shared" ref="G25:G37" si="6">C25-E25</f>
        <v>-1085000</v>
      </c>
      <c r="H25" s="14"/>
      <c r="I25" s="31"/>
      <c r="J25" s="27" t="s">
        <v>175</v>
      </c>
      <c r="K25" s="30" t="s">
        <v>176</v>
      </c>
      <c r="L25" s="18">
        <v>6500000</v>
      </c>
    </row>
    <row r="26" spans="1:12">
      <c r="A26" s="12" t="s">
        <v>175</v>
      </c>
      <c r="B26" s="13">
        <v>8850000</v>
      </c>
      <c r="C26" s="13">
        <v>800000</v>
      </c>
      <c r="D26" s="54">
        <f>B26+C26</f>
        <v>9650000</v>
      </c>
      <c r="E26" s="56">
        <v>1900000</v>
      </c>
      <c r="F26" s="13">
        <f t="shared" si="5"/>
        <v>7750000</v>
      </c>
      <c r="G26" s="58">
        <f t="shared" si="6"/>
        <v>-1100000</v>
      </c>
      <c r="H26" s="14"/>
      <c r="I26" s="29"/>
      <c r="J26" s="27" t="s">
        <v>177</v>
      </c>
      <c r="K26" s="30" t="s">
        <v>178</v>
      </c>
      <c r="L26" s="18">
        <v>1000000</v>
      </c>
    </row>
    <row r="27" spans="1:12">
      <c r="A27" s="12" t="s">
        <v>179</v>
      </c>
      <c r="B27" s="13">
        <v>8200000</v>
      </c>
      <c r="C27" s="13"/>
      <c r="D27" s="54">
        <v>8200000</v>
      </c>
      <c r="E27" s="56">
        <v>1595000</v>
      </c>
      <c r="F27" s="13">
        <f t="shared" si="5"/>
        <v>6605000</v>
      </c>
      <c r="G27" s="58">
        <f t="shared" si="6"/>
        <v>-1595000</v>
      </c>
      <c r="H27" s="33"/>
      <c r="I27" s="29"/>
      <c r="J27" s="27" t="s">
        <v>180</v>
      </c>
      <c r="K27" s="30" t="s">
        <v>128</v>
      </c>
      <c r="L27" s="18">
        <v>1000000</v>
      </c>
    </row>
    <row r="28" spans="1:12">
      <c r="A28" s="12" t="s">
        <v>180</v>
      </c>
      <c r="B28" s="13">
        <v>400000</v>
      </c>
      <c r="C28" s="13">
        <v>300000</v>
      </c>
      <c r="D28" s="54">
        <f t="shared" ref="D28:D33" si="7">B28+C28</f>
        <v>700000</v>
      </c>
      <c r="E28" s="56">
        <v>1555000</v>
      </c>
      <c r="F28" s="13">
        <f t="shared" si="5"/>
        <v>-855000</v>
      </c>
      <c r="G28" s="58">
        <f t="shared" si="6"/>
        <v>-1255000</v>
      </c>
      <c r="H28" s="14"/>
      <c r="I28" s="29"/>
      <c r="J28" s="27" t="s">
        <v>181</v>
      </c>
      <c r="K28" s="30" t="s">
        <v>182</v>
      </c>
      <c r="L28" s="18">
        <v>100000</v>
      </c>
    </row>
    <row r="29" spans="1:12">
      <c r="A29" s="12" t="s">
        <v>181</v>
      </c>
      <c r="B29" s="13">
        <v>1150000</v>
      </c>
      <c r="C29" s="13">
        <v>8325000</v>
      </c>
      <c r="D29" s="54">
        <f t="shared" si="7"/>
        <v>9475000</v>
      </c>
      <c r="E29" s="56">
        <v>2335000</v>
      </c>
      <c r="F29" s="13">
        <f t="shared" si="5"/>
        <v>7140000</v>
      </c>
      <c r="G29" s="58">
        <f t="shared" si="6"/>
        <v>5990000</v>
      </c>
      <c r="H29" s="14"/>
      <c r="I29" s="29"/>
      <c r="J29" s="27" t="s">
        <v>183</v>
      </c>
      <c r="K29" s="30" t="s">
        <v>34</v>
      </c>
      <c r="L29" s="18">
        <v>500000</v>
      </c>
    </row>
    <row r="30" spans="1:12">
      <c r="A30" s="12" t="s">
        <v>183</v>
      </c>
      <c r="B30" s="13">
        <v>2050000</v>
      </c>
      <c r="C30" s="13">
        <v>200000</v>
      </c>
      <c r="D30" s="54">
        <f t="shared" si="7"/>
        <v>2250000</v>
      </c>
      <c r="E30" s="56">
        <v>850000</v>
      </c>
      <c r="F30" s="13">
        <f t="shared" si="5"/>
        <v>1400000</v>
      </c>
      <c r="G30" s="58">
        <f t="shared" si="6"/>
        <v>-650000</v>
      </c>
      <c r="H30" s="14"/>
      <c r="I30" s="29"/>
      <c r="J30" s="27" t="s">
        <v>183</v>
      </c>
      <c r="K30" s="30" t="s">
        <v>51</v>
      </c>
      <c r="L30" s="18">
        <v>35000</v>
      </c>
    </row>
    <row r="31" spans="1:12">
      <c r="A31" s="12" t="s">
        <v>184</v>
      </c>
      <c r="B31" s="13">
        <v>850000</v>
      </c>
      <c r="C31" s="13">
        <v>7575000</v>
      </c>
      <c r="D31" s="54">
        <f t="shared" si="7"/>
        <v>8425000</v>
      </c>
      <c r="E31" s="56">
        <v>1355000</v>
      </c>
      <c r="F31" s="13">
        <f t="shared" si="5"/>
        <v>7070000</v>
      </c>
      <c r="G31" s="58">
        <f t="shared" si="6"/>
        <v>6220000</v>
      </c>
      <c r="H31" s="14"/>
      <c r="I31" s="29"/>
      <c r="J31" s="27" t="s">
        <v>184</v>
      </c>
      <c r="K31" s="30" t="s">
        <v>185</v>
      </c>
      <c r="L31" s="18">
        <v>980000</v>
      </c>
    </row>
    <row r="32" spans="1:12">
      <c r="A32" s="12" t="s">
        <v>186</v>
      </c>
      <c r="B32" s="13">
        <v>11500000</v>
      </c>
      <c r="C32" s="13">
        <v>9650000</v>
      </c>
      <c r="D32" s="54">
        <f t="shared" si="7"/>
        <v>21150000</v>
      </c>
      <c r="E32" s="56">
        <v>1900000</v>
      </c>
      <c r="F32" s="13">
        <f t="shared" si="5"/>
        <v>19250000</v>
      </c>
      <c r="G32" s="58">
        <f t="shared" si="6"/>
        <v>7750000</v>
      </c>
      <c r="H32" s="14"/>
      <c r="I32" s="29"/>
      <c r="J32" s="27" t="s">
        <v>187</v>
      </c>
      <c r="K32" s="30" t="s">
        <v>188</v>
      </c>
      <c r="L32" s="18">
        <v>10000000</v>
      </c>
    </row>
    <row r="33" spans="1:12">
      <c r="A33" s="12" t="s">
        <v>187</v>
      </c>
      <c r="B33" s="13">
        <v>1500000</v>
      </c>
      <c r="C33" s="13">
        <v>1375000</v>
      </c>
      <c r="D33" s="54">
        <f t="shared" si="7"/>
        <v>2875000</v>
      </c>
      <c r="E33" s="56">
        <v>2530000</v>
      </c>
      <c r="F33" s="13">
        <f t="shared" si="5"/>
        <v>345000</v>
      </c>
      <c r="G33" s="58">
        <f t="shared" si="6"/>
        <v>-1155000</v>
      </c>
      <c r="H33" s="14"/>
      <c r="I33" s="29"/>
      <c r="J33" s="27" t="s">
        <v>189</v>
      </c>
      <c r="K33" s="30" t="s">
        <v>190</v>
      </c>
      <c r="L33" s="18">
        <v>25500000</v>
      </c>
    </row>
    <row r="34" spans="1:12">
      <c r="A34" s="12" t="s">
        <v>189</v>
      </c>
      <c r="B34" s="13"/>
      <c r="C34" s="13">
        <v>4180000</v>
      </c>
      <c r="D34" s="54">
        <v>4180000</v>
      </c>
      <c r="E34" s="56">
        <v>1040000</v>
      </c>
      <c r="F34" s="13">
        <f>D34-E34</f>
        <v>3140000</v>
      </c>
      <c r="G34" s="58">
        <f t="shared" si="6"/>
        <v>3140000</v>
      </c>
      <c r="H34" s="14"/>
      <c r="I34" s="29"/>
      <c r="J34" s="27" t="s">
        <v>191</v>
      </c>
      <c r="K34" s="30" t="s">
        <v>65</v>
      </c>
      <c r="L34" s="18">
        <v>500000</v>
      </c>
    </row>
    <row r="35" spans="1:12">
      <c r="A35" s="12" t="s">
        <v>191</v>
      </c>
      <c r="B35" s="13">
        <v>6450000</v>
      </c>
      <c r="C35" s="13">
        <v>1700000</v>
      </c>
      <c r="D35" s="54">
        <f>B35+C35</f>
        <v>8150000</v>
      </c>
      <c r="E35" s="56">
        <v>1595000</v>
      </c>
      <c r="F35" s="13">
        <f>D35-E35</f>
        <v>6555000</v>
      </c>
      <c r="G35" s="58">
        <f t="shared" si="6"/>
        <v>105000</v>
      </c>
      <c r="H35" s="14"/>
      <c r="I35" s="29"/>
      <c r="J35" s="27" t="s">
        <v>191</v>
      </c>
      <c r="K35" s="30" t="s">
        <v>192</v>
      </c>
      <c r="L35" s="18">
        <v>1550000</v>
      </c>
    </row>
    <row r="36" spans="1:12">
      <c r="A36" s="12" t="s">
        <v>194</v>
      </c>
      <c r="B36" s="13">
        <v>9350000</v>
      </c>
      <c r="C36" s="13">
        <v>3100000</v>
      </c>
      <c r="D36" s="54">
        <f>B36+C36</f>
        <v>12450000</v>
      </c>
      <c r="E36" s="56">
        <v>2405000</v>
      </c>
      <c r="F36" s="13">
        <f>D36-E36</f>
        <v>10045000</v>
      </c>
      <c r="G36" s="58">
        <f t="shared" si="6"/>
        <v>695000</v>
      </c>
      <c r="H36" s="14"/>
      <c r="I36" s="29"/>
      <c r="J36" s="27" t="s">
        <v>191</v>
      </c>
      <c r="K36" s="30" t="s">
        <v>193</v>
      </c>
      <c r="L36" s="18">
        <v>9990000</v>
      </c>
    </row>
    <row r="37" spans="1:12">
      <c r="A37" s="12" t="s">
        <v>195</v>
      </c>
      <c r="B37" s="13">
        <v>3725000</v>
      </c>
      <c r="C37" s="13">
        <v>50000</v>
      </c>
      <c r="D37" s="54">
        <f>B37+C37</f>
        <v>3775000</v>
      </c>
      <c r="E37" s="56">
        <v>1015000</v>
      </c>
      <c r="F37" s="13">
        <f>D37-E37</f>
        <v>2760000</v>
      </c>
      <c r="G37" s="58">
        <f t="shared" si="6"/>
        <v>-965000</v>
      </c>
      <c r="H37" s="14"/>
      <c r="I37" s="29"/>
      <c r="J37" s="27" t="s">
        <v>191</v>
      </c>
      <c r="K37" s="30" t="s">
        <v>37</v>
      </c>
      <c r="L37" s="18">
        <v>3900000</v>
      </c>
    </row>
    <row r="38" spans="1:12">
      <c r="A38" s="12"/>
      <c r="B38" s="13"/>
      <c r="C38" s="13"/>
      <c r="D38" s="54"/>
      <c r="E38" s="56"/>
      <c r="F38" s="13"/>
      <c r="G38" s="58"/>
      <c r="H38" s="14"/>
      <c r="I38" s="29"/>
      <c r="J38" s="27" t="s">
        <v>194</v>
      </c>
      <c r="K38" s="30" t="s">
        <v>23</v>
      </c>
      <c r="L38" s="18">
        <v>35000000</v>
      </c>
    </row>
    <row r="39" spans="1:12">
      <c r="A39" s="12"/>
      <c r="B39" s="13"/>
      <c r="C39" s="13"/>
      <c r="D39" s="54"/>
      <c r="E39" s="56"/>
      <c r="F39" s="13"/>
      <c r="G39" s="58"/>
      <c r="H39" s="14"/>
      <c r="I39" s="29"/>
      <c r="J39" s="27" t="s">
        <v>195</v>
      </c>
      <c r="K39" s="30" t="s">
        <v>23</v>
      </c>
      <c r="L39" s="18">
        <v>27500000</v>
      </c>
    </row>
    <row r="40" spans="1:12">
      <c r="A40" s="12"/>
      <c r="B40" s="13"/>
      <c r="C40" s="13"/>
      <c r="D40" s="54"/>
      <c r="E40" s="56"/>
      <c r="F40" s="13"/>
      <c r="G40" s="58"/>
      <c r="H40" s="14"/>
      <c r="I40" s="29"/>
      <c r="J40" s="27" t="s">
        <v>195</v>
      </c>
      <c r="K40" s="30" t="s">
        <v>105</v>
      </c>
      <c r="L40" s="18">
        <v>4000000</v>
      </c>
    </row>
    <row r="41" spans="1:12">
      <c r="A41" s="12"/>
      <c r="B41" s="13"/>
      <c r="C41" s="13"/>
      <c r="D41" s="54"/>
      <c r="E41" s="56"/>
      <c r="F41" s="13"/>
      <c r="G41" s="58"/>
      <c r="H41" s="14"/>
      <c r="I41" s="29"/>
      <c r="J41" s="27" t="s">
        <v>195</v>
      </c>
      <c r="K41" s="30" t="s">
        <v>196</v>
      </c>
      <c r="L41" s="18">
        <v>3900000</v>
      </c>
    </row>
    <row r="42" spans="1:12">
      <c r="A42" s="12"/>
      <c r="B42" s="13"/>
      <c r="C42" s="13"/>
      <c r="D42" s="54"/>
      <c r="E42" s="56"/>
      <c r="F42" s="13"/>
      <c r="G42" s="58"/>
      <c r="H42" s="14"/>
      <c r="I42" s="29"/>
      <c r="J42" s="27"/>
      <c r="K42" s="30"/>
      <c r="L42" s="18"/>
    </row>
    <row r="43" spans="1:12">
      <c r="A43" s="49"/>
      <c r="B43" s="50"/>
      <c r="C43" s="50"/>
      <c r="D43" s="54"/>
      <c r="E43" s="56"/>
      <c r="F43" s="50"/>
      <c r="G43" s="58"/>
      <c r="H43" s="51"/>
      <c r="I43" s="29"/>
      <c r="J43" s="27"/>
      <c r="K43" s="30"/>
      <c r="L43" s="18"/>
    </row>
    <row r="44" spans="1:12">
      <c r="A44" s="12"/>
      <c r="B44" s="13"/>
      <c r="C44" s="13"/>
      <c r="D44" s="54"/>
      <c r="E44" s="56"/>
      <c r="F44" s="13"/>
      <c r="G44" s="58"/>
      <c r="H44" s="14"/>
      <c r="I44" s="29"/>
      <c r="J44" s="27"/>
      <c r="K44" s="30"/>
      <c r="L44" s="18"/>
    </row>
    <row r="45" spans="1:12">
      <c r="A45" s="12"/>
      <c r="B45" s="13"/>
      <c r="C45" s="13"/>
      <c r="D45" s="54"/>
      <c r="E45" s="56"/>
      <c r="F45" s="13"/>
      <c r="G45" s="58"/>
      <c r="H45" s="14"/>
      <c r="I45" s="29"/>
      <c r="J45" s="34"/>
      <c r="K45" s="23"/>
      <c r="L45" s="62">
        <f>SUM(L8:L44)</f>
        <v>204780000</v>
      </c>
    </row>
    <row r="46" spans="1:12">
      <c r="A46" s="12"/>
      <c r="B46" s="13"/>
      <c r="C46" s="13"/>
      <c r="D46" s="54"/>
      <c r="E46" s="56"/>
      <c r="F46" s="13"/>
      <c r="G46" s="58"/>
      <c r="H46" s="14"/>
      <c r="I46" s="29"/>
      <c r="J46" s="28"/>
      <c r="K46" s="1"/>
      <c r="L46" s="1"/>
    </row>
    <row r="47" spans="1:12" ht="15.75">
      <c r="A47" s="12"/>
      <c r="B47" s="13"/>
      <c r="C47" s="13"/>
      <c r="D47" s="54"/>
      <c r="E47" s="56"/>
      <c r="F47" s="13"/>
      <c r="G47" s="58"/>
      <c r="H47" s="14"/>
      <c r="I47" s="29"/>
      <c r="J47" s="35" t="s">
        <v>11</v>
      </c>
      <c r="K47" s="36" t="s">
        <v>12</v>
      </c>
      <c r="L47" s="60">
        <f>B54+C54</f>
        <v>196215000</v>
      </c>
    </row>
    <row r="48" spans="1:12" ht="15.75">
      <c r="A48" s="12"/>
      <c r="B48" s="13"/>
      <c r="C48" s="13"/>
      <c r="D48" s="54"/>
      <c r="E48" s="56"/>
      <c r="F48" s="13"/>
      <c r="G48" s="58"/>
      <c r="H48" s="14"/>
      <c r="I48" s="38"/>
      <c r="J48" s="39"/>
      <c r="K48" s="40" t="s">
        <v>13</v>
      </c>
      <c r="L48" s="61">
        <v>49140000</v>
      </c>
    </row>
    <row r="49" spans="1:12" ht="15.75">
      <c r="A49" s="12"/>
      <c r="B49" s="13"/>
      <c r="C49" s="13"/>
      <c r="D49" s="54"/>
      <c r="E49" s="56"/>
      <c r="F49" s="13"/>
      <c r="G49" s="58"/>
      <c r="H49" s="14"/>
      <c r="I49" s="29"/>
      <c r="J49" s="39"/>
      <c r="K49" s="40" t="s">
        <v>14</v>
      </c>
      <c r="L49" s="61">
        <v>204780000</v>
      </c>
    </row>
    <row r="50" spans="1:12" ht="15.75">
      <c r="A50" s="49"/>
      <c r="B50" s="50"/>
      <c r="C50" s="50"/>
      <c r="D50" s="54"/>
      <c r="E50" s="56"/>
      <c r="F50" s="50"/>
      <c r="G50" s="58"/>
      <c r="H50" s="51"/>
      <c r="I50" s="29"/>
      <c r="J50" s="39"/>
      <c r="K50" s="40" t="s">
        <v>15</v>
      </c>
      <c r="L50" s="41">
        <f>L48+L49</f>
        <v>253920000</v>
      </c>
    </row>
    <row r="51" spans="1:12" ht="15.75">
      <c r="A51" s="12"/>
      <c r="B51" s="13"/>
      <c r="C51" s="13"/>
      <c r="D51" s="54"/>
      <c r="E51" s="56"/>
      <c r="F51" s="13"/>
      <c r="G51" s="58"/>
      <c r="H51" s="14"/>
      <c r="I51" s="29"/>
      <c r="J51" s="39"/>
      <c r="K51" s="42"/>
      <c r="L51" s="37"/>
    </row>
    <row r="52" spans="1:12" ht="18">
      <c r="A52" s="12"/>
      <c r="B52" s="13"/>
      <c r="C52" s="13"/>
      <c r="D52" s="54"/>
      <c r="E52" s="56"/>
      <c r="F52" s="13"/>
      <c r="G52" s="58"/>
      <c r="H52" s="14"/>
      <c r="I52" s="29"/>
      <c r="J52" s="80" t="s">
        <v>146</v>
      </c>
      <c r="K52" s="80"/>
      <c r="L52" s="43">
        <f>L47-L50</f>
        <v>-57705000</v>
      </c>
    </row>
    <row r="53" spans="1:12">
      <c r="A53" s="12"/>
      <c r="B53" s="13"/>
      <c r="C53" s="13"/>
      <c r="D53" s="54"/>
      <c r="E53" s="56"/>
      <c r="F53" s="13"/>
      <c r="G53" s="58"/>
      <c r="H53" s="14"/>
      <c r="I53" s="1"/>
      <c r="J53" s="29"/>
      <c r="K53" s="29"/>
      <c r="L53" s="1">
        <v>0</v>
      </c>
    </row>
    <row r="54" spans="1:12">
      <c r="A54" s="12"/>
      <c r="B54" s="44">
        <f t="shared" ref="B54:G54" si="8">SUM(B8:B53)</f>
        <v>133255000</v>
      </c>
      <c r="C54" s="44">
        <f t="shared" si="8"/>
        <v>62960000</v>
      </c>
      <c r="D54" s="55">
        <f t="shared" si="8"/>
        <v>196215000</v>
      </c>
      <c r="E54" s="57">
        <f t="shared" si="8"/>
        <v>49140000</v>
      </c>
      <c r="F54" s="53">
        <f t="shared" si="8"/>
        <v>147075000</v>
      </c>
      <c r="G54" s="59">
        <f t="shared" si="8"/>
        <v>13820000</v>
      </c>
      <c r="H54" s="29"/>
      <c r="I54" s="1"/>
      <c r="J54" s="1"/>
      <c r="K54" s="1"/>
      <c r="L54" s="1"/>
    </row>
  </sheetData>
  <mergeCells count="8">
    <mergeCell ref="G5:G6"/>
    <mergeCell ref="J52:K52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3:L56"/>
  <sheetViews>
    <sheetView topLeftCell="A31" workbookViewId="0">
      <selection activeCell="G38" sqref="G38"/>
    </sheetView>
  </sheetViews>
  <sheetFormatPr defaultRowHeight="15"/>
  <cols>
    <col min="1" max="1" width="6.7109375" customWidth="1"/>
    <col min="2" max="2" width="14.7109375" customWidth="1"/>
    <col min="3" max="3" width="14" customWidth="1"/>
    <col min="4" max="4" width="15" customWidth="1"/>
    <col min="5" max="5" width="14.28515625" customWidth="1"/>
    <col min="6" max="6" width="14.5703125" customWidth="1"/>
    <col min="7" max="7" width="14" customWidth="1"/>
    <col min="10" max="10" width="7.5703125" customWidth="1"/>
    <col min="11" max="11" width="45.140625" customWidth="1"/>
    <col min="12" max="12" width="16.85546875" customWidth="1"/>
  </cols>
  <sheetData>
    <row r="3" spans="1:12">
      <c r="A3" s="81" t="s">
        <v>197</v>
      </c>
      <c r="B3" s="82"/>
      <c r="C3" s="82"/>
      <c r="D3" s="82"/>
      <c r="E3" s="82"/>
      <c r="F3" s="1"/>
      <c r="G3" s="1"/>
      <c r="H3" s="1"/>
      <c r="I3" s="1"/>
      <c r="J3" s="1"/>
      <c r="K3" s="1"/>
      <c r="L3" s="1"/>
    </row>
    <row r="4" spans="1:12">
      <c r="A4" s="83"/>
      <c r="B4" s="83"/>
      <c r="C4" s="83"/>
      <c r="D4" s="83"/>
      <c r="E4" s="83"/>
      <c r="F4" s="1"/>
      <c r="G4" s="1"/>
      <c r="H4" s="1"/>
      <c r="I4" s="1"/>
      <c r="J4" s="1"/>
      <c r="K4" s="1"/>
      <c r="L4" s="1"/>
    </row>
    <row r="5" spans="1:12" ht="15.75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2"/>
      <c r="I5" s="3"/>
      <c r="J5" s="4" t="s">
        <v>6</v>
      </c>
      <c r="K5" s="5"/>
      <c r="L5" s="6"/>
    </row>
    <row r="6" spans="1:12" ht="15.75">
      <c r="A6" s="85"/>
      <c r="B6" s="7" t="s">
        <v>7</v>
      </c>
      <c r="C6" s="72" t="s">
        <v>8</v>
      </c>
      <c r="D6" s="89"/>
      <c r="E6" s="79"/>
      <c r="F6" s="89"/>
      <c r="G6" s="79"/>
      <c r="H6" s="2"/>
      <c r="I6" s="3"/>
      <c r="J6" s="9" t="s">
        <v>0</v>
      </c>
      <c r="K6" s="10" t="s">
        <v>9</v>
      </c>
      <c r="L6" s="11" t="s">
        <v>10</v>
      </c>
    </row>
    <row r="7" spans="1:12">
      <c r="A7" s="49"/>
      <c r="B7" s="64"/>
      <c r="C7" s="64"/>
      <c r="D7" s="66"/>
      <c r="E7" s="65"/>
      <c r="F7" s="64"/>
      <c r="G7" s="67"/>
      <c r="H7" s="51"/>
      <c r="I7" s="6"/>
      <c r="J7" s="12"/>
      <c r="K7" s="15"/>
      <c r="L7" s="16"/>
    </row>
    <row r="8" spans="1:12">
      <c r="A8" s="49" t="s">
        <v>198</v>
      </c>
      <c r="B8" s="50">
        <v>8500000</v>
      </c>
      <c r="C8" s="50">
        <v>300000</v>
      </c>
      <c r="D8" s="54">
        <f t="shared" ref="D8:D16" si="0">B8+C8</f>
        <v>8800000</v>
      </c>
      <c r="E8" s="56">
        <v>2665000</v>
      </c>
      <c r="F8" s="50">
        <f t="shared" ref="F8:F16" si="1">D8-E8</f>
        <v>6135000</v>
      </c>
      <c r="G8" s="58">
        <f t="shared" ref="G8:G17" si="2">C8-E8</f>
        <v>-2365000</v>
      </c>
      <c r="H8" s="51"/>
      <c r="I8" s="6"/>
      <c r="J8" s="68" t="s">
        <v>198</v>
      </c>
      <c r="K8" s="63" t="s">
        <v>199</v>
      </c>
      <c r="L8" s="18">
        <v>800000</v>
      </c>
    </row>
    <row r="9" spans="1:12">
      <c r="A9" s="12" t="s">
        <v>200</v>
      </c>
      <c r="B9" s="13">
        <v>5400000</v>
      </c>
      <c r="C9" s="13">
        <v>3720000</v>
      </c>
      <c r="D9" s="54">
        <f t="shared" si="0"/>
        <v>9120000</v>
      </c>
      <c r="E9" s="56">
        <v>2535000</v>
      </c>
      <c r="F9" s="13">
        <f t="shared" si="1"/>
        <v>6585000</v>
      </c>
      <c r="G9" s="58">
        <f t="shared" si="2"/>
        <v>1185000</v>
      </c>
      <c r="H9" s="14"/>
      <c r="I9" s="19"/>
      <c r="J9" s="68" t="s">
        <v>200</v>
      </c>
      <c r="K9" s="63" t="s">
        <v>93</v>
      </c>
      <c r="L9" s="18">
        <v>2000000</v>
      </c>
    </row>
    <row r="10" spans="1:12">
      <c r="A10" s="12" t="s">
        <v>201</v>
      </c>
      <c r="B10" s="13">
        <v>2150000</v>
      </c>
      <c r="C10" s="13">
        <v>4600000</v>
      </c>
      <c r="D10" s="54">
        <f t="shared" si="0"/>
        <v>6750000</v>
      </c>
      <c r="E10" s="56">
        <v>3765000</v>
      </c>
      <c r="F10" s="13">
        <f t="shared" si="1"/>
        <v>2985000</v>
      </c>
      <c r="G10" s="58">
        <f t="shared" si="2"/>
        <v>835000</v>
      </c>
      <c r="H10" s="14"/>
      <c r="I10" s="6"/>
      <c r="J10" s="20" t="s">
        <v>202</v>
      </c>
      <c r="K10" s="21" t="s">
        <v>34</v>
      </c>
      <c r="L10" s="18">
        <v>500000</v>
      </c>
    </row>
    <row r="11" spans="1:12">
      <c r="A11" s="12" t="s">
        <v>202</v>
      </c>
      <c r="B11" s="13">
        <v>3400000</v>
      </c>
      <c r="C11" s="13">
        <v>1000000</v>
      </c>
      <c r="D11" s="54">
        <f t="shared" si="0"/>
        <v>4400000</v>
      </c>
      <c r="E11" s="56">
        <v>1445000</v>
      </c>
      <c r="F11" s="50">
        <f t="shared" si="1"/>
        <v>2955000</v>
      </c>
      <c r="G11" s="58">
        <f t="shared" si="2"/>
        <v>-445000</v>
      </c>
      <c r="H11" s="14"/>
      <c r="I11" s="22"/>
      <c r="J11" s="20" t="s">
        <v>203</v>
      </c>
      <c r="K11" s="46" t="s">
        <v>204</v>
      </c>
      <c r="L11" s="18">
        <v>600000</v>
      </c>
    </row>
    <row r="12" spans="1:12">
      <c r="A12" s="12" t="s">
        <v>203</v>
      </c>
      <c r="B12" s="13">
        <v>500000</v>
      </c>
      <c r="C12" s="13">
        <v>1600000</v>
      </c>
      <c r="D12" s="54">
        <f t="shared" si="0"/>
        <v>2100000</v>
      </c>
      <c r="E12" s="56">
        <v>1870000</v>
      </c>
      <c r="F12" s="50">
        <f t="shared" si="1"/>
        <v>230000</v>
      </c>
      <c r="G12" s="58">
        <f t="shared" si="2"/>
        <v>-270000</v>
      </c>
      <c r="H12" s="14"/>
      <c r="I12" s="22"/>
      <c r="J12" s="12" t="s">
        <v>205</v>
      </c>
      <c r="K12" s="63" t="s">
        <v>206</v>
      </c>
      <c r="L12" s="18">
        <v>250000</v>
      </c>
    </row>
    <row r="13" spans="1:12">
      <c r="A13" s="12" t="s">
        <v>205</v>
      </c>
      <c r="B13" s="13">
        <v>3300000</v>
      </c>
      <c r="C13" s="50">
        <v>4800000</v>
      </c>
      <c r="D13" s="54">
        <f t="shared" si="0"/>
        <v>8100000</v>
      </c>
      <c r="E13" s="56">
        <v>2360000</v>
      </c>
      <c r="F13" s="13">
        <f t="shared" si="1"/>
        <v>5740000</v>
      </c>
      <c r="G13" s="58">
        <f t="shared" si="2"/>
        <v>2440000</v>
      </c>
      <c r="H13" s="14"/>
      <c r="I13" s="6"/>
      <c r="J13" s="12" t="s">
        <v>205</v>
      </c>
      <c r="K13" s="21" t="s">
        <v>207</v>
      </c>
      <c r="L13" s="18">
        <v>1950000</v>
      </c>
    </row>
    <row r="14" spans="1:12">
      <c r="A14" s="12" t="s">
        <v>208</v>
      </c>
      <c r="B14" s="13">
        <v>2150000</v>
      </c>
      <c r="C14" s="13">
        <v>265000</v>
      </c>
      <c r="D14" s="54">
        <f t="shared" si="0"/>
        <v>2415000</v>
      </c>
      <c r="E14" s="56">
        <v>990000</v>
      </c>
      <c r="F14" s="13">
        <f t="shared" si="1"/>
        <v>1425000</v>
      </c>
      <c r="G14" s="58">
        <f t="shared" si="2"/>
        <v>-725000</v>
      </c>
      <c r="H14" s="14"/>
      <c r="I14" s="6"/>
      <c r="J14" s="12" t="s">
        <v>205</v>
      </c>
      <c r="K14" s="15" t="s">
        <v>209</v>
      </c>
      <c r="L14" s="18">
        <v>3000000</v>
      </c>
    </row>
    <row r="15" spans="1:12">
      <c r="A15" s="49" t="s">
        <v>210</v>
      </c>
      <c r="B15" s="50">
        <v>1500000</v>
      </c>
      <c r="C15" s="50">
        <v>2625000</v>
      </c>
      <c r="D15" s="54">
        <f t="shared" si="0"/>
        <v>4125000</v>
      </c>
      <c r="E15" s="56">
        <v>2525000</v>
      </c>
      <c r="F15" s="50">
        <f t="shared" si="1"/>
        <v>1600000</v>
      </c>
      <c r="G15" s="58">
        <f t="shared" si="2"/>
        <v>100000</v>
      </c>
      <c r="H15" s="52"/>
      <c r="I15" s="6"/>
      <c r="J15" s="12" t="s">
        <v>211</v>
      </c>
      <c r="K15" s="25" t="s">
        <v>212</v>
      </c>
      <c r="L15" s="18">
        <v>5000000</v>
      </c>
    </row>
    <row r="16" spans="1:12">
      <c r="A16" s="12" t="s">
        <v>211</v>
      </c>
      <c r="B16" s="13">
        <v>9700000</v>
      </c>
      <c r="C16" s="13">
        <v>870000</v>
      </c>
      <c r="D16" s="54">
        <f t="shared" si="0"/>
        <v>10570000</v>
      </c>
      <c r="E16" s="56">
        <v>3310000</v>
      </c>
      <c r="F16" s="13">
        <f t="shared" si="1"/>
        <v>7260000</v>
      </c>
      <c r="G16" s="58">
        <f t="shared" si="2"/>
        <v>-2440000</v>
      </c>
      <c r="H16" s="24"/>
      <c r="I16" s="22"/>
      <c r="J16" s="12" t="s">
        <v>211</v>
      </c>
      <c r="K16" s="25" t="s">
        <v>213</v>
      </c>
      <c r="L16" s="18">
        <v>1000000</v>
      </c>
    </row>
    <row r="17" spans="1:12">
      <c r="A17" s="12" t="s">
        <v>215</v>
      </c>
      <c r="B17" s="13"/>
      <c r="C17" s="13">
        <v>2750000</v>
      </c>
      <c r="D17" s="54">
        <v>2750000</v>
      </c>
      <c r="E17" s="56">
        <v>1455000</v>
      </c>
      <c r="F17" s="13">
        <f t="shared" ref="F17:F27" si="3">D17-E17</f>
        <v>1295000</v>
      </c>
      <c r="G17" s="58">
        <f t="shared" si="2"/>
        <v>1295000</v>
      </c>
      <c r="H17" s="24"/>
      <c r="I17" s="26"/>
      <c r="J17" s="27" t="s">
        <v>211</v>
      </c>
      <c r="K17" s="47" t="s">
        <v>214</v>
      </c>
      <c r="L17" s="48">
        <v>250000</v>
      </c>
    </row>
    <row r="18" spans="1:12">
      <c r="A18" s="49" t="s">
        <v>216</v>
      </c>
      <c r="B18" s="50">
        <v>8000000</v>
      </c>
      <c r="C18" s="50"/>
      <c r="D18" s="54">
        <v>8000000</v>
      </c>
      <c r="E18" s="56">
        <v>1920000</v>
      </c>
      <c r="F18" s="50">
        <f t="shared" si="3"/>
        <v>6080000</v>
      </c>
      <c r="G18" s="58">
        <f t="shared" ref="G18:G27" si="4">C18-E18</f>
        <v>-1920000</v>
      </c>
      <c r="H18" s="24"/>
      <c r="I18" s="26"/>
      <c r="J18" s="12" t="s">
        <v>215</v>
      </c>
      <c r="K18" s="25" t="s">
        <v>65</v>
      </c>
      <c r="L18" s="18">
        <v>500000</v>
      </c>
    </row>
    <row r="19" spans="1:12">
      <c r="A19" s="12" t="s">
        <v>217</v>
      </c>
      <c r="B19" s="13"/>
      <c r="C19" s="13">
        <v>3550000</v>
      </c>
      <c r="D19" s="54">
        <v>3550000</v>
      </c>
      <c r="E19" s="56">
        <v>2420000</v>
      </c>
      <c r="F19" s="13">
        <f t="shared" si="3"/>
        <v>1130000</v>
      </c>
      <c r="G19" s="58">
        <f t="shared" si="4"/>
        <v>1130000</v>
      </c>
      <c r="H19" s="24"/>
      <c r="I19" s="29"/>
      <c r="J19" s="12" t="s">
        <v>215</v>
      </c>
      <c r="K19" s="23" t="s">
        <v>218</v>
      </c>
      <c r="L19" s="18">
        <v>1800000</v>
      </c>
    </row>
    <row r="20" spans="1:12">
      <c r="A20" s="12" t="s">
        <v>220</v>
      </c>
      <c r="B20" s="13">
        <v>1500000</v>
      </c>
      <c r="C20" s="13">
        <v>50000</v>
      </c>
      <c r="D20" s="54">
        <v>1550000</v>
      </c>
      <c r="E20" s="56">
        <v>1325000</v>
      </c>
      <c r="F20" s="13">
        <f t="shared" si="3"/>
        <v>225000</v>
      </c>
      <c r="G20" s="58">
        <f t="shared" si="4"/>
        <v>-1275000</v>
      </c>
      <c r="H20" s="24"/>
      <c r="I20" s="29"/>
      <c r="J20" s="27" t="s">
        <v>217</v>
      </c>
      <c r="K20" s="30" t="s">
        <v>34</v>
      </c>
      <c r="L20" s="18">
        <v>500000</v>
      </c>
    </row>
    <row r="21" spans="1:12">
      <c r="A21" s="49" t="s">
        <v>224</v>
      </c>
      <c r="B21" s="50"/>
      <c r="C21" s="50">
        <v>110000</v>
      </c>
      <c r="D21" s="54">
        <v>110000</v>
      </c>
      <c r="E21" s="56">
        <v>680000</v>
      </c>
      <c r="F21" s="50">
        <f t="shared" si="3"/>
        <v>-570000</v>
      </c>
      <c r="G21" s="58">
        <f t="shared" si="4"/>
        <v>-570000</v>
      </c>
      <c r="H21" s="24"/>
      <c r="I21" s="31"/>
      <c r="J21" s="32" t="s">
        <v>217</v>
      </c>
      <c r="K21" s="23" t="s">
        <v>219</v>
      </c>
      <c r="L21" s="18">
        <v>450000</v>
      </c>
    </row>
    <row r="22" spans="1:12">
      <c r="A22" s="49" t="s">
        <v>222</v>
      </c>
      <c r="B22" s="50">
        <v>1450000</v>
      </c>
      <c r="C22" s="50">
        <v>1350000</v>
      </c>
      <c r="D22" s="54">
        <f t="shared" ref="D22:D27" si="5">B22+C22</f>
        <v>2800000</v>
      </c>
      <c r="E22" s="56">
        <v>2670000</v>
      </c>
      <c r="F22" s="50">
        <f t="shared" si="3"/>
        <v>130000</v>
      </c>
      <c r="G22" s="58">
        <f t="shared" si="4"/>
        <v>-1320000</v>
      </c>
      <c r="H22" s="51"/>
      <c r="I22" s="29"/>
      <c r="J22" s="27" t="s">
        <v>220</v>
      </c>
      <c r="K22" s="30" t="s">
        <v>221</v>
      </c>
      <c r="L22" s="18">
        <v>1500000</v>
      </c>
    </row>
    <row r="23" spans="1:12">
      <c r="A23" s="12" t="s">
        <v>226</v>
      </c>
      <c r="B23" s="13">
        <v>1500000</v>
      </c>
      <c r="C23" s="13">
        <v>7050000</v>
      </c>
      <c r="D23" s="54">
        <f t="shared" si="5"/>
        <v>8550000</v>
      </c>
      <c r="E23" s="56">
        <v>1700000</v>
      </c>
      <c r="F23" s="13">
        <f t="shared" si="3"/>
        <v>6850000</v>
      </c>
      <c r="G23" s="58">
        <f t="shared" si="4"/>
        <v>5350000</v>
      </c>
      <c r="H23" s="14"/>
      <c r="I23" s="29"/>
      <c r="J23" s="27" t="s">
        <v>222</v>
      </c>
      <c r="K23" s="30" t="s">
        <v>223</v>
      </c>
      <c r="L23" s="18">
        <v>3100000</v>
      </c>
    </row>
    <row r="24" spans="1:12">
      <c r="A24" s="12" t="s">
        <v>227</v>
      </c>
      <c r="B24" s="13">
        <v>6850000</v>
      </c>
      <c r="C24" s="13">
        <v>1700000</v>
      </c>
      <c r="D24" s="54">
        <f t="shared" si="5"/>
        <v>8550000</v>
      </c>
      <c r="E24" s="56">
        <v>2845000</v>
      </c>
      <c r="F24" s="13">
        <f t="shared" si="3"/>
        <v>5705000</v>
      </c>
      <c r="G24" s="58">
        <f t="shared" si="4"/>
        <v>-1145000</v>
      </c>
      <c r="H24" s="14"/>
      <c r="I24" s="31"/>
      <c r="J24" s="27" t="s">
        <v>222</v>
      </c>
      <c r="K24" s="30" t="s">
        <v>225</v>
      </c>
      <c r="L24" s="18">
        <v>3000000</v>
      </c>
    </row>
    <row r="25" spans="1:12">
      <c r="A25" s="12" t="s">
        <v>228</v>
      </c>
      <c r="B25" s="13">
        <v>1550000</v>
      </c>
      <c r="C25" s="13">
        <v>6125000</v>
      </c>
      <c r="D25" s="54">
        <f t="shared" si="5"/>
        <v>7675000</v>
      </c>
      <c r="E25" s="56">
        <v>1925000</v>
      </c>
      <c r="F25" s="13">
        <f t="shared" si="3"/>
        <v>5750000</v>
      </c>
      <c r="G25" s="58">
        <f t="shared" si="4"/>
        <v>4200000</v>
      </c>
      <c r="H25" s="14"/>
      <c r="I25" s="31"/>
      <c r="J25" s="27" t="s">
        <v>229</v>
      </c>
      <c r="K25" s="30" t="s">
        <v>230</v>
      </c>
      <c r="L25" s="18">
        <v>400000</v>
      </c>
    </row>
    <row r="26" spans="1:12">
      <c r="A26" s="12" t="s">
        <v>229</v>
      </c>
      <c r="B26" s="13">
        <v>675000</v>
      </c>
      <c r="C26" s="13">
        <v>2000000</v>
      </c>
      <c r="D26" s="54">
        <f t="shared" si="5"/>
        <v>2675000</v>
      </c>
      <c r="E26" s="56">
        <v>1855000</v>
      </c>
      <c r="F26" s="13">
        <f t="shared" si="3"/>
        <v>820000</v>
      </c>
      <c r="G26" s="58">
        <f t="shared" si="4"/>
        <v>145000</v>
      </c>
      <c r="H26" s="14"/>
      <c r="I26" s="29"/>
      <c r="J26" s="27" t="s">
        <v>232</v>
      </c>
      <c r="K26" s="30" t="s">
        <v>105</v>
      </c>
      <c r="L26" s="18">
        <v>2000000</v>
      </c>
    </row>
    <row r="27" spans="1:12">
      <c r="A27" s="12" t="s">
        <v>231</v>
      </c>
      <c r="B27" s="13">
        <v>1625000</v>
      </c>
      <c r="C27" s="13">
        <v>4525000</v>
      </c>
      <c r="D27" s="54">
        <f t="shared" si="5"/>
        <v>6150000</v>
      </c>
      <c r="E27" s="56">
        <v>1270000</v>
      </c>
      <c r="F27" s="13">
        <f t="shared" si="3"/>
        <v>4880000</v>
      </c>
      <c r="G27" s="58">
        <f t="shared" si="4"/>
        <v>3255000</v>
      </c>
      <c r="H27" s="33"/>
      <c r="I27" s="29"/>
      <c r="J27" s="27" t="s">
        <v>232</v>
      </c>
      <c r="K27" s="30" t="s">
        <v>34</v>
      </c>
      <c r="L27" s="18">
        <v>500000</v>
      </c>
    </row>
    <row r="28" spans="1:12">
      <c r="A28" s="70" t="s">
        <v>232</v>
      </c>
      <c r="B28" s="71"/>
      <c r="C28" s="71"/>
      <c r="D28" s="71"/>
      <c r="E28" s="71"/>
      <c r="F28" s="71"/>
      <c r="G28" s="71"/>
      <c r="H28" s="14"/>
      <c r="I28" s="29"/>
      <c r="J28" s="27" t="s">
        <v>235</v>
      </c>
      <c r="K28" s="30" t="s">
        <v>234</v>
      </c>
      <c r="L28" s="18">
        <v>4110000</v>
      </c>
    </row>
    <row r="29" spans="1:12">
      <c r="A29" s="12" t="s">
        <v>233</v>
      </c>
      <c r="B29" s="13">
        <v>4650000</v>
      </c>
      <c r="C29" s="13">
        <v>3300000</v>
      </c>
      <c r="D29" s="54">
        <f>B29+C29</f>
        <v>7950000</v>
      </c>
      <c r="E29" s="56">
        <v>1735000</v>
      </c>
      <c r="F29" s="13">
        <f t="shared" ref="F29:F37" si="6">D29-E29</f>
        <v>6215000</v>
      </c>
      <c r="G29" s="58">
        <f t="shared" ref="G29:G37" si="7">C29-E29</f>
        <v>1565000</v>
      </c>
      <c r="H29" s="14"/>
      <c r="I29" s="29"/>
      <c r="J29" s="27" t="s">
        <v>236</v>
      </c>
      <c r="K29" s="30" t="s">
        <v>237</v>
      </c>
      <c r="L29" s="18">
        <v>1000000</v>
      </c>
    </row>
    <row r="30" spans="1:12">
      <c r="A30" s="12" t="s">
        <v>235</v>
      </c>
      <c r="B30" s="13">
        <v>12850000</v>
      </c>
      <c r="C30" s="13">
        <v>300000</v>
      </c>
      <c r="D30" s="54">
        <f>B30+C30</f>
        <v>13150000</v>
      </c>
      <c r="E30" s="56">
        <v>1565000</v>
      </c>
      <c r="F30" s="13">
        <f t="shared" si="6"/>
        <v>11585000</v>
      </c>
      <c r="G30" s="58">
        <f t="shared" si="7"/>
        <v>-1265000</v>
      </c>
      <c r="H30" s="14"/>
      <c r="I30" s="29"/>
      <c r="J30" s="27" t="s">
        <v>238</v>
      </c>
      <c r="K30" s="30" t="s">
        <v>65</v>
      </c>
      <c r="L30" s="18">
        <v>200000</v>
      </c>
    </row>
    <row r="31" spans="1:12">
      <c r="A31" s="12" t="s">
        <v>236</v>
      </c>
      <c r="B31" s="13">
        <v>5650000</v>
      </c>
      <c r="C31" s="13"/>
      <c r="D31" s="54">
        <v>5650000</v>
      </c>
      <c r="E31" s="56">
        <v>2135000</v>
      </c>
      <c r="F31" s="13">
        <f t="shared" si="6"/>
        <v>3515000</v>
      </c>
      <c r="G31" s="58">
        <f t="shared" si="7"/>
        <v>-2135000</v>
      </c>
      <c r="H31" s="14"/>
      <c r="I31" s="29"/>
      <c r="J31" s="27" t="s">
        <v>238</v>
      </c>
      <c r="K31" s="30" t="s">
        <v>213</v>
      </c>
      <c r="L31" s="18">
        <v>1150000</v>
      </c>
    </row>
    <row r="32" spans="1:12">
      <c r="A32" s="12" t="s">
        <v>238</v>
      </c>
      <c r="B32" s="13">
        <v>1200000</v>
      </c>
      <c r="C32" s="13">
        <v>225000</v>
      </c>
      <c r="D32" s="54">
        <f t="shared" ref="D32:D37" si="8">B32+C32</f>
        <v>1425000</v>
      </c>
      <c r="E32" s="56">
        <v>1725000</v>
      </c>
      <c r="F32" s="13">
        <f t="shared" si="6"/>
        <v>-300000</v>
      </c>
      <c r="G32" s="58">
        <f t="shared" si="7"/>
        <v>-1500000</v>
      </c>
      <c r="H32" s="14"/>
      <c r="I32" s="29"/>
      <c r="J32" s="27" t="s">
        <v>238</v>
      </c>
      <c r="K32" s="30" t="s">
        <v>239</v>
      </c>
      <c r="L32" s="18">
        <v>1000000</v>
      </c>
    </row>
    <row r="33" spans="1:12">
      <c r="A33" s="12" t="s">
        <v>240</v>
      </c>
      <c r="B33" s="13">
        <v>1200000</v>
      </c>
      <c r="C33" s="13">
        <v>4100000</v>
      </c>
      <c r="D33" s="54">
        <f t="shared" si="8"/>
        <v>5300000</v>
      </c>
      <c r="E33" s="56">
        <v>1895000</v>
      </c>
      <c r="F33" s="13">
        <f t="shared" si="6"/>
        <v>3405000</v>
      </c>
      <c r="G33" s="58">
        <f t="shared" si="7"/>
        <v>2205000</v>
      </c>
      <c r="H33" s="14"/>
      <c r="I33" s="29"/>
      <c r="J33" s="27" t="s">
        <v>240</v>
      </c>
      <c r="K33" s="30" t="s">
        <v>241</v>
      </c>
      <c r="L33" s="18">
        <v>300000</v>
      </c>
    </row>
    <row r="34" spans="1:12">
      <c r="A34" s="12" t="s">
        <v>243</v>
      </c>
      <c r="B34" s="13">
        <v>14550000</v>
      </c>
      <c r="C34" s="13">
        <v>3100000</v>
      </c>
      <c r="D34" s="54">
        <f t="shared" si="8"/>
        <v>17650000</v>
      </c>
      <c r="E34" s="56">
        <v>3370000</v>
      </c>
      <c r="F34" s="13">
        <f t="shared" si="6"/>
        <v>14280000</v>
      </c>
      <c r="G34" s="58">
        <f t="shared" si="7"/>
        <v>-270000</v>
      </c>
      <c r="H34" s="14"/>
      <c r="I34" s="29"/>
      <c r="J34" s="27" t="s">
        <v>240</v>
      </c>
      <c r="K34" s="30" t="s">
        <v>242</v>
      </c>
      <c r="L34" s="18">
        <v>10000000</v>
      </c>
    </row>
    <row r="35" spans="1:12">
      <c r="A35" s="12" t="s">
        <v>244</v>
      </c>
      <c r="B35" s="13">
        <v>2000000</v>
      </c>
      <c r="C35" s="13">
        <v>500000</v>
      </c>
      <c r="D35" s="54">
        <f t="shared" si="8"/>
        <v>2500000</v>
      </c>
      <c r="E35" s="56">
        <v>665000</v>
      </c>
      <c r="F35" s="13">
        <f t="shared" si="6"/>
        <v>1835000</v>
      </c>
      <c r="G35" s="58">
        <f t="shared" si="7"/>
        <v>-165000</v>
      </c>
      <c r="H35" s="14"/>
      <c r="I35" s="29"/>
      <c r="J35" s="27" t="s">
        <v>244</v>
      </c>
      <c r="K35" s="30" t="s">
        <v>40</v>
      </c>
      <c r="L35" s="18">
        <v>1550000</v>
      </c>
    </row>
    <row r="36" spans="1:12">
      <c r="A36" s="12" t="s">
        <v>246</v>
      </c>
      <c r="B36" s="13">
        <v>2000000</v>
      </c>
      <c r="C36" s="13">
        <v>3650000</v>
      </c>
      <c r="D36" s="54">
        <f t="shared" si="8"/>
        <v>5650000</v>
      </c>
      <c r="E36" s="56">
        <v>2900000</v>
      </c>
      <c r="F36" s="13">
        <f t="shared" si="6"/>
        <v>2750000</v>
      </c>
      <c r="G36" s="58">
        <f t="shared" si="7"/>
        <v>750000</v>
      </c>
      <c r="H36" s="14"/>
      <c r="I36" s="29"/>
      <c r="J36" s="27" t="s">
        <v>244</v>
      </c>
      <c r="K36" s="30" t="s">
        <v>245</v>
      </c>
      <c r="L36" s="18">
        <v>40000000</v>
      </c>
    </row>
    <row r="37" spans="1:12">
      <c r="A37" s="12" t="s">
        <v>249</v>
      </c>
      <c r="B37" s="13">
        <v>8700000</v>
      </c>
      <c r="C37" s="13">
        <v>1150000</v>
      </c>
      <c r="D37" s="54">
        <f t="shared" si="8"/>
        <v>9850000</v>
      </c>
      <c r="E37" s="56">
        <v>2195000</v>
      </c>
      <c r="F37" s="13">
        <f t="shared" si="6"/>
        <v>7655000</v>
      </c>
      <c r="G37" s="58">
        <f t="shared" si="7"/>
        <v>-1045000</v>
      </c>
      <c r="H37" s="14"/>
      <c r="I37" s="29"/>
      <c r="J37" s="27" t="s">
        <v>246</v>
      </c>
      <c r="K37" s="30" t="s">
        <v>247</v>
      </c>
      <c r="L37" s="18">
        <v>225000</v>
      </c>
    </row>
    <row r="38" spans="1:12">
      <c r="A38" s="12" t="s">
        <v>250</v>
      </c>
      <c r="B38" s="13">
        <v>5900000</v>
      </c>
      <c r="C38" s="13"/>
      <c r="D38" s="54">
        <v>5900000</v>
      </c>
      <c r="E38" s="56">
        <v>1085000</v>
      </c>
      <c r="F38" s="13">
        <f>D38-E38</f>
        <v>4815000</v>
      </c>
      <c r="G38" s="58">
        <f>C38-E38</f>
        <v>-1085000</v>
      </c>
      <c r="H38" s="14"/>
      <c r="I38" s="29"/>
      <c r="J38" s="27" t="s">
        <v>246</v>
      </c>
      <c r="K38" s="30" t="s">
        <v>248</v>
      </c>
      <c r="L38" s="18">
        <v>22200000</v>
      </c>
    </row>
    <row r="39" spans="1:12">
      <c r="A39" s="12"/>
      <c r="B39" s="13"/>
      <c r="C39" s="13"/>
      <c r="D39" s="54"/>
      <c r="E39" s="56"/>
      <c r="F39" s="13"/>
      <c r="G39" s="58"/>
      <c r="H39" s="14"/>
      <c r="I39" s="29"/>
      <c r="J39" s="27" t="s">
        <v>249</v>
      </c>
      <c r="K39" s="30" t="s">
        <v>65</v>
      </c>
      <c r="L39" s="18">
        <v>500000</v>
      </c>
    </row>
    <row r="40" spans="1:12">
      <c r="A40" s="12"/>
      <c r="B40" s="13"/>
      <c r="C40" s="13"/>
      <c r="D40" s="54"/>
      <c r="E40" s="56"/>
      <c r="F40" s="13"/>
      <c r="G40" s="58"/>
      <c r="H40" s="14"/>
      <c r="I40" s="29"/>
      <c r="J40" s="27" t="s">
        <v>249</v>
      </c>
      <c r="K40" s="30" t="s">
        <v>34</v>
      </c>
      <c r="L40" s="18">
        <v>500000</v>
      </c>
    </row>
    <row r="41" spans="1:12">
      <c r="A41" s="12"/>
      <c r="B41" s="13"/>
      <c r="C41" s="13"/>
      <c r="D41" s="54"/>
      <c r="E41" s="56"/>
      <c r="F41" s="13"/>
      <c r="G41" s="58"/>
      <c r="H41" s="14"/>
      <c r="I41" s="29"/>
      <c r="J41" s="27" t="s">
        <v>250</v>
      </c>
      <c r="K41" s="30" t="s">
        <v>37</v>
      </c>
      <c r="L41" s="18">
        <v>5850000</v>
      </c>
    </row>
    <row r="42" spans="1:12">
      <c r="A42" s="12"/>
      <c r="B42" s="13"/>
      <c r="C42" s="13"/>
      <c r="D42" s="54"/>
      <c r="E42" s="56"/>
      <c r="F42" s="13"/>
      <c r="G42" s="58"/>
      <c r="H42" s="14"/>
      <c r="I42" s="29"/>
      <c r="J42" s="27" t="s">
        <v>250</v>
      </c>
      <c r="K42" s="30" t="s">
        <v>251</v>
      </c>
      <c r="L42" s="18">
        <v>840000</v>
      </c>
    </row>
    <row r="43" spans="1:12">
      <c r="A43" s="12"/>
      <c r="B43" s="13"/>
      <c r="C43" s="13"/>
      <c r="D43" s="54"/>
      <c r="E43" s="56"/>
      <c r="F43" s="13"/>
      <c r="G43" s="58"/>
      <c r="H43" s="14"/>
      <c r="I43" s="29"/>
      <c r="J43" s="27" t="s">
        <v>250</v>
      </c>
      <c r="K43" s="30" t="s">
        <v>252</v>
      </c>
      <c r="L43" s="18">
        <v>5000000</v>
      </c>
    </row>
    <row r="44" spans="1:12">
      <c r="A44" s="12"/>
      <c r="B44" s="13"/>
      <c r="C44" s="13"/>
      <c r="D44" s="54"/>
      <c r="E44" s="56"/>
      <c r="F44" s="13"/>
      <c r="G44" s="58"/>
      <c r="H44" s="14"/>
      <c r="I44" s="29"/>
      <c r="J44" s="27" t="s">
        <v>250</v>
      </c>
      <c r="K44" s="30" t="s">
        <v>253</v>
      </c>
      <c r="L44" s="18">
        <v>6250000</v>
      </c>
    </row>
    <row r="45" spans="1:12">
      <c r="A45" s="49"/>
      <c r="B45" s="50"/>
      <c r="C45" s="50"/>
      <c r="D45" s="54"/>
      <c r="E45" s="56"/>
      <c r="F45" s="50"/>
      <c r="G45" s="58"/>
      <c r="H45" s="51"/>
      <c r="I45" s="29"/>
      <c r="J45" s="27"/>
      <c r="K45" s="30" t="s">
        <v>254</v>
      </c>
      <c r="L45" s="18"/>
    </row>
    <row r="46" spans="1:12">
      <c r="A46" s="12"/>
      <c r="B46" s="13"/>
      <c r="C46" s="13"/>
      <c r="D46" s="54"/>
      <c r="E46" s="56"/>
      <c r="F46" s="13"/>
      <c r="G46" s="58"/>
      <c r="H46" s="14"/>
      <c r="I46" s="29"/>
      <c r="J46" s="27"/>
      <c r="K46" s="30"/>
      <c r="L46" s="18"/>
    </row>
    <row r="47" spans="1:12">
      <c r="A47" s="12"/>
      <c r="B47" s="13"/>
      <c r="C47" s="13"/>
      <c r="D47" s="54"/>
      <c r="E47" s="56"/>
      <c r="F47" s="13"/>
      <c r="G47" s="58"/>
      <c r="H47" s="14"/>
      <c r="I47" s="29"/>
      <c r="J47" s="34"/>
      <c r="K47" s="23"/>
      <c r="L47" s="62">
        <f>SUM(L8:L46)</f>
        <v>129775000</v>
      </c>
    </row>
    <row r="48" spans="1:12">
      <c r="A48" s="12"/>
      <c r="B48" s="13"/>
      <c r="C48" s="13"/>
      <c r="D48" s="54"/>
      <c r="E48" s="56"/>
      <c r="F48" s="13"/>
      <c r="G48" s="58"/>
      <c r="H48" s="14"/>
      <c r="I48" s="29"/>
      <c r="J48" s="28"/>
      <c r="K48" s="1"/>
      <c r="L48" s="1"/>
    </row>
    <row r="49" spans="1:12" ht="15.75">
      <c r="A49" s="12"/>
      <c r="B49" s="13"/>
      <c r="C49" s="13"/>
      <c r="D49" s="54"/>
      <c r="E49" s="56"/>
      <c r="F49" s="13"/>
      <c r="G49" s="58"/>
      <c r="H49" s="14"/>
      <c r="I49" s="29"/>
      <c r="J49" s="35" t="s">
        <v>11</v>
      </c>
      <c r="K49" s="36" t="s">
        <v>12</v>
      </c>
      <c r="L49" s="60">
        <f>B56+C56</f>
        <v>183765000</v>
      </c>
    </row>
    <row r="50" spans="1:12" ht="15.75">
      <c r="A50" s="12"/>
      <c r="B50" s="13"/>
      <c r="C50" s="13"/>
      <c r="D50" s="54"/>
      <c r="E50" s="56"/>
      <c r="F50" s="13"/>
      <c r="G50" s="58"/>
      <c r="H50" s="14"/>
      <c r="I50" s="38"/>
      <c r="J50" s="39"/>
      <c r="K50" s="40" t="s">
        <v>13</v>
      </c>
      <c r="L50" s="61">
        <v>60800000</v>
      </c>
    </row>
    <row r="51" spans="1:12" ht="15.75">
      <c r="A51" s="12"/>
      <c r="B51" s="13"/>
      <c r="C51" s="13"/>
      <c r="D51" s="54"/>
      <c r="E51" s="56"/>
      <c r="F51" s="13"/>
      <c r="G51" s="58"/>
      <c r="H51" s="14"/>
      <c r="I51" s="29"/>
      <c r="J51" s="39"/>
      <c r="K51" s="40" t="s">
        <v>14</v>
      </c>
      <c r="L51" s="61">
        <v>129775000</v>
      </c>
    </row>
    <row r="52" spans="1:12" ht="15.75">
      <c r="A52" s="49"/>
      <c r="B52" s="50"/>
      <c r="C52" s="50"/>
      <c r="D52" s="54"/>
      <c r="E52" s="56"/>
      <c r="F52" s="50"/>
      <c r="G52" s="58"/>
      <c r="H52" s="51"/>
      <c r="I52" s="29"/>
      <c r="J52" s="39"/>
      <c r="K52" s="40" t="s">
        <v>15</v>
      </c>
      <c r="L52" s="41">
        <f>L50+L51</f>
        <v>190575000</v>
      </c>
    </row>
    <row r="53" spans="1:12" ht="15.75">
      <c r="A53" s="12"/>
      <c r="B53" s="13"/>
      <c r="C53" s="13"/>
      <c r="D53" s="54"/>
      <c r="E53" s="56"/>
      <c r="F53" s="13"/>
      <c r="G53" s="58"/>
      <c r="H53" s="14"/>
      <c r="I53" s="29"/>
      <c r="J53" s="39"/>
      <c r="K53" s="42"/>
      <c r="L53" s="37"/>
    </row>
    <row r="54" spans="1:12" ht="18">
      <c r="A54" s="12"/>
      <c r="B54" s="13"/>
      <c r="C54" s="13"/>
      <c r="D54" s="54"/>
      <c r="E54" s="56"/>
      <c r="F54" s="13"/>
      <c r="G54" s="58"/>
      <c r="H54" s="14"/>
      <c r="I54" s="29"/>
      <c r="J54" s="80" t="s">
        <v>307</v>
      </c>
      <c r="K54" s="80"/>
      <c r="L54" s="43">
        <f>L49-L52</f>
        <v>-6810000</v>
      </c>
    </row>
    <row r="55" spans="1:12">
      <c r="A55" s="12"/>
      <c r="B55" s="13"/>
      <c r="C55" s="13"/>
      <c r="D55" s="54"/>
      <c r="E55" s="56"/>
      <c r="F55" s="13"/>
      <c r="G55" s="58"/>
      <c r="H55" s="14"/>
      <c r="I55" s="1"/>
      <c r="J55" s="29"/>
      <c r="K55" s="29"/>
      <c r="L55" s="1"/>
    </row>
    <row r="56" spans="1:12">
      <c r="A56" s="12"/>
      <c r="B56" s="44">
        <f t="shared" ref="B56:G56" si="9">SUM(B8:B55)</f>
        <v>118450000</v>
      </c>
      <c r="C56" s="44">
        <f t="shared" si="9"/>
        <v>65315000</v>
      </c>
      <c r="D56" s="55">
        <f t="shared" si="9"/>
        <v>183765000</v>
      </c>
      <c r="E56" s="57">
        <f t="shared" si="9"/>
        <v>60800000</v>
      </c>
      <c r="F56" s="53">
        <f t="shared" si="9"/>
        <v>122965000</v>
      </c>
      <c r="G56" s="59">
        <f t="shared" si="9"/>
        <v>4515000</v>
      </c>
      <c r="H56" s="29"/>
      <c r="I56" s="1"/>
      <c r="J56" s="1"/>
      <c r="K56" s="1"/>
      <c r="L56" s="1"/>
    </row>
  </sheetData>
  <mergeCells count="8">
    <mergeCell ref="G5:G6"/>
    <mergeCell ref="J54:K54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L53"/>
  <sheetViews>
    <sheetView topLeftCell="A25" workbookViewId="0">
      <selection activeCell="J51" sqref="J51:K51"/>
    </sheetView>
  </sheetViews>
  <sheetFormatPr defaultRowHeight="15"/>
  <cols>
    <col min="1" max="1" width="7.85546875" customWidth="1"/>
    <col min="2" max="2" width="15" customWidth="1"/>
    <col min="3" max="4" width="14.7109375" customWidth="1"/>
    <col min="5" max="5" width="13.7109375" customWidth="1"/>
    <col min="6" max="6" width="14.85546875" customWidth="1"/>
    <col min="7" max="7" width="14.7109375" customWidth="1"/>
    <col min="10" max="10" width="8.7109375" customWidth="1"/>
    <col min="11" max="11" width="53.140625" customWidth="1"/>
    <col min="12" max="12" width="16.42578125" customWidth="1"/>
  </cols>
  <sheetData>
    <row r="3" spans="1:12">
      <c r="A3" s="81" t="s">
        <v>255</v>
      </c>
      <c r="B3" s="82"/>
      <c r="C3" s="82"/>
      <c r="D3" s="82"/>
      <c r="E3" s="82"/>
      <c r="F3" s="1"/>
      <c r="G3" s="1"/>
      <c r="H3" s="1"/>
      <c r="I3" s="1"/>
      <c r="J3" s="1"/>
      <c r="K3" s="1"/>
      <c r="L3" s="1"/>
    </row>
    <row r="4" spans="1:12">
      <c r="A4" s="83"/>
      <c r="B4" s="83"/>
      <c r="C4" s="83"/>
      <c r="D4" s="83"/>
      <c r="E4" s="83"/>
      <c r="F4" s="1"/>
      <c r="G4" s="1"/>
      <c r="H4" s="1"/>
      <c r="I4" s="1"/>
      <c r="J4" s="1"/>
      <c r="K4" s="1"/>
      <c r="L4" s="1"/>
    </row>
    <row r="5" spans="1:12" ht="15.75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2"/>
      <c r="I5" s="3"/>
      <c r="J5" s="4" t="s">
        <v>6</v>
      </c>
      <c r="K5" s="5"/>
      <c r="L5" s="6"/>
    </row>
    <row r="6" spans="1:12" ht="15.75">
      <c r="A6" s="85"/>
      <c r="B6" s="7" t="s">
        <v>7</v>
      </c>
      <c r="C6" s="72" t="s">
        <v>8</v>
      </c>
      <c r="D6" s="89"/>
      <c r="E6" s="79"/>
      <c r="F6" s="89"/>
      <c r="G6" s="79"/>
      <c r="H6" s="2"/>
      <c r="I6" s="3"/>
      <c r="J6" s="9" t="s">
        <v>0</v>
      </c>
      <c r="K6" s="10" t="s">
        <v>9</v>
      </c>
      <c r="L6" s="11" t="s">
        <v>10</v>
      </c>
    </row>
    <row r="7" spans="1:12">
      <c r="A7" s="49"/>
      <c r="B7" s="64"/>
      <c r="C7" s="64"/>
      <c r="D7" s="66"/>
      <c r="E7" s="65"/>
      <c r="F7" s="64"/>
      <c r="G7" s="67"/>
      <c r="H7" s="51"/>
      <c r="I7" s="6"/>
      <c r="J7" s="12"/>
      <c r="K7" s="15"/>
      <c r="L7" s="16"/>
    </row>
    <row r="8" spans="1:12">
      <c r="A8" s="49" t="s">
        <v>256</v>
      </c>
      <c r="B8" s="50">
        <v>6700000</v>
      </c>
      <c r="C8" s="50">
        <v>2625000</v>
      </c>
      <c r="D8" s="54">
        <f>B8+C8</f>
        <v>9325000</v>
      </c>
      <c r="E8" s="56">
        <v>2760000</v>
      </c>
      <c r="F8" s="50">
        <f t="shared" ref="F8:F13" si="0">D8-E8</f>
        <v>6565000</v>
      </c>
      <c r="G8" s="58">
        <f t="shared" ref="G8:G17" si="1">C8-E8</f>
        <v>-135000</v>
      </c>
      <c r="H8" s="51"/>
      <c r="I8" s="6"/>
      <c r="J8" s="68" t="s">
        <v>256</v>
      </c>
      <c r="K8" s="63" t="s">
        <v>105</v>
      </c>
      <c r="L8" s="18">
        <v>100000</v>
      </c>
    </row>
    <row r="9" spans="1:12">
      <c r="A9" s="12" t="s">
        <v>257</v>
      </c>
      <c r="B9" s="13">
        <v>2500000</v>
      </c>
      <c r="C9" s="13">
        <v>725000</v>
      </c>
      <c r="D9" s="54">
        <f>B9+C9</f>
        <v>3225000</v>
      </c>
      <c r="E9" s="56">
        <v>2110000</v>
      </c>
      <c r="F9" s="13">
        <f t="shared" si="0"/>
        <v>1115000</v>
      </c>
      <c r="G9" s="58">
        <f t="shared" si="1"/>
        <v>-1385000</v>
      </c>
      <c r="H9" s="14"/>
      <c r="I9" s="19"/>
      <c r="J9" s="68" t="s">
        <v>259</v>
      </c>
      <c r="K9" s="63" t="s">
        <v>105</v>
      </c>
      <c r="L9" s="18">
        <v>200000</v>
      </c>
    </row>
    <row r="10" spans="1:12">
      <c r="A10" s="12" t="s">
        <v>258</v>
      </c>
      <c r="B10" s="13">
        <v>15825000</v>
      </c>
      <c r="C10" s="13">
        <v>3850000</v>
      </c>
      <c r="D10" s="54">
        <f>B10+C10</f>
        <v>19675000</v>
      </c>
      <c r="E10" s="56">
        <v>2250000</v>
      </c>
      <c r="F10" s="13">
        <f t="shared" si="0"/>
        <v>17425000</v>
      </c>
      <c r="G10" s="58">
        <f t="shared" si="1"/>
        <v>1600000</v>
      </c>
      <c r="H10" s="14"/>
      <c r="I10" s="6"/>
      <c r="J10" s="20" t="s">
        <v>262</v>
      </c>
      <c r="K10" s="21" t="s">
        <v>105</v>
      </c>
      <c r="L10" s="18">
        <v>700000</v>
      </c>
    </row>
    <row r="11" spans="1:12">
      <c r="A11" s="12" t="s">
        <v>259</v>
      </c>
      <c r="B11" s="13">
        <v>3500000</v>
      </c>
      <c r="C11" s="13">
        <v>1450000</v>
      </c>
      <c r="D11" s="54">
        <f>B11+C11</f>
        <v>4950000</v>
      </c>
      <c r="E11" s="56">
        <v>790000</v>
      </c>
      <c r="F11" s="50">
        <f t="shared" si="0"/>
        <v>4160000</v>
      </c>
      <c r="G11" s="58">
        <f t="shared" si="1"/>
        <v>660000</v>
      </c>
      <c r="H11" s="14"/>
      <c r="I11" s="22"/>
      <c r="J11" s="20" t="s">
        <v>262</v>
      </c>
      <c r="K11" s="46" t="s">
        <v>263</v>
      </c>
      <c r="L11" s="18">
        <v>2150000</v>
      </c>
    </row>
    <row r="12" spans="1:12">
      <c r="A12" s="12" t="s">
        <v>260</v>
      </c>
      <c r="B12" s="13">
        <v>7800000</v>
      </c>
      <c r="C12" s="13">
        <v>3125000</v>
      </c>
      <c r="D12" s="54">
        <f>B12+C12</f>
        <v>10925000</v>
      </c>
      <c r="E12" s="56">
        <v>1440000</v>
      </c>
      <c r="F12" s="50">
        <f t="shared" si="0"/>
        <v>9485000</v>
      </c>
      <c r="G12" s="58">
        <f t="shared" si="1"/>
        <v>1685000</v>
      </c>
      <c r="H12" s="14"/>
      <c r="I12" s="22"/>
      <c r="J12" s="12" t="s">
        <v>262</v>
      </c>
      <c r="K12" s="63" t="s">
        <v>264</v>
      </c>
      <c r="L12" s="18">
        <v>1050000</v>
      </c>
    </row>
    <row r="13" spans="1:12">
      <c r="A13" s="12" t="s">
        <v>261</v>
      </c>
      <c r="B13" s="13"/>
      <c r="C13" s="50">
        <v>4100000</v>
      </c>
      <c r="D13" s="54">
        <v>4100000</v>
      </c>
      <c r="E13" s="56">
        <v>1560000</v>
      </c>
      <c r="F13" s="13">
        <f t="shared" si="0"/>
        <v>2540000</v>
      </c>
      <c r="G13" s="58">
        <f t="shared" si="1"/>
        <v>2540000</v>
      </c>
      <c r="H13" s="14"/>
      <c r="I13" s="6"/>
      <c r="J13" s="12" t="s">
        <v>265</v>
      </c>
      <c r="K13" s="21" t="s">
        <v>266</v>
      </c>
      <c r="L13" s="18">
        <v>600000</v>
      </c>
    </row>
    <row r="14" spans="1:12">
      <c r="A14" s="12" t="s">
        <v>262</v>
      </c>
      <c r="B14" s="13">
        <v>1825000</v>
      </c>
      <c r="C14" s="13">
        <v>1850000</v>
      </c>
      <c r="D14" s="54">
        <f>B14+C14</f>
        <v>3675000</v>
      </c>
      <c r="E14" s="56">
        <v>1685000</v>
      </c>
      <c r="F14" s="13">
        <f t="shared" ref="F14:F20" si="2">D14-E14</f>
        <v>1990000</v>
      </c>
      <c r="G14" s="58">
        <f t="shared" si="1"/>
        <v>165000</v>
      </c>
      <c r="H14" s="14"/>
      <c r="I14" s="6"/>
      <c r="J14" s="12" t="s">
        <v>265</v>
      </c>
      <c r="K14" s="15" t="s">
        <v>34</v>
      </c>
      <c r="L14" s="18">
        <v>500000</v>
      </c>
    </row>
    <row r="15" spans="1:12">
      <c r="A15" s="49" t="s">
        <v>265</v>
      </c>
      <c r="B15" s="50">
        <v>4350000</v>
      </c>
      <c r="C15" s="50">
        <v>1500000</v>
      </c>
      <c r="D15" s="54">
        <f>B15+C15</f>
        <v>5850000</v>
      </c>
      <c r="E15" s="56">
        <v>2600000</v>
      </c>
      <c r="F15" s="50">
        <f t="shared" si="2"/>
        <v>3250000</v>
      </c>
      <c r="G15" s="58">
        <f t="shared" si="1"/>
        <v>-1100000</v>
      </c>
      <c r="H15" s="52"/>
      <c r="I15" s="6"/>
      <c r="J15" s="12" t="s">
        <v>265</v>
      </c>
      <c r="K15" s="25" t="s">
        <v>105</v>
      </c>
      <c r="L15" s="18">
        <v>250000</v>
      </c>
    </row>
    <row r="16" spans="1:12">
      <c r="A16" s="12" t="s">
        <v>267</v>
      </c>
      <c r="B16" s="13">
        <v>250000</v>
      </c>
      <c r="C16" s="13">
        <v>2900000</v>
      </c>
      <c r="D16" s="54">
        <f>B16+C16</f>
        <v>3150000</v>
      </c>
      <c r="E16" s="56">
        <v>1705000</v>
      </c>
      <c r="F16" s="13">
        <f t="shared" si="2"/>
        <v>1445000</v>
      </c>
      <c r="G16" s="58">
        <f t="shared" si="1"/>
        <v>1195000</v>
      </c>
      <c r="H16" s="24"/>
      <c r="I16" s="22"/>
      <c r="J16" s="12" t="s">
        <v>265</v>
      </c>
      <c r="K16" s="25" t="s">
        <v>237</v>
      </c>
      <c r="L16" s="18">
        <v>260000</v>
      </c>
    </row>
    <row r="17" spans="1:12">
      <c r="A17" s="12" t="s">
        <v>268</v>
      </c>
      <c r="B17" s="13">
        <v>500000</v>
      </c>
      <c r="C17" s="13">
        <v>1350000</v>
      </c>
      <c r="D17" s="54">
        <f>B17+C17</f>
        <v>1850000</v>
      </c>
      <c r="E17" s="56">
        <v>1645000</v>
      </c>
      <c r="F17" s="13">
        <f t="shared" si="2"/>
        <v>205000</v>
      </c>
      <c r="G17" s="58">
        <f t="shared" si="1"/>
        <v>-295000</v>
      </c>
      <c r="H17" s="24"/>
      <c r="I17" s="26"/>
      <c r="J17" s="27" t="s">
        <v>270</v>
      </c>
      <c r="K17" s="47" t="s">
        <v>105</v>
      </c>
      <c r="L17" s="48">
        <v>700000</v>
      </c>
    </row>
    <row r="18" spans="1:12">
      <c r="A18" s="49" t="s">
        <v>269</v>
      </c>
      <c r="B18" s="50">
        <v>425000</v>
      </c>
      <c r="C18" s="50"/>
      <c r="D18" s="54">
        <v>425000</v>
      </c>
      <c r="E18" s="56">
        <v>660000</v>
      </c>
      <c r="F18" s="50">
        <f t="shared" si="2"/>
        <v>-235000</v>
      </c>
      <c r="G18" s="58">
        <f t="shared" ref="G18:G24" si="3">C18-E18</f>
        <v>-660000</v>
      </c>
      <c r="H18" s="24"/>
      <c r="I18" s="26"/>
      <c r="J18" s="12" t="s">
        <v>271</v>
      </c>
      <c r="K18" s="25" t="s">
        <v>65</v>
      </c>
      <c r="L18" s="18">
        <v>500000</v>
      </c>
    </row>
    <row r="19" spans="1:12">
      <c r="A19" s="12" t="s">
        <v>270</v>
      </c>
      <c r="B19" s="13">
        <v>21550000</v>
      </c>
      <c r="C19" s="13"/>
      <c r="D19" s="54">
        <v>21550000</v>
      </c>
      <c r="E19" s="56">
        <v>2095000</v>
      </c>
      <c r="F19" s="13">
        <f t="shared" si="2"/>
        <v>19455000</v>
      </c>
      <c r="G19" s="58">
        <f t="shared" si="3"/>
        <v>-2095000</v>
      </c>
      <c r="H19" s="24"/>
      <c r="I19" s="29"/>
      <c r="J19" s="12" t="s">
        <v>273</v>
      </c>
      <c r="K19" s="23" t="s">
        <v>105</v>
      </c>
      <c r="L19" s="18">
        <v>1480000</v>
      </c>
    </row>
    <row r="20" spans="1:12">
      <c r="A20" s="12" t="s">
        <v>271</v>
      </c>
      <c r="B20" s="13">
        <v>5775000</v>
      </c>
      <c r="C20" s="13">
        <v>4975000</v>
      </c>
      <c r="D20" s="54">
        <f>B20+C20</f>
        <v>10750000</v>
      </c>
      <c r="E20" s="56">
        <v>2040000</v>
      </c>
      <c r="F20" s="13">
        <f t="shared" si="2"/>
        <v>8710000</v>
      </c>
      <c r="G20" s="58">
        <f t="shared" si="3"/>
        <v>2935000</v>
      </c>
      <c r="H20" s="24"/>
      <c r="I20" s="29"/>
      <c r="J20" s="27" t="s">
        <v>276</v>
      </c>
      <c r="K20" s="30" t="s">
        <v>34</v>
      </c>
      <c r="L20" s="18">
        <v>500000</v>
      </c>
    </row>
    <row r="21" spans="1:12">
      <c r="A21" s="49" t="s">
        <v>272</v>
      </c>
      <c r="B21" s="50">
        <v>2825000</v>
      </c>
      <c r="C21" s="50"/>
      <c r="D21" s="54">
        <v>2825000</v>
      </c>
      <c r="E21" s="56">
        <v>3155000</v>
      </c>
      <c r="F21" s="50">
        <f>D21-E21</f>
        <v>-330000</v>
      </c>
      <c r="G21" s="58">
        <f t="shared" si="3"/>
        <v>-3155000</v>
      </c>
      <c r="H21" s="24"/>
      <c r="I21" s="31"/>
      <c r="J21" s="32" t="s">
        <v>278</v>
      </c>
      <c r="K21" s="23" t="s">
        <v>279</v>
      </c>
      <c r="L21" s="18">
        <v>9900000</v>
      </c>
    </row>
    <row r="22" spans="1:12">
      <c r="A22" s="49" t="s">
        <v>273</v>
      </c>
      <c r="B22" s="50"/>
      <c r="C22" s="50">
        <v>600000</v>
      </c>
      <c r="D22" s="54">
        <v>600000</v>
      </c>
      <c r="E22" s="56">
        <v>1405000</v>
      </c>
      <c r="F22" s="50">
        <f>D22-E22</f>
        <v>-805000</v>
      </c>
      <c r="G22" s="58">
        <f t="shared" si="3"/>
        <v>-805000</v>
      </c>
      <c r="H22" s="51"/>
      <c r="I22" s="29"/>
      <c r="J22" s="27" t="s">
        <v>278</v>
      </c>
      <c r="K22" s="30" t="s">
        <v>280</v>
      </c>
      <c r="L22" s="18">
        <v>4915000</v>
      </c>
    </row>
    <row r="23" spans="1:12">
      <c r="A23" s="12" t="s">
        <v>274</v>
      </c>
      <c r="B23" s="13">
        <v>2880000</v>
      </c>
      <c r="C23" s="13">
        <v>4000000</v>
      </c>
      <c r="D23" s="54">
        <f>B23+C23</f>
        <v>6880000</v>
      </c>
      <c r="E23" s="56">
        <v>1725000</v>
      </c>
      <c r="F23" s="13">
        <f>D23-E23</f>
        <v>5155000</v>
      </c>
      <c r="G23" s="58">
        <f t="shared" si="3"/>
        <v>2275000</v>
      </c>
      <c r="H23" s="14"/>
      <c r="I23" s="29"/>
      <c r="J23" s="27" t="s">
        <v>281</v>
      </c>
      <c r="K23" s="30" t="s">
        <v>282</v>
      </c>
      <c r="L23" s="18">
        <v>1000000</v>
      </c>
    </row>
    <row r="24" spans="1:12">
      <c r="A24" s="12" t="s">
        <v>275</v>
      </c>
      <c r="B24" s="13">
        <v>5750000</v>
      </c>
      <c r="C24" s="13">
        <v>1000000</v>
      </c>
      <c r="D24" s="54">
        <f>B24+C24</f>
        <v>6750000</v>
      </c>
      <c r="E24" s="56">
        <v>1010000</v>
      </c>
      <c r="F24" s="13">
        <f>D24-E24</f>
        <v>5740000</v>
      </c>
      <c r="G24" s="58">
        <f t="shared" si="3"/>
        <v>-10000</v>
      </c>
      <c r="H24" s="14"/>
      <c r="I24" s="31"/>
      <c r="J24" s="27" t="s">
        <v>284</v>
      </c>
      <c r="K24" s="30" t="s">
        <v>285</v>
      </c>
      <c r="L24" s="18">
        <v>200000</v>
      </c>
    </row>
    <row r="25" spans="1:12">
      <c r="A25" s="70" t="s">
        <v>276</v>
      </c>
      <c r="B25" s="71"/>
      <c r="C25" s="71"/>
      <c r="D25" s="71"/>
      <c r="E25" s="71"/>
      <c r="F25" s="71"/>
      <c r="G25" s="71"/>
      <c r="H25" s="14"/>
      <c r="I25" s="31"/>
      <c r="J25" s="27" t="s">
        <v>288</v>
      </c>
      <c r="K25" s="30" t="s">
        <v>245</v>
      </c>
      <c r="L25" s="18">
        <v>35000000</v>
      </c>
    </row>
    <row r="26" spans="1:12">
      <c r="A26" s="12" t="s">
        <v>277</v>
      </c>
      <c r="B26" s="13"/>
      <c r="C26" s="13">
        <v>1300000</v>
      </c>
      <c r="D26" s="54">
        <v>1300000</v>
      </c>
      <c r="E26" s="56">
        <v>1835000</v>
      </c>
      <c r="F26" s="13">
        <f t="shared" ref="F26:F32" si="4">D26-E26</f>
        <v>-535000</v>
      </c>
      <c r="G26" s="58">
        <f t="shared" ref="G26:G32" si="5">C26-E26</f>
        <v>-535000</v>
      </c>
      <c r="H26" s="14"/>
      <c r="I26" s="29"/>
      <c r="J26" s="27" t="s">
        <v>288</v>
      </c>
      <c r="K26" s="30" t="s">
        <v>289</v>
      </c>
      <c r="L26" s="18">
        <v>2925000</v>
      </c>
    </row>
    <row r="27" spans="1:12">
      <c r="A27" s="12" t="s">
        <v>278</v>
      </c>
      <c r="B27" s="13">
        <v>1850000</v>
      </c>
      <c r="C27" s="13">
        <v>6035000</v>
      </c>
      <c r="D27" s="54">
        <f>B27+C27</f>
        <v>7885000</v>
      </c>
      <c r="E27" s="56">
        <v>1180000</v>
      </c>
      <c r="F27" s="13">
        <f t="shared" si="4"/>
        <v>6705000</v>
      </c>
      <c r="G27" s="58">
        <f t="shared" si="5"/>
        <v>4855000</v>
      </c>
      <c r="H27" s="33"/>
      <c r="I27" s="29"/>
      <c r="J27" s="27" t="s">
        <v>288</v>
      </c>
      <c r="K27" s="30" t="s">
        <v>290</v>
      </c>
      <c r="L27" s="18">
        <v>10000000</v>
      </c>
    </row>
    <row r="28" spans="1:12">
      <c r="A28" s="12" t="s">
        <v>281</v>
      </c>
      <c r="B28" s="13">
        <v>3050000</v>
      </c>
      <c r="C28" s="13"/>
      <c r="D28" s="54">
        <v>3050000</v>
      </c>
      <c r="E28" s="56">
        <v>1325000</v>
      </c>
      <c r="F28" s="13">
        <f t="shared" si="4"/>
        <v>1725000</v>
      </c>
      <c r="G28" s="58">
        <f t="shared" si="5"/>
        <v>-1325000</v>
      </c>
      <c r="H28" s="14"/>
      <c r="I28" s="29"/>
      <c r="J28" s="27" t="s">
        <v>288</v>
      </c>
      <c r="K28" s="30" t="s">
        <v>144</v>
      </c>
      <c r="L28" s="18">
        <v>850000</v>
      </c>
    </row>
    <row r="29" spans="1:12">
      <c r="A29" s="12" t="s">
        <v>283</v>
      </c>
      <c r="B29" s="13">
        <v>10450000</v>
      </c>
      <c r="C29" s="13"/>
      <c r="D29" s="54">
        <v>10450000</v>
      </c>
      <c r="E29" s="56">
        <v>1490000</v>
      </c>
      <c r="F29" s="13">
        <f t="shared" si="4"/>
        <v>8960000</v>
      </c>
      <c r="G29" s="58">
        <f t="shared" si="5"/>
        <v>-1490000</v>
      </c>
      <c r="H29" s="14"/>
      <c r="I29" s="29"/>
      <c r="J29" s="27" t="s">
        <v>288</v>
      </c>
      <c r="K29" s="30" t="s">
        <v>291</v>
      </c>
      <c r="L29" s="18">
        <v>800000</v>
      </c>
    </row>
    <row r="30" spans="1:12">
      <c r="A30" s="12" t="s">
        <v>284</v>
      </c>
      <c r="B30" s="13">
        <v>2750000</v>
      </c>
      <c r="C30" s="13"/>
      <c r="D30" s="54">
        <v>2750000</v>
      </c>
      <c r="E30" s="56">
        <v>1880000</v>
      </c>
      <c r="F30" s="13">
        <f t="shared" si="4"/>
        <v>870000</v>
      </c>
      <c r="G30" s="58">
        <f t="shared" si="5"/>
        <v>-1880000</v>
      </c>
      <c r="H30" s="14"/>
      <c r="I30" s="29"/>
      <c r="J30" s="27" t="s">
        <v>288</v>
      </c>
      <c r="K30" s="30" t="s">
        <v>292</v>
      </c>
      <c r="L30" s="18">
        <v>500000</v>
      </c>
    </row>
    <row r="31" spans="1:12">
      <c r="A31" s="12" t="s">
        <v>286</v>
      </c>
      <c r="B31" s="13">
        <v>4050000</v>
      </c>
      <c r="C31" s="13">
        <v>5175000</v>
      </c>
      <c r="D31" s="54">
        <f>B31+C31</f>
        <v>9225000</v>
      </c>
      <c r="E31" s="56">
        <v>1535000</v>
      </c>
      <c r="F31" s="13">
        <f t="shared" si="4"/>
        <v>7690000</v>
      </c>
      <c r="G31" s="58">
        <f t="shared" si="5"/>
        <v>3640000</v>
      </c>
      <c r="H31" s="14"/>
      <c r="I31" s="29"/>
      <c r="J31" s="27" t="s">
        <v>293</v>
      </c>
      <c r="K31" s="30" t="s">
        <v>40</v>
      </c>
      <c r="L31" s="18">
        <v>1550000</v>
      </c>
    </row>
    <row r="32" spans="1:12">
      <c r="A32" s="12" t="s">
        <v>287</v>
      </c>
      <c r="B32" s="13">
        <v>2600000</v>
      </c>
      <c r="C32" s="13">
        <v>2780000</v>
      </c>
      <c r="D32" s="54">
        <f>B32+C32</f>
        <v>5380000</v>
      </c>
      <c r="E32" s="56">
        <v>810000</v>
      </c>
      <c r="F32" s="13">
        <f t="shared" si="4"/>
        <v>4570000</v>
      </c>
      <c r="G32" s="58">
        <f t="shared" si="5"/>
        <v>1970000</v>
      </c>
      <c r="H32" s="14"/>
      <c r="I32" s="29"/>
      <c r="J32" s="27" t="s">
        <v>293</v>
      </c>
      <c r="K32" s="30" t="s">
        <v>263</v>
      </c>
      <c r="L32" s="18">
        <v>1500000</v>
      </c>
    </row>
    <row r="33" spans="1:12">
      <c r="A33" s="12" t="s">
        <v>288</v>
      </c>
      <c r="B33" s="13">
        <v>4100000</v>
      </c>
      <c r="C33" s="13"/>
      <c r="D33" s="54">
        <v>4100000</v>
      </c>
      <c r="E33" s="56">
        <v>1530000</v>
      </c>
      <c r="F33" s="13">
        <f t="shared" ref="F33:F38" si="6">D33-E33</f>
        <v>2570000</v>
      </c>
      <c r="G33" s="58">
        <f t="shared" ref="G33:G38" si="7">C33-E33</f>
        <v>-1530000</v>
      </c>
      <c r="H33" s="14"/>
      <c r="I33" s="29"/>
      <c r="J33" s="27" t="s">
        <v>294</v>
      </c>
      <c r="K33" s="30" t="s">
        <v>295</v>
      </c>
      <c r="L33" s="18">
        <v>250000</v>
      </c>
    </row>
    <row r="34" spans="1:12">
      <c r="A34" s="12" t="s">
        <v>293</v>
      </c>
      <c r="B34" s="13"/>
      <c r="C34" s="13">
        <v>3300000</v>
      </c>
      <c r="D34" s="54">
        <v>3300000</v>
      </c>
      <c r="E34" s="56">
        <v>1525000</v>
      </c>
      <c r="F34" s="13">
        <f t="shared" si="6"/>
        <v>1775000</v>
      </c>
      <c r="G34" s="58">
        <f t="shared" si="7"/>
        <v>1775000</v>
      </c>
      <c r="H34" s="14"/>
      <c r="I34" s="29"/>
      <c r="J34" s="27" t="s">
        <v>296</v>
      </c>
      <c r="K34" s="30" t="s">
        <v>34</v>
      </c>
      <c r="L34" s="18">
        <v>500000</v>
      </c>
    </row>
    <row r="35" spans="1:12">
      <c r="A35" s="12" t="s">
        <v>294</v>
      </c>
      <c r="B35" s="13">
        <v>150000</v>
      </c>
      <c r="C35" s="13">
        <v>850000</v>
      </c>
      <c r="D35" s="54">
        <f>B35+C35</f>
        <v>1000000</v>
      </c>
      <c r="E35" s="56">
        <v>1540000</v>
      </c>
      <c r="F35" s="13">
        <f t="shared" si="6"/>
        <v>-540000</v>
      </c>
      <c r="G35" s="58">
        <f t="shared" si="7"/>
        <v>-690000</v>
      </c>
      <c r="H35" s="14"/>
      <c r="I35" s="29"/>
      <c r="J35" s="27" t="s">
        <v>297</v>
      </c>
      <c r="K35" s="30" t="s">
        <v>65</v>
      </c>
      <c r="L35" s="18">
        <v>200000</v>
      </c>
    </row>
    <row r="36" spans="1:12">
      <c r="A36" s="12" t="s">
        <v>296</v>
      </c>
      <c r="B36" s="13">
        <v>2730000</v>
      </c>
      <c r="C36" s="13">
        <v>150000</v>
      </c>
      <c r="D36" s="54">
        <f>B36+C36</f>
        <v>2880000</v>
      </c>
      <c r="E36" s="56">
        <v>1835000</v>
      </c>
      <c r="F36" s="13">
        <f t="shared" si="6"/>
        <v>1045000</v>
      </c>
      <c r="G36" s="58">
        <f t="shared" si="7"/>
        <v>-1685000</v>
      </c>
      <c r="H36" s="14"/>
      <c r="I36" s="29"/>
      <c r="J36" s="27" t="s">
        <v>297</v>
      </c>
      <c r="K36" s="30" t="s">
        <v>23</v>
      </c>
      <c r="L36" s="18">
        <v>13500000</v>
      </c>
    </row>
    <row r="37" spans="1:12">
      <c r="A37" s="12" t="s">
        <v>297</v>
      </c>
      <c r="B37" s="13"/>
      <c r="C37" s="13">
        <v>600000</v>
      </c>
      <c r="D37" s="54">
        <v>600000</v>
      </c>
      <c r="E37" s="56">
        <v>1595000</v>
      </c>
      <c r="F37" s="13">
        <f t="shared" si="6"/>
        <v>-995000</v>
      </c>
      <c r="G37" s="58">
        <f t="shared" si="7"/>
        <v>-995000</v>
      </c>
      <c r="H37" s="14"/>
      <c r="I37" s="29"/>
      <c r="J37" s="27" t="s">
        <v>298</v>
      </c>
      <c r="K37" s="30" t="s">
        <v>299</v>
      </c>
      <c r="L37" s="18">
        <v>4450000</v>
      </c>
    </row>
    <row r="38" spans="1:12">
      <c r="A38" s="12" t="s">
        <v>298</v>
      </c>
      <c r="B38" s="13">
        <v>18900000</v>
      </c>
      <c r="C38" s="13">
        <v>2500000</v>
      </c>
      <c r="D38" s="54">
        <f>B38+C38</f>
        <v>21400000</v>
      </c>
      <c r="E38" s="56">
        <v>2280000</v>
      </c>
      <c r="F38" s="13">
        <f t="shared" si="6"/>
        <v>19120000</v>
      </c>
      <c r="G38" s="58">
        <f t="shared" si="7"/>
        <v>220000</v>
      </c>
      <c r="H38" s="14"/>
      <c r="I38" s="29"/>
      <c r="J38" s="27" t="s">
        <v>298</v>
      </c>
      <c r="K38" s="30" t="s">
        <v>300</v>
      </c>
      <c r="L38" s="18">
        <v>2500000</v>
      </c>
    </row>
    <row r="39" spans="1:12">
      <c r="A39" s="12"/>
      <c r="B39" s="13"/>
      <c r="C39" s="13"/>
      <c r="D39" s="54"/>
      <c r="E39" s="56"/>
      <c r="F39" s="13"/>
      <c r="G39" s="58"/>
      <c r="H39" s="14"/>
      <c r="I39" s="29"/>
      <c r="J39" s="27" t="s">
        <v>298</v>
      </c>
      <c r="K39" s="30" t="s">
        <v>301</v>
      </c>
      <c r="L39" s="18">
        <v>650000</v>
      </c>
    </row>
    <row r="40" spans="1:12">
      <c r="A40" s="12"/>
      <c r="B40" s="13"/>
      <c r="C40" s="13"/>
      <c r="D40" s="54"/>
      <c r="E40" s="56"/>
      <c r="F40" s="13"/>
      <c r="G40" s="58"/>
      <c r="H40" s="14"/>
      <c r="I40" s="29"/>
      <c r="J40" s="27" t="s">
        <v>298</v>
      </c>
      <c r="K40" s="30" t="s">
        <v>302</v>
      </c>
      <c r="L40" s="18">
        <v>8000000</v>
      </c>
    </row>
    <row r="41" spans="1:12">
      <c r="A41" s="12"/>
      <c r="B41" s="13"/>
      <c r="C41" s="13"/>
      <c r="D41" s="54"/>
      <c r="E41" s="56"/>
      <c r="F41" s="13"/>
      <c r="G41" s="58"/>
      <c r="H41" s="14"/>
      <c r="I41" s="29"/>
      <c r="J41" s="27" t="s">
        <v>298</v>
      </c>
      <c r="K41" s="30" t="s">
        <v>303</v>
      </c>
      <c r="L41" s="18">
        <v>2000000</v>
      </c>
    </row>
    <row r="42" spans="1:12">
      <c r="A42" s="49"/>
      <c r="B42" s="50"/>
      <c r="C42" s="50"/>
      <c r="D42" s="54"/>
      <c r="E42" s="56"/>
      <c r="F42" s="50"/>
      <c r="G42" s="58"/>
      <c r="H42" s="51"/>
      <c r="I42" s="29"/>
      <c r="J42" s="27" t="s">
        <v>298</v>
      </c>
      <c r="K42" s="30" t="s">
        <v>309</v>
      </c>
      <c r="L42" s="18">
        <v>9275000</v>
      </c>
    </row>
    <row r="43" spans="1:12">
      <c r="A43" s="12"/>
      <c r="B43" s="13"/>
      <c r="C43" s="13"/>
      <c r="D43" s="54"/>
      <c r="E43" s="56"/>
      <c r="F43" s="13"/>
      <c r="G43" s="58"/>
      <c r="H43" s="14"/>
      <c r="I43" s="29"/>
      <c r="J43" s="27"/>
      <c r="K43" s="30"/>
      <c r="L43" s="18"/>
    </row>
    <row r="44" spans="1:12">
      <c r="A44" s="12"/>
      <c r="B44" s="13"/>
      <c r="C44" s="13"/>
      <c r="D44" s="54"/>
      <c r="E44" s="56"/>
      <c r="F44" s="13"/>
      <c r="G44" s="58"/>
      <c r="H44" s="14"/>
      <c r="I44" s="29"/>
      <c r="J44" s="34"/>
      <c r="K44" s="23"/>
      <c r="L44" s="73">
        <f>SUM(L8:L43)</f>
        <v>119455000</v>
      </c>
    </row>
    <row r="45" spans="1:12">
      <c r="A45" s="12"/>
      <c r="B45" s="13"/>
      <c r="C45" s="13"/>
      <c r="D45" s="54"/>
      <c r="E45" s="56"/>
      <c r="F45" s="13"/>
      <c r="G45" s="58"/>
      <c r="H45" s="14"/>
      <c r="I45" s="29"/>
      <c r="J45" s="28"/>
      <c r="K45" s="1"/>
      <c r="L45" s="1"/>
    </row>
    <row r="46" spans="1:12" ht="15.75">
      <c r="A46" s="12"/>
      <c r="B46" s="13"/>
      <c r="C46" s="13"/>
      <c r="D46" s="54"/>
      <c r="E46" s="56"/>
      <c r="F46" s="13"/>
      <c r="G46" s="58"/>
      <c r="H46" s="14"/>
      <c r="I46" s="29"/>
      <c r="J46" s="35" t="s">
        <v>11</v>
      </c>
      <c r="K46" s="36" t="s">
        <v>12</v>
      </c>
      <c r="L46" s="60">
        <f>B53+C53</f>
        <v>189825000</v>
      </c>
    </row>
    <row r="47" spans="1:12" ht="15.75">
      <c r="A47" s="12"/>
      <c r="B47" s="13"/>
      <c r="C47" s="13"/>
      <c r="D47" s="54"/>
      <c r="E47" s="56"/>
      <c r="F47" s="13"/>
      <c r="G47" s="58"/>
      <c r="H47" s="14"/>
      <c r="I47" s="38"/>
      <c r="J47" s="39"/>
      <c r="K47" s="40" t="s">
        <v>13</v>
      </c>
      <c r="L47" s="61">
        <v>50995000</v>
      </c>
    </row>
    <row r="48" spans="1:12" ht="15.75">
      <c r="A48" s="12"/>
      <c r="B48" s="13"/>
      <c r="C48" s="13"/>
      <c r="D48" s="54"/>
      <c r="E48" s="56"/>
      <c r="F48" s="13"/>
      <c r="G48" s="58"/>
      <c r="H48" s="14"/>
      <c r="I48" s="29"/>
      <c r="J48" s="39"/>
      <c r="K48" s="40" t="s">
        <v>14</v>
      </c>
      <c r="L48" s="61">
        <v>119455000</v>
      </c>
    </row>
    <row r="49" spans="1:12" ht="15.75">
      <c r="A49" s="49"/>
      <c r="B49" s="50"/>
      <c r="C49" s="50"/>
      <c r="D49" s="54"/>
      <c r="E49" s="56"/>
      <c r="F49" s="50"/>
      <c r="G49" s="58"/>
      <c r="H49" s="51"/>
      <c r="I49" s="29"/>
      <c r="J49" s="39"/>
      <c r="K49" s="40" t="s">
        <v>15</v>
      </c>
      <c r="L49" s="41">
        <f>L47+L48</f>
        <v>170450000</v>
      </c>
    </row>
    <row r="50" spans="1:12" ht="15.75">
      <c r="A50" s="12"/>
      <c r="B50" s="13"/>
      <c r="C50" s="13"/>
      <c r="D50" s="54"/>
      <c r="E50" s="56"/>
      <c r="F50" s="13"/>
      <c r="G50" s="58"/>
      <c r="H50" s="14"/>
      <c r="I50" s="29"/>
      <c r="J50" s="39"/>
      <c r="K50" s="42"/>
      <c r="L50" s="37"/>
    </row>
    <row r="51" spans="1:12" ht="18">
      <c r="A51" s="12"/>
      <c r="B51" s="13"/>
      <c r="C51" s="13"/>
      <c r="D51" s="54"/>
      <c r="E51" s="56"/>
      <c r="F51" s="13"/>
      <c r="G51" s="58"/>
      <c r="H51" s="14"/>
      <c r="I51" s="29"/>
      <c r="J51" s="80" t="s">
        <v>306</v>
      </c>
      <c r="K51" s="80"/>
      <c r="L51" s="43">
        <f>L46-L49</f>
        <v>19375000</v>
      </c>
    </row>
    <row r="52" spans="1:12">
      <c r="A52" s="12"/>
      <c r="B52" s="13"/>
      <c r="C52" s="13"/>
      <c r="D52" s="54"/>
      <c r="E52" s="56"/>
      <c r="F52" s="13"/>
      <c r="G52" s="58"/>
      <c r="H52" s="14"/>
      <c r="I52" s="1"/>
      <c r="J52" s="29"/>
      <c r="K52" s="29"/>
      <c r="L52" s="1"/>
    </row>
    <row r="53" spans="1:12">
      <c r="A53" s="12"/>
      <c r="B53" s="44">
        <f t="shared" ref="B53:G53" si="8">SUM(B8:B52)</f>
        <v>133085000</v>
      </c>
      <c r="C53" s="44">
        <f t="shared" si="8"/>
        <v>56740000</v>
      </c>
      <c r="D53" s="55">
        <f t="shared" si="8"/>
        <v>189825000</v>
      </c>
      <c r="E53" s="57">
        <f t="shared" si="8"/>
        <v>50995000</v>
      </c>
      <c r="F53" s="53">
        <f t="shared" si="8"/>
        <v>138830000</v>
      </c>
      <c r="G53" s="59">
        <f t="shared" si="8"/>
        <v>5745000</v>
      </c>
      <c r="H53" s="29"/>
      <c r="I53" s="1"/>
      <c r="J53" s="1"/>
      <c r="K53" s="1"/>
      <c r="L53" s="1"/>
    </row>
  </sheetData>
  <mergeCells count="8">
    <mergeCell ref="G5:G6"/>
    <mergeCell ref="J51:K51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L58"/>
  <sheetViews>
    <sheetView topLeftCell="B34" workbookViewId="0">
      <selection activeCell="I59" sqref="I59"/>
    </sheetView>
  </sheetViews>
  <sheetFormatPr defaultRowHeight="15"/>
  <cols>
    <col min="1" max="1" width="6.85546875" customWidth="1"/>
    <col min="2" max="2" width="15.42578125" customWidth="1"/>
    <col min="3" max="3" width="15" customWidth="1"/>
    <col min="4" max="5" width="14.85546875" customWidth="1"/>
    <col min="6" max="7" width="15.42578125" customWidth="1"/>
    <col min="10" max="10" width="7.85546875" customWidth="1"/>
    <col min="11" max="11" width="50.28515625" customWidth="1"/>
    <col min="12" max="12" width="16.5703125" customWidth="1"/>
  </cols>
  <sheetData>
    <row r="3" spans="1:12">
      <c r="A3" s="81" t="s">
        <v>304</v>
      </c>
      <c r="B3" s="82"/>
      <c r="C3" s="82"/>
      <c r="D3" s="82"/>
      <c r="E3" s="82"/>
      <c r="F3" s="1"/>
      <c r="G3" s="1"/>
      <c r="H3" s="1"/>
      <c r="I3" s="1"/>
      <c r="J3" s="1"/>
      <c r="K3" s="1"/>
      <c r="L3" s="1"/>
    </row>
    <row r="4" spans="1:12">
      <c r="A4" s="83"/>
      <c r="B4" s="83"/>
      <c r="C4" s="83"/>
      <c r="D4" s="83"/>
      <c r="E4" s="83"/>
      <c r="F4" s="1"/>
      <c r="G4" s="1"/>
      <c r="H4" s="1"/>
      <c r="I4" s="1"/>
      <c r="J4" s="1"/>
      <c r="K4" s="1"/>
      <c r="L4" s="1"/>
    </row>
    <row r="5" spans="1:12" ht="15.75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2"/>
      <c r="I5" s="3"/>
      <c r="J5" s="4" t="s">
        <v>6</v>
      </c>
      <c r="K5" s="5"/>
      <c r="L5" s="6"/>
    </row>
    <row r="6" spans="1:12" ht="15.75">
      <c r="A6" s="85"/>
      <c r="B6" s="7" t="s">
        <v>7</v>
      </c>
      <c r="C6" s="72" t="s">
        <v>8</v>
      </c>
      <c r="D6" s="89"/>
      <c r="E6" s="79"/>
      <c r="F6" s="89"/>
      <c r="G6" s="79"/>
      <c r="H6" s="2"/>
      <c r="I6" s="3"/>
      <c r="J6" s="9" t="s">
        <v>0</v>
      </c>
      <c r="K6" s="10" t="s">
        <v>9</v>
      </c>
      <c r="L6" s="11" t="s">
        <v>10</v>
      </c>
    </row>
    <row r="7" spans="1:12">
      <c r="A7" s="49"/>
      <c r="B7" s="64"/>
      <c r="C7" s="64"/>
      <c r="D7" s="66"/>
      <c r="E7" s="65"/>
      <c r="F7" s="64"/>
      <c r="G7" s="67"/>
      <c r="H7" s="51"/>
      <c r="I7" s="6"/>
      <c r="J7" s="12"/>
      <c r="K7" s="15"/>
      <c r="L7" s="16"/>
    </row>
    <row r="8" spans="1:12">
      <c r="A8" s="49">
        <v>45536</v>
      </c>
      <c r="B8" s="50">
        <v>3750000</v>
      </c>
      <c r="C8" s="50">
        <v>1000000</v>
      </c>
      <c r="D8" s="54">
        <f>B8+C8</f>
        <v>4750000</v>
      </c>
      <c r="E8" s="56">
        <v>835000</v>
      </c>
      <c r="F8" s="50">
        <f t="shared" ref="F8:F14" si="0">D8-E8</f>
        <v>3915000</v>
      </c>
      <c r="G8" s="58">
        <f t="shared" ref="G8:G14" si="1">C8-E8</f>
        <v>165000</v>
      </c>
      <c r="H8" s="51"/>
      <c r="I8" s="6"/>
      <c r="J8" s="68">
        <v>45536</v>
      </c>
      <c r="K8" s="63" t="s">
        <v>308</v>
      </c>
      <c r="L8" s="18">
        <v>910000</v>
      </c>
    </row>
    <row r="9" spans="1:12">
      <c r="A9" s="12">
        <v>45537</v>
      </c>
      <c r="B9" s="13">
        <v>3000000</v>
      </c>
      <c r="C9" s="13">
        <v>3800000</v>
      </c>
      <c r="D9" s="54">
        <f>B9+C9</f>
        <v>6800000</v>
      </c>
      <c r="E9" s="56">
        <v>1590000</v>
      </c>
      <c r="F9" s="13">
        <f t="shared" si="0"/>
        <v>5210000</v>
      </c>
      <c r="G9" s="58">
        <f t="shared" si="1"/>
        <v>2210000</v>
      </c>
      <c r="H9" s="14"/>
      <c r="I9" s="19"/>
      <c r="J9" s="17">
        <v>45537</v>
      </c>
      <c r="K9" s="63" t="s">
        <v>310</v>
      </c>
      <c r="L9" s="18">
        <v>1300000</v>
      </c>
    </row>
    <row r="10" spans="1:12">
      <c r="A10" s="12">
        <v>45538</v>
      </c>
      <c r="B10" s="13">
        <v>8500000</v>
      </c>
      <c r="C10" s="13">
        <v>1075000</v>
      </c>
      <c r="D10" s="54">
        <f>B10+C10</f>
        <v>9575000</v>
      </c>
      <c r="E10" s="56">
        <v>3835000</v>
      </c>
      <c r="F10" s="13">
        <f t="shared" si="0"/>
        <v>5740000</v>
      </c>
      <c r="G10" s="58">
        <f t="shared" si="1"/>
        <v>-2760000</v>
      </c>
      <c r="H10" s="14"/>
      <c r="I10" s="6"/>
      <c r="J10" s="20">
        <v>45538</v>
      </c>
      <c r="K10" s="21" t="s">
        <v>65</v>
      </c>
      <c r="L10" s="18">
        <v>100000</v>
      </c>
    </row>
    <row r="11" spans="1:12">
      <c r="A11" s="12">
        <v>45539</v>
      </c>
      <c r="B11" s="13"/>
      <c r="C11" s="13"/>
      <c r="D11" s="54"/>
      <c r="E11" s="56">
        <v>1635000</v>
      </c>
      <c r="F11" s="50">
        <f t="shared" si="0"/>
        <v>-1635000</v>
      </c>
      <c r="G11" s="58">
        <f t="shared" si="1"/>
        <v>-1635000</v>
      </c>
      <c r="H11" s="14"/>
      <c r="I11" s="22"/>
      <c r="J11" s="20">
        <v>45540</v>
      </c>
      <c r="K11" s="46" t="s">
        <v>311</v>
      </c>
      <c r="L11" s="18">
        <v>5290000</v>
      </c>
    </row>
    <row r="12" spans="1:12">
      <c r="A12" s="12">
        <v>45540</v>
      </c>
      <c r="B12" s="13">
        <v>12250000</v>
      </c>
      <c r="C12" s="13">
        <v>2700000</v>
      </c>
      <c r="D12" s="54">
        <f>B12+C12</f>
        <v>14950000</v>
      </c>
      <c r="E12" s="56">
        <v>2605000</v>
      </c>
      <c r="F12" s="50">
        <f t="shared" si="0"/>
        <v>12345000</v>
      </c>
      <c r="G12" s="58">
        <f t="shared" si="1"/>
        <v>95000</v>
      </c>
      <c r="H12" s="14"/>
      <c r="I12" s="22"/>
      <c r="J12" s="12">
        <v>45541</v>
      </c>
      <c r="K12" s="63" t="s">
        <v>237</v>
      </c>
      <c r="L12" s="18">
        <v>770000</v>
      </c>
    </row>
    <row r="13" spans="1:12">
      <c r="A13" s="12">
        <v>45541</v>
      </c>
      <c r="B13" s="13">
        <v>450000</v>
      </c>
      <c r="C13" s="50">
        <v>805000</v>
      </c>
      <c r="D13" s="54">
        <f>B13+C13</f>
        <v>1255000</v>
      </c>
      <c r="E13" s="56">
        <v>1990000</v>
      </c>
      <c r="F13" s="13">
        <f t="shared" si="0"/>
        <v>-735000</v>
      </c>
      <c r="G13" s="58">
        <f t="shared" si="1"/>
        <v>-1185000</v>
      </c>
      <c r="H13" s="14"/>
      <c r="I13" s="6"/>
      <c r="J13" s="12">
        <v>45543</v>
      </c>
      <c r="K13" s="21" t="s">
        <v>34</v>
      </c>
      <c r="L13" s="18">
        <v>500000</v>
      </c>
    </row>
    <row r="14" spans="1:12">
      <c r="A14" s="12">
        <v>45542</v>
      </c>
      <c r="B14" s="13">
        <v>8000000</v>
      </c>
      <c r="C14" s="13">
        <v>150000</v>
      </c>
      <c r="D14" s="54">
        <f>B14+C14</f>
        <v>8150000</v>
      </c>
      <c r="E14" s="56">
        <v>2320000</v>
      </c>
      <c r="F14" s="13">
        <f t="shared" si="0"/>
        <v>5830000</v>
      </c>
      <c r="G14" s="58">
        <f t="shared" si="1"/>
        <v>-2170000</v>
      </c>
      <c r="H14" s="14"/>
      <c r="I14" s="6"/>
      <c r="J14" s="12">
        <v>45544</v>
      </c>
      <c r="K14" s="15" t="s">
        <v>312</v>
      </c>
      <c r="L14" s="18">
        <v>500000</v>
      </c>
    </row>
    <row r="15" spans="1:12">
      <c r="A15" s="49">
        <v>45543</v>
      </c>
      <c r="B15" s="50">
        <v>2700000</v>
      </c>
      <c r="C15" s="50"/>
      <c r="D15" s="54">
        <v>2700000</v>
      </c>
      <c r="E15" s="56">
        <v>720000</v>
      </c>
      <c r="F15" s="50">
        <f t="shared" ref="F15:F21" si="2">D15-E15</f>
        <v>1980000</v>
      </c>
      <c r="G15" s="58">
        <f t="shared" ref="G15:G21" si="3">C15-E15</f>
        <v>-720000</v>
      </c>
      <c r="H15" s="52"/>
      <c r="I15" s="6"/>
      <c r="J15" s="12">
        <v>45544</v>
      </c>
      <c r="K15" s="25" t="s">
        <v>313</v>
      </c>
      <c r="L15" s="18">
        <v>270000</v>
      </c>
    </row>
    <row r="16" spans="1:12">
      <c r="A16" s="12">
        <v>45544</v>
      </c>
      <c r="B16" s="13">
        <v>1800000</v>
      </c>
      <c r="C16" s="13">
        <v>6550000</v>
      </c>
      <c r="D16" s="54">
        <f t="shared" ref="D16:D21" si="4">B16+C16</f>
        <v>8350000</v>
      </c>
      <c r="E16" s="56">
        <v>2140000</v>
      </c>
      <c r="F16" s="13">
        <f t="shared" si="2"/>
        <v>6210000</v>
      </c>
      <c r="G16" s="58">
        <f t="shared" si="3"/>
        <v>4410000</v>
      </c>
      <c r="H16" s="24"/>
      <c r="I16" s="22"/>
      <c r="J16" s="12">
        <v>45544</v>
      </c>
      <c r="K16" s="25" t="s">
        <v>65</v>
      </c>
      <c r="L16" s="18">
        <v>500000</v>
      </c>
    </row>
    <row r="17" spans="1:12">
      <c r="A17" s="12">
        <v>45545</v>
      </c>
      <c r="B17" s="13">
        <v>250000</v>
      </c>
      <c r="C17" s="13">
        <v>1750000</v>
      </c>
      <c r="D17" s="54">
        <f t="shared" si="4"/>
        <v>2000000</v>
      </c>
      <c r="E17" s="56">
        <v>1740000</v>
      </c>
      <c r="F17" s="13">
        <f t="shared" si="2"/>
        <v>260000</v>
      </c>
      <c r="G17" s="58">
        <f t="shared" si="3"/>
        <v>10000</v>
      </c>
      <c r="H17" s="24"/>
      <c r="I17" s="26"/>
      <c r="J17" s="27">
        <v>45544</v>
      </c>
      <c r="K17" s="47" t="s">
        <v>314</v>
      </c>
      <c r="L17" s="48">
        <v>465000</v>
      </c>
    </row>
    <row r="18" spans="1:12">
      <c r="A18" s="49">
        <v>45546</v>
      </c>
      <c r="B18" s="50">
        <v>15165000</v>
      </c>
      <c r="C18" s="50">
        <v>465000</v>
      </c>
      <c r="D18" s="54">
        <f t="shared" si="4"/>
        <v>15630000</v>
      </c>
      <c r="E18" s="56">
        <v>2180000</v>
      </c>
      <c r="F18" s="50">
        <f t="shared" si="2"/>
        <v>13450000</v>
      </c>
      <c r="G18" s="58">
        <f t="shared" si="3"/>
        <v>-1715000</v>
      </c>
      <c r="H18" s="24"/>
      <c r="I18" s="26"/>
      <c r="J18" s="12">
        <v>45547</v>
      </c>
      <c r="K18" s="25" t="s">
        <v>315</v>
      </c>
      <c r="L18" s="18">
        <v>320000</v>
      </c>
    </row>
    <row r="19" spans="1:12">
      <c r="A19" s="12">
        <v>45547</v>
      </c>
      <c r="B19" s="13">
        <v>1550000</v>
      </c>
      <c r="C19" s="13">
        <v>400000</v>
      </c>
      <c r="D19" s="54">
        <f t="shared" si="4"/>
        <v>1950000</v>
      </c>
      <c r="E19" s="56">
        <v>1400000</v>
      </c>
      <c r="F19" s="13">
        <f t="shared" si="2"/>
        <v>550000</v>
      </c>
      <c r="G19" s="58">
        <f t="shared" si="3"/>
        <v>-1000000</v>
      </c>
      <c r="H19" s="24"/>
      <c r="I19" s="29"/>
      <c r="J19" s="12">
        <v>45548</v>
      </c>
      <c r="K19" s="23" t="s">
        <v>316</v>
      </c>
      <c r="L19" s="18">
        <v>840000</v>
      </c>
    </row>
    <row r="20" spans="1:12">
      <c r="A20" s="12">
        <v>45548</v>
      </c>
      <c r="B20" s="13">
        <v>11035000</v>
      </c>
      <c r="C20" s="13">
        <v>1450000</v>
      </c>
      <c r="D20" s="54">
        <f t="shared" si="4"/>
        <v>12485000</v>
      </c>
      <c r="E20" s="56">
        <v>3320000</v>
      </c>
      <c r="F20" s="13">
        <f t="shared" si="2"/>
        <v>9165000</v>
      </c>
      <c r="G20" s="58">
        <f t="shared" si="3"/>
        <v>-1870000</v>
      </c>
      <c r="H20" s="24"/>
      <c r="I20" s="29"/>
      <c r="J20" s="27">
        <v>45548</v>
      </c>
      <c r="K20" s="30" t="s">
        <v>317</v>
      </c>
      <c r="L20" s="18">
        <v>300000</v>
      </c>
    </row>
    <row r="21" spans="1:12">
      <c r="A21" s="49">
        <v>45549</v>
      </c>
      <c r="B21" s="50">
        <v>6800000</v>
      </c>
      <c r="C21" s="50">
        <v>1450000</v>
      </c>
      <c r="D21" s="54">
        <f t="shared" si="4"/>
        <v>8250000</v>
      </c>
      <c r="E21" s="56">
        <v>1360000</v>
      </c>
      <c r="F21" s="50">
        <f t="shared" si="2"/>
        <v>6890000</v>
      </c>
      <c r="G21" s="58">
        <f t="shared" si="3"/>
        <v>90000</v>
      </c>
      <c r="H21" s="24"/>
      <c r="I21" s="31"/>
      <c r="J21" s="32">
        <v>45549</v>
      </c>
      <c r="K21" s="23" t="s">
        <v>318</v>
      </c>
      <c r="L21" s="18">
        <v>500000</v>
      </c>
    </row>
    <row r="22" spans="1:12">
      <c r="A22" s="70">
        <v>45550</v>
      </c>
      <c r="B22" s="71"/>
      <c r="C22" s="71"/>
      <c r="D22" s="71"/>
      <c r="E22" s="71"/>
      <c r="F22" s="71"/>
      <c r="G22" s="71"/>
      <c r="H22" s="51"/>
      <c r="I22" s="29"/>
      <c r="J22" s="27">
        <v>45549</v>
      </c>
      <c r="K22" s="30" t="s">
        <v>319</v>
      </c>
      <c r="L22" s="18">
        <v>650000</v>
      </c>
    </row>
    <row r="23" spans="1:12">
      <c r="A23" s="12">
        <v>45551</v>
      </c>
      <c r="B23" s="13">
        <v>2100000</v>
      </c>
      <c r="C23" s="13">
        <v>2350000</v>
      </c>
      <c r="D23" s="54">
        <f>B23+C23</f>
        <v>4450000</v>
      </c>
      <c r="E23" s="56">
        <v>1440000</v>
      </c>
      <c r="F23" s="13">
        <f t="shared" ref="F23:F31" si="5">D23-E23</f>
        <v>3010000</v>
      </c>
      <c r="G23" s="58">
        <f t="shared" ref="G23:G31" si="6">C23-E23</f>
        <v>910000</v>
      </c>
      <c r="H23" s="14"/>
      <c r="I23" s="29"/>
      <c r="J23" s="27">
        <v>45551</v>
      </c>
      <c r="K23" s="30" t="s">
        <v>320</v>
      </c>
      <c r="L23" s="18">
        <v>130000</v>
      </c>
    </row>
    <row r="24" spans="1:12">
      <c r="A24" s="12">
        <v>45552</v>
      </c>
      <c r="B24" s="13">
        <v>7200000</v>
      </c>
      <c r="C24" s="13"/>
      <c r="D24" s="54">
        <v>7200000</v>
      </c>
      <c r="E24" s="56">
        <v>1235000</v>
      </c>
      <c r="F24" s="13">
        <f t="shared" si="5"/>
        <v>5965000</v>
      </c>
      <c r="G24" s="58">
        <f t="shared" si="6"/>
        <v>-1235000</v>
      </c>
      <c r="H24" s="14"/>
      <c r="I24" s="31"/>
      <c r="J24" s="27">
        <v>45552</v>
      </c>
      <c r="K24" s="30" t="s">
        <v>321</v>
      </c>
      <c r="L24" s="18">
        <v>1000000</v>
      </c>
    </row>
    <row r="25" spans="1:12">
      <c r="A25" s="12">
        <v>45553</v>
      </c>
      <c r="B25" s="13">
        <v>800000</v>
      </c>
      <c r="C25" s="13">
        <v>50000</v>
      </c>
      <c r="D25" s="54">
        <f t="shared" ref="D25:D31" si="7">B25+C25</f>
        <v>850000</v>
      </c>
      <c r="E25" s="56">
        <v>1345000</v>
      </c>
      <c r="F25" s="13">
        <f t="shared" si="5"/>
        <v>-495000</v>
      </c>
      <c r="G25" s="58">
        <f t="shared" si="6"/>
        <v>-1295000</v>
      </c>
      <c r="H25" s="14"/>
      <c r="I25" s="31"/>
      <c r="J25" s="27">
        <v>45554</v>
      </c>
      <c r="K25" s="30" t="s">
        <v>221</v>
      </c>
      <c r="L25" s="18">
        <v>500000</v>
      </c>
    </row>
    <row r="26" spans="1:12">
      <c r="A26" s="12">
        <v>45554</v>
      </c>
      <c r="B26" s="13">
        <v>5750000</v>
      </c>
      <c r="C26" s="13">
        <v>2015000</v>
      </c>
      <c r="D26" s="54">
        <f t="shared" si="7"/>
        <v>7765000</v>
      </c>
      <c r="E26" s="56">
        <v>1615000</v>
      </c>
      <c r="F26" s="13">
        <f t="shared" si="5"/>
        <v>6150000</v>
      </c>
      <c r="G26" s="58">
        <f t="shared" si="6"/>
        <v>400000</v>
      </c>
      <c r="H26" s="14"/>
      <c r="I26" s="29"/>
      <c r="J26" s="27">
        <v>45554</v>
      </c>
      <c r="K26" s="30" t="s">
        <v>322</v>
      </c>
      <c r="L26" s="18">
        <v>125000</v>
      </c>
    </row>
    <row r="27" spans="1:12">
      <c r="A27" s="12">
        <v>45555</v>
      </c>
      <c r="B27" s="13">
        <v>2000000</v>
      </c>
      <c r="C27" s="13">
        <v>1475000</v>
      </c>
      <c r="D27" s="54">
        <f t="shared" si="7"/>
        <v>3475000</v>
      </c>
      <c r="E27" s="56">
        <v>2140000</v>
      </c>
      <c r="F27" s="13">
        <f t="shared" si="5"/>
        <v>1335000</v>
      </c>
      <c r="G27" s="58">
        <f t="shared" si="6"/>
        <v>-665000</v>
      </c>
      <c r="H27" s="33"/>
      <c r="I27" s="29"/>
      <c r="J27" s="27">
        <v>45554</v>
      </c>
      <c r="K27" s="30" t="s">
        <v>323</v>
      </c>
      <c r="L27" s="18">
        <v>595000</v>
      </c>
    </row>
    <row r="28" spans="1:12">
      <c r="A28" s="12">
        <v>45556</v>
      </c>
      <c r="B28" s="13">
        <v>7250000</v>
      </c>
      <c r="C28" s="13">
        <v>2900000</v>
      </c>
      <c r="D28" s="54">
        <f t="shared" si="7"/>
        <v>10150000</v>
      </c>
      <c r="E28" s="56">
        <v>2470000</v>
      </c>
      <c r="F28" s="13">
        <f t="shared" si="5"/>
        <v>7680000</v>
      </c>
      <c r="G28" s="58">
        <f t="shared" si="6"/>
        <v>430000</v>
      </c>
      <c r="H28" s="14"/>
      <c r="I28" s="29"/>
      <c r="J28" s="27">
        <v>45554</v>
      </c>
      <c r="K28" s="30" t="s">
        <v>34</v>
      </c>
      <c r="L28" s="18">
        <v>500000</v>
      </c>
    </row>
    <row r="29" spans="1:12">
      <c r="A29" s="12">
        <v>45558</v>
      </c>
      <c r="B29" s="13">
        <v>450000</v>
      </c>
      <c r="C29" s="13">
        <v>5050000</v>
      </c>
      <c r="D29" s="54">
        <f t="shared" si="7"/>
        <v>5500000</v>
      </c>
      <c r="E29" s="56">
        <v>2350000</v>
      </c>
      <c r="F29" s="13">
        <f t="shared" si="5"/>
        <v>3150000</v>
      </c>
      <c r="G29" s="58">
        <f t="shared" si="6"/>
        <v>2700000</v>
      </c>
      <c r="H29" s="14"/>
      <c r="I29" s="29"/>
      <c r="J29" s="27">
        <v>45556</v>
      </c>
      <c r="K29" s="30" t="s">
        <v>324</v>
      </c>
      <c r="L29" s="18">
        <v>1000000</v>
      </c>
    </row>
    <row r="30" spans="1:12">
      <c r="A30" s="12">
        <v>45559</v>
      </c>
      <c r="B30" s="13">
        <v>3600000</v>
      </c>
      <c r="C30" s="13">
        <v>750000</v>
      </c>
      <c r="D30" s="54">
        <f t="shared" si="7"/>
        <v>4350000</v>
      </c>
      <c r="E30" s="56">
        <v>1550000</v>
      </c>
      <c r="F30" s="13">
        <f t="shared" si="5"/>
        <v>2800000</v>
      </c>
      <c r="G30" s="58">
        <f t="shared" si="6"/>
        <v>-800000</v>
      </c>
      <c r="H30" s="14"/>
      <c r="I30" s="29"/>
      <c r="J30" s="27">
        <v>45556</v>
      </c>
      <c r="K30" s="30" t="s">
        <v>325</v>
      </c>
      <c r="L30" s="18">
        <v>500000</v>
      </c>
    </row>
    <row r="31" spans="1:12">
      <c r="A31" s="12">
        <v>45560</v>
      </c>
      <c r="B31" s="13">
        <v>7820000</v>
      </c>
      <c r="C31" s="13">
        <v>300000</v>
      </c>
      <c r="D31" s="54">
        <f t="shared" si="7"/>
        <v>8120000</v>
      </c>
      <c r="E31" s="56">
        <v>2370000</v>
      </c>
      <c r="F31" s="13">
        <f t="shared" si="5"/>
        <v>5750000</v>
      </c>
      <c r="G31" s="58">
        <f t="shared" si="6"/>
        <v>-2070000</v>
      </c>
      <c r="H31" s="14"/>
      <c r="I31" s="29"/>
      <c r="J31" s="27">
        <v>45556</v>
      </c>
      <c r="K31" s="30" t="s">
        <v>326</v>
      </c>
      <c r="L31" s="18">
        <v>1000000</v>
      </c>
    </row>
    <row r="32" spans="1:12">
      <c r="A32" s="12">
        <v>45561</v>
      </c>
      <c r="B32" s="13">
        <v>1350000</v>
      </c>
      <c r="C32" s="13"/>
      <c r="D32" s="54">
        <v>1350000</v>
      </c>
      <c r="E32" s="56">
        <v>1420000</v>
      </c>
      <c r="F32" s="13">
        <f>D32-E32</f>
        <v>-70000</v>
      </c>
      <c r="G32" s="58">
        <f>C32-E32</f>
        <v>-1420000</v>
      </c>
      <c r="H32" s="14"/>
      <c r="I32" s="29"/>
      <c r="J32" s="27">
        <v>45557</v>
      </c>
      <c r="K32" s="30" t="s">
        <v>327</v>
      </c>
      <c r="L32" s="18">
        <v>300000</v>
      </c>
    </row>
    <row r="33" spans="1:12">
      <c r="A33" s="12">
        <v>45562</v>
      </c>
      <c r="B33" s="13"/>
      <c r="C33" s="13">
        <v>300000</v>
      </c>
      <c r="D33" s="54">
        <v>300000</v>
      </c>
      <c r="E33" s="56">
        <v>1490000</v>
      </c>
      <c r="F33" s="13">
        <f>D33-E33</f>
        <v>-1190000</v>
      </c>
      <c r="G33" s="58">
        <f>C33-E33</f>
        <v>-1190000</v>
      </c>
      <c r="H33" s="14"/>
      <c r="I33" s="29"/>
      <c r="J33" s="27">
        <v>45559</v>
      </c>
      <c r="K33" s="30" t="s">
        <v>328</v>
      </c>
      <c r="L33" s="18">
        <v>500000</v>
      </c>
    </row>
    <row r="34" spans="1:12">
      <c r="A34" s="12">
        <v>45563</v>
      </c>
      <c r="B34" s="13">
        <v>2150000</v>
      </c>
      <c r="C34" s="13">
        <v>750000</v>
      </c>
      <c r="D34" s="54">
        <f>B34+C34</f>
        <v>2900000</v>
      </c>
      <c r="E34" s="56">
        <v>1115000</v>
      </c>
      <c r="F34" s="13">
        <f>D34-E34</f>
        <v>1785000</v>
      </c>
      <c r="G34" s="58">
        <f>C34-E34</f>
        <v>-365000</v>
      </c>
      <c r="H34" s="14"/>
      <c r="I34" s="29"/>
      <c r="J34" s="27">
        <v>45559</v>
      </c>
      <c r="K34" s="30" t="s">
        <v>329</v>
      </c>
      <c r="L34" s="18">
        <v>150000</v>
      </c>
    </row>
    <row r="35" spans="1:12">
      <c r="A35" s="12">
        <v>45564</v>
      </c>
      <c r="B35" s="13">
        <v>2100000</v>
      </c>
      <c r="C35" s="13"/>
      <c r="D35" s="54">
        <v>2100000</v>
      </c>
      <c r="E35" s="56">
        <v>765000</v>
      </c>
      <c r="F35" s="13">
        <f>D35-E35</f>
        <v>1335000</v>
      </c>
      <c r="G35" s="58">
        <f>C35-E35</f>
        <v>-765000</v>
      </c>
      <c r="H35" s="14"/>
      <c r="I35" s="29"/>
      <c r="J35" s="27">
        <v>45559</v>
      </c>
      <c r="K35" s="30" t="s">
        <v>65</v>
      </c>
      <c r="L35" s="18">
        <v>500000</v>
      </c>
    </row>
    <row r="36" spans="1:12">
      <c r="A36" s="12">
        <v>45565</v>
      </c>
      <c r="B36" s="13">
        <v>3500000</v>
      </c>
      <c r="C36" s="13">
        <v>5775000</v>
      </c>
      <c r="D36" s="54">
        <f>B36+C36</f>
        <v>9275000</v>
      </c>
      <c r="E36" s="56">
        <v>2830000</v>
      </c>
      <c r="F36" s="13">
        <f>D36-E36</f>
        <v>6445000</v>
      </c>
      <c r="G36" s="58">
        <f>C36-E36</f>
        <v>2945000</v>
      </c>
      <c r="H36" s="14"/>
      <c r="I36" s="29"/>
      <c r="J36" s="27">
        <v>45560</v>
      </c>
      <c r="K36" s="30" t="s">
        <v>330</v>
      </c>
      <c r="L36" s="18">
        <v>1000000</v>
      </c>
    </row>
    <row r="37" spans="1:12">
      <c r="A37" s="12"/>
      <c r="B37" s="13"/>
      <c r="C37" s="13"/>
      <c r="D37" s="54"/>
      <c r="E37" s="56"/>
      <c r="F37" s="13"/>
      <c r="G37" s="58"/>
      <c r="H37" s="14"/>
      <c r="I37" s="29"/>
      <c r="J37" s="27">
        <v>45560</v>
      </c>
      <c r="K37" s="30" t="s">
        <v>331</v>
      </c>
      <c r="L37" s="18">
        <v>900000</v>
      </c>
    </row>
    <row r="38" spans="1:12">
      <c r="A38" s="12"/>
      <c r="B38" s="13"/>
      <c r="C38" s="13"/>
      <c r="D38" s="54"/>
      <c r="E38" s="56"/>
      <c r="F38" s="13"/>
      <c r="G38" s="58"/>
      <c r="H38" s="14"/>
      <c r="I38" s="29"/>
      <c r="J38" s="27">
        <v>45561</v>
      </c>
      <c r="K38" s="30" t="s">
        <v>105</v>
      </c>
      <c r="L38" s="18">
        <v>1000000</v>
      </c>
    </row>
    <row r="39" spans="1:12">
      <c r="A39" s="12"/>
      <c r="B39" s="13"/>
      <c r="C39" s="13"/>
      <c r="D39" s="54"/>
      <c r="E39" s="56"/>
      <c r="F39" s="13"/>
      <c r="G39" s="58"/>
      <c r="H39" s="14"/>
      <c r="I39" s="29"/>
      <c r="J39" s="27">
        <v>45561</v>
      </c>
      <c r="K39" s="30" t="s">
        <v>332</v>
      </c>
      <c r="L39" s="18">
        <v>10000000</v>
      </c>
    </row>
    <row r="40" spans="1:12">
      <c r="A40" s="12"/>
      <c r="B40" s="13"/>
      <c r="C40" s="13"/>
      <c r="D40" s="54"/>
      <c r="E40" s="56"/>
      <c r="F40" s="13"/>
      <c r="G40" s="58"/>
      <c r="H40" s="14"/>
      <c r="I40" s="29"/>
      <c r="J40" s="27">
        <v>45561</v>
      </c>
      <c r="K40" s="30" t="s">
        <v>245</v>
      </c>
      <c r="L40" s="18">
        <v>45650000</v>
      </c>
    </row>
    <row r="41" spans="1:12">
      <c r="A41" s="12"/>
      <c r="B41" s="13"/>
      <c r="C41" s="13"/>
      <c r="D41" s="54"/>
      <c r="E41" s="56"/>
      <c r="F41" s="13"/>
      <c r="G41" s="58"/>
      <c r="H41" s="14"/>
      <c r="I41" s="29"/>
      <c r="J41" s="27">
        <v>45562</v>
      </c>
      <c r="K41" s="30" t="s">
        <v>333</v>
      </c>
      <c r="L41" s="18">
        <v>10000000</v>
      </c>
    </row>
    <row r="42" spans="1:12">
      <c r="A42" s="12"/>
      <c r="B42" s="13"/>
      <c r="C42" s="13"/>
      <c r="D42" s="54"/>
      <c r="E42" s="56"/>
      <c r="F42" s="13"/>
      <c r="G42" s="58"/>
      <c r="H42" s="14"/>
      <c r="I42" s="29"/>
      <c r="J42" s="27">
        <v>45565</v>
      </c>
      <c r="K42" s="30" t="s">
        <v>34</v>
      </c>
      <c r="L42" s="18">
        <v>500000</v>
      </c>
    </row>
    <row r="43" spans="1:12">
      <c r="A43" s="12"/>
      <c r="B43" s="13"/>
      <c r="C43" s="13"/>
      <c r="D43" s="54"/>
      <c r="E43" s="56"/>
      <c r="F43" s="13"/>
      <c r="G43" s="58"/>
      <c r="H43" s="14"/>
      <c r="I43" s="29"/>
      <c r="J43" s="27">
        <v>45565</v>
      </c>
      <c r="K43" s="30" t="s">
        <v>192</v>
      </c>
      <c r="L43" s="18">
        <v>1550000</v>
      </c>
    </row>
    <row r="44" spans="1:12">
      <c r="A44" s="12"/>
      <c r="B44" s="13"/>
      <c r="C44" s="13"/>
      <c r="D44" s="54"/>
      <c r="E44" s="56"/>
      <c r="F44" s="13"/>
      <c r="G44" s="58"/>
      <c r="H44" s="14"/>
      <c r="I44" s="29"/>
      <c r="J44" s="27">
        <v>45565</v>
      </c>
      <c r="K44" s="30" t="s">
        <v>334</v>
      </c>
      <c r="L44" s="18">
        <v>1000000</v>
      </c>
    </row>
    <row r="45" spans="1:12">
      <c r="A45" s="12"/>
      <c r="B45" s="13"/>
      <c r="C45" s="13"/>
      <c r="D45" s="54"/>
      <c r="E45" s="56"/>
      <c r="F45" s="13"/>
      <c r="G45" s="58"/>
      <c r="H45" s="14"/>
      <c r="I45" s="29"/>
      <c r="J45" s="27">
        <v>45565</v>
      </c>
      <c r="K45" s="30" t="s">
        <v>335</v>
      </c>
      <c r="L45" s="18">
        <v>6250000</v>
      </c>
    </row>
    <row r="46" spans="1:12">
      <c r="A46" s="49"/>
      <c r="B46" s="50"/>
      <c r="C46" s="50"/>
      <c r="D46" s="54"/>
      <c r="E46" s="56"/>
      <c r="F46" s="50"/>
      <c r="G46" s="58"/>
      <c r="H46" s="51"/>
      <c r="I46" s="29"/>
      <c r="J46" s="27">
        <v>45565</v>
      </c>
      <c r="K46" s="30" t="s">
        <v>336</v>
      </c>
      <c r="L46" s="18">
        <v>550000</v>
      </c>
    </row>
    <row r="47" spans="1:12">
      <c r="A47" s="12"/>
      <c r="B47" s="13"/>
      <c r="C47" s="13"/>
      <c r="D47" s="54"/>
      <c r="E47" s="56"/>
      <c r="F47" s="13"/>
      <c r="G47" s="58"/>
      <c r="H47" s="14"/>
      <c r="I47" s="29"/>
      <c r="J47" s="27"/>
      <c r="K47" s="30"/>
      <c r="L47" s="18"/>
    </row>
    <row r="48" spans="1:12">
      <c r="A48" s="12"/>
      <c r="B48" s="13"/>
      <c r="C48" s="13"/>
      <c r="D48" s="54"/>
      <c r="E48" s="56"/>
      <c r="F48" s="13"/>
      <c r="G48" s="58"/>
      <c r="H48" s="14"/>
      <c r="I48" s="29"/>
      <c r="J48" s="34"/>
      <c r="K48" s="23"/>
      <c r="L48" s="62">
        <f>SUM(L8:L47)</f>
        <v>98415000</v>
      </c>
    </row>
    <row r="49" spans="1:12">
      <c r="A49" s="12"/>
      <c r="B49" s="13"/>
      <c r="C49" s="13"/>
      <c r="D49" s="54"/>
      <c r="E49" s="56"/>
      <c r="F49" s="13"/>
      <c r="G49" s="58"/>
      <c r="H49" s="14"/>
      <c r="I49" s="29"/>
      <c r="J49" s="28"/>
      <c r="K49" s="1"/>
      <c r="L49" s="1"/>
    </row>
    <row r="50" spans="1:12" ht="15.75">
      <c r="A50" s="12"/>
      <c r="B50" s="13"/>
      <c r="C50" s="13"/>
      <c r="D50" s="54"/>
      <c r="E50" s="56"/>
      <c r="F50" s="13"/>
      <c r="G50" s="58"/>
      <c r="H50" s="14"/>
      <c r="I50" s="29"/>
      <c r="J50" s="35" t="s">
        <v>11</v>
      </c>
      <c r="K50" s="36" t="s">
        <v>12</v>
      </c>
      <c r="L50" s="60">
        <f>B58+C58</f>
        <v>164630000</v>
      </c>
    </row>
    <row r="51" spans="1:12" ht="15.75">
      <c r="A51" s="12"/>
      <c r="B51" s="13"/>
      <c r="C51" s="13"/>
      <c r="D51" s="54"/>
      <c r="E51" s="56"/>
      <c r="F51" s="13"/>
      <c r="G51" s="58"/>
      <c r="H51" s="14"/>
      <c r="I51" s="38"/>
      <c r="J51" s="39"/>
      <c r="K51" s="40" t="s">
        <v>13</v>
      </c>
      <c r="L51" s="61">
        <v>51805000</v>
      </c>
    </row>
    <row r="52" spans="1:12" ht="15.75">
      <c r="A52" s="12"/>
      <c r="B52" s="13"/>
      <c r="C52" s="13"/>
      <c r="D52" s="54"/>
      <c r="E52" s="56"/>
      <c r="F52" s="13"/>
      <c r="G52" s="58"/>
      <c r="H52" s="14"/>
      <c r="I52" s="29"/>
      <c r="J52" s="39"/>
      <c r="K52" s="40" t="s">
        <v>14</v>
      </c>
      <c r="L52" s="61">
        <v>98415000</v>
      </c>
    </row>
    <row r="53" spans="1:12" ht="15.75">
      <c r="A53" s="12"/>
      <c r="B53" s="13"/>
      <c r="C53" s="13"/>
      <c r="D53" s="54"/>
      <c r="E53" s="56"/>
      <c r="F53" s="13"/>
      <c r="G53" s="58"/>
      <c r="H53" s="14"/>
      <c r="I53" s="29"/>
      <c r="J53" s="39"/>
      <c r="K53" s="40"/>
      <c r="L53" s="61"/>
    </row>
    <row r="54" spans="1:12" ht="15.75">
      <c r="A54" s="49"/>
      <c r="B54" s="50"/>
      <c r="C54" s="50"/>
      <c r="D54" s="54"/>
      <c r="E54" s="56"/>
      <c r="F54" s="50"/>
      <c r="G54" s="58"/>
      <c r="H54" s="51"/>
      <c r="I54" s="29"/>
      <c r="J54" s="39"/>
      <c r="K54" s="40" t="s">
        <v>15</v>
      </c>
      <c r="L54" s="41">
        <f>L51+L52</f>
        <v>150220000</v>
      </c>
    </row>
    <row r="55" spans="1:12" ht="15.75">
      <c r="A55" s="12"/>
      <c r="B55" s="13"/>
      <c r="C55" s="13"/>
      <c r="D55" s="54"/>
      <c r="E55" s="56"/>
      <c r="F55" s="13"/>
      <c r="G55" s="58"/>
      <c r="H55" s="14"/>
      <c r="I55" s="29"/>
      <c r="J55" s="39"/>
      <c r="K55" s="42"/>
      <c r="L55" s="37"/>
    </row>
    <row r="56" spans="1:12" ht="18">
      <c r="A56" s="12"/>
      <c r="B56" s="13"/>
      <c r="C56" s="13"/>
      <c r="D56" s="54"/>
      <c r="E56" s="56"/>
      <c r="F56" s="13"/>
      <c r="G56" s="58"/>
      <c r="H56" s="14"/>
      <c r="I56" s="29"/>
      <c r="J56" s="80" t="s">
        <v>305</v>
      </c>
      <c r="K56" s="80"/>
      <c r="L56" s="43">
        <f>L50-L54</f>
        <v>14410000</v>
      </c>
    </row>
    <row r="57" spans="1:12">
      <c r="A57" s="12"/>
      <c r="B57" s="13"/>
      <c r="C57" s="13"/>
      <c r="D57" s="54"/>
      <c r="E57" s="56"/>
      <c r="F57" s="13"/>
      <c r="G57" s="58"/>
      <c r="H57" s="14"/>
      <c r="I57" s="1"/>
      <c r="J57" s="29"/>
      <c r="K57" s="29"/>
      <c r="L57" s="1"/>
    </row>
    <row r="58" spans="1:12">
      <c r="A58" s="12"/>
      <c r="B58" s="44">
        <f t="shared" ref="B58:G58" si="8">SUM(B8:B57)</f>
        <v>121320000</v>
      </c>
      <c r="C58" s="44">
        <f t="shared" si="8"/>
        <v>43310000</v>
      </c>
      <c r="D58" s="55">
        <f t="shared" si="8"/>
        <v>164630000</v>
      </c>
      <c r="E58" s="57">
        <f t="shared" si="8"/>
        <v>51805000</v>
      </c>
      <c r="F58" s="53">
        <f t="shared" si="8"/>
        <v>112825000</v>
      </c>
      <c r="G58" s="59">
        <f t="shared" si="8"/>
        <v>-8495000</v>
      </c>
      <c r="H58" s="29"/>
      <c r="I58" s="1"/>
      <c r="J58" s="1"/>
      <c r="K58" s="1"/>
      <c r="L58" s="1"/>
    </row>
  </sheetData>
  <mergeCells count="8">
    <mergeCell ref="G5:G6"/>
    <mergeCell ref="J56:K56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3:L63"/>
  <sheetViews>
    <sheetView topLeftCell="A31" zoomScale="90" zoomScaleNormal="90" workbookViewId="0">
      <selection activeCell="F42" sqref="F42"/>
    </sheetView>
  </sheetViews>
  <sheetFormatPr defaultRowHeight="15"/>
  <cols>
    <col min="1" max="1" width="7.28515625" customWidth="1"/>
    <col min="2" max="2" width="16.7109375" customWidth="1"/>
    <col min="3" max="3" width="15.5703125" customWidth="1"/>
    <col min="4" max="4" width="15.28515625" customWidth="1"/>
    <col min="5" max="5" width="15.85546875" customWidth="1"/>
    <col min="6" max="6" width="16.140625" customWidth="1"/>
    <col min="7" max="7" width="15.140625" customWidth="1"/>
    <col min="10" max="10" width="7.85546875" customWidth="1"/>
    <col min="11" max="11" width="47.85546875" customWidth="1"/>
    <col min="12" max="12" width="19.5703125" customWidth="1"/>
  </cols>
  <sheetData>
    <row r="3" spans="1:12">
      <c r="A3" s="81" t="s">
        <v>337</v>
      </c>
      <c r="B3" s="82"/>
      <c r="C3" s="82"/>
      <c r="D3" s="82"/>
      <c r="E3" s="82"/>
      <c r="F3" s="1"/>
      <c r="G3" s="1"/>
      <c r="H3" s="1"/>
      <c r="I3" s="1"/>
      <c r="J3" s="1"/>
      <c r="K3" s="1"/>
      <c r="L3" s="1"/>
    </row>
    <row r="4" spans="1:12">
      <c r="A4" s="83"/>
      <c r="B4" s="83"/>
      <c r="C4" s="83"/>
      <c r="D4" s="83"/>
      <c r="E4" s="83"/>
      <c r="F4" s="1"/>
      <c r="G4" s="1"/>
      <c r="H4" s="1"/>
      <c r="I4" s="1"/>
      <c r="J4" s="1"/>
      <c r="K4" s="1"/>
      <c r="L4" s="1"/>
    </row>
    <row r="5" spans="1:12" ht="15.75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2"/>
      <c r="I5" s="3"/>
      <c r="J5" s="4" t="s">
        <v>6</v>
      </c>
      <c r="K5" s="5"/>
      <c r="L5" s="6"/>
    </row>
    <row r="6" spans="1:12" ht="15.75">
      <c r="A6" s="85"/>
      <c r="B6" s="7" t="s">
        <v>7</v>
      </c>
      <c r="C6" s="72" t="s">
        <v>8</v>
      </c>
      <c r="D6" s="89"/>
      <c r="E6" s="79"/>
      <c r="F6" s="89"/>
      <c r="G6" s="79"/>
      <c r="H6" s="2"/>
      <c r="I6" s="3"/>
      <c r="J6" s="9" t="s">
        <v>0</v>
      </c>
      <c r="K6" s="10" t="s">
        <v>9</v>
      </c>
      <c r="L6" s="11" t="s">
        <v>10</v>
      </c>
    </row>
    <row r="7" spans="1:12">
      <c r="A7" s="49"/>
      <c r="B7" s="64"/>
      <c r="C7" s="64"/>
      <c r="D7" s="66"/>
      <c r="E7" s="65"/>
      <c r="F7" s="64"/>
      <c r="G7" s="67"/>
      <c r="H7" s="51"/>
      <c r="I7" s="6"/>
      <c r="J7" s="12"/>
      <c r="K7" s="15"/>
      <c r="L7" s="16"/>
    </row>
    <row r="8" spans="1:12">
      <c r="A8" s="49" t="s">
        <v>339</v>
      </c>
      <c r="B8" s="50">
        <v>9750000</v>
      </c>
      <c r="C8" s="50"/>
      <c r="D8" s="54">
        <v>9750000</v>
      </c>
      <c r="E8" s="56">
        <v>1335000</v>
      </c>
      <c r="F8" s="50">
        <f>D8-E8</f>
        <v>8415000</v>
      </c>
      <c r="G8" s="58">
        <f t="shared" ref="G8:G9" si="0">C8-E8</f>
        <v>-1335000</v>
      </c>
      <c r="H8" s="51"/>
      <c r="I8" s="6"/>
      <c r="J8" s="68" t="s">
        <v>340</v>
      </c>
      <c r="K8" s="63" t="s">
        <v>341</v>
      </c>
      <c r="L8" s="18">
        <v>800000</v>
      </c>
    </row>
    <row r="9" spans="1:12">
      <c r="A9" s="12" t="s">
        <v>340</v>
      </c>
      <c r="B9" s="13">
        <v>1500000</v>
      </c>
      <c r="C9" s="13">
        <v>5125000</v>
      </c>
      <c r="D9" s="54">
        <f>B9+C9</f>
        <v>6625000</v>
      </c>
      <c r="E9" s="56">
        <v>2585000</v>
      </c>
      <c r="F9" s="13">
        <f>D9-E9</f>
        <v>4040000</v>
      </c>
      <c r="G9" s="58">
        <f t="shared" si="0"/>
        <v>2540000</v>
      </c>
      <c r="H9" s="14"/>
      <c r="I9" s="19"/>
      <c r="J9" s="68" t="s">
        <v>340</v>
      </c>
      <c r="K9" s="63" t="s">
        <v>342</v>
      </c>
      <c r="L9" s="18">
        <v>1175000</v>
      </c>
    </row>
    <row r="10" spans="1:12">
      <c r="A10" s="12" t="s">
        <v>345</v>
      </c>
      <c r="B10" s="13">
        <v>3600000</v>
      </c>
      <c r="C10" s="13">
        <v>1000000</v>
      </c>
      <c r="D10" s="54">
        <f>B10+C10</f>
        <v>4600000</v>
      </c>
      <c r="E10" s="56">
        <v>1080000</v>
      </c>
      <c r="F10" s="13">
        <f>D10-E10</f>
        <v>3520000</v>
      </c>
      <c r="G10" s="58">
        <f>C10-E10</f>
        <v>-80000</v>
      </c>
      <c r="H10" s="14"/>
      <c r="I10" s="6"/>
      <c r="J10" s="20" t="s">
        <v>343</v>
      </c>
      <c r="K10" s="21" t="s">
        <v>344</v>
      </c>
      <c r="L10" s="18">
        <v>550000</v>
      </c>
    </row>
    <row r="11" spans="1:12">
      <c r="A11" s="12" t="s">
        <v>347</v>
      </c>
      <c r="B11" s="13">
        <v>425000</v>
      </c>
      <c r="C11" s="13">
        <v>900000</v>
      </c>
      <c r="D11" s="54">
        <f>B11+C11</f>
        <v>1325000</v>
      </c>
      <c r="E11" s="56">
        <v>1745000</v>
      </c>
      <c r="F11" s="50">
        <f>D11-E11</f>
        <v>-420000</v>
      </c>
      <c r="G11" s="58">
        <f t="shared" ref="G11:G19" si="1">B11-F11</f>
        <v>845000</v>
      </c>
      <c r="H11" s="14"/>
      <c r="I11" s="22"/>
      <c r="J11" s="20" t="s">
        <v>345</v>
      </c>
      <c r="K11" s="46" t="s">
        <v>346</v>
      </c>
      <c r="L11" s="18">
        <v>250000</v>
      </c>
    </row>
    <row r="12" spans="1:12">
      <c r="A12" s="12" t="s">
        <v>350</v>
      </c>
      <c r="B12" s="13">
        <v>6100000</v>
      </c>
      <c r="C12" s="13">
        <v>475000</v>
      </c>
      <c r="D12" s="54">
        <v>6575000</v>
      </c>
      <c r="E12" s="56">
        <v>1591000</v>
      </c>
      <c r="F12" s="50">
        <v>4984000</v>
      </c>
      <c r="G12" s="58">
        <f t="shared" si="1"/>
        <v>1116000</v>
      </c>
      <c r="H12" s="14"/>
      <c r="I12" s="22"/>
      <c r="J12" s="12" t="s">
        <v>347</v>
      </c>
      <c r="K12" s="63" t="s">
        <v>348</v>
      </c>
      <c r="L12" s="18">
        <v>1350000</v>
      </c>
    </row>
    <row r="13" spans="1:12">
      <c r="A13" s="12" t="s">
        <v>352</v>
      </c>
      <c r="B13" s="13">
        <v>1500000</v>
      </c>
      <c r="C13" s="50">
        <v>1700000</v>
      </c>
      <c r="D13" s="54">
        <v>3200000</v>
      </c>
      <c r="E13" s="56">
        <v>730000</v>
      </c>
      <c r="F13" s="13">
        <v>2470000</v>
      </c>
      <c r="G13" s="58">
        <f t="shared" si="1"/>
        <v>-970000</v>
      </c>
      <c r="H13" s="14"/>
      <c r="I13" s="6"/>
      <c r="J13" s="12" t="s">
        <v>347</v>
      </c>
      <c r="K13" s="21" t="s">
        <v>349</v>
      </c>
      <c r="L13" s="18">
        <v>1050000</v>
      </c>
    </row>
    <row r="14" spans="1:12">
      <c r="A14" s="12" t="s">
        <v>353</v>
      </c>
      <c r="B14" s="13">
        <v>4385000</v>
      </c>
      <c r="C14" s="13"/>
      <c r="D14" s="54">
        <v>4385000</v>
      </c>
      <c r="E14" s="56">
        <v>1231000</v>
      </c>
      <c r="F14" s="13">
        <v>3154000</v>
      </c>
      <c r="G14" s="58">
        <f t="shared" si="1"/>
        <v>1231000</v>
      </c>
      <c r="H14" s="14"/>
      <c r="I14" s="6"/>
      <c r="J14" s="12" t="s">
        <v>350</v>
      </c>
      <c r="K14" s="15" t="s">
        <v>351</v>
      </c>
      <c r="L14" s="18">
        <v>592000</v>
      </c>
    </row>
    <row r="15" spans="1:12">
      <c r="A15" s="49" t="s">
        <v>354</v>
      </c>
      <c r="B15" s="50">
        <v>2950000</v>
      </c>
      <c r="C15" s="50">
        <v>2200000</v>
      </c>
      <c r="D15" s="54">
        <v>5150000</v>
      </c>
      <c r="E15" s="56">
        <v>1329000</v>
      </c>
      <c r="F15" s="50">
        <v>3821000</v>
      </c>
      <c r="G15" s="58">
        <f t="shared" si="1"/>
        <v>-871000</v>
      </c>
      <c r="H15" s="52"/>
      <c r="I15" s="6"/>
      <c r="J15" s="12" t="s">
        <v>354</v>
      </c>
      <c r="K15" s="25" t="s">
        <v>65</v>
      </c>
      <c r="L15" s="18">
        <v>200000</v>
      </c>
    </row>
    <row r="16" spans="1:12">
      <c r="A16" s="12" t="s">
        <v>357</v>
      </c>
      <c r="B16" s="13">
        <v>2250000</v>
      </c>
      <c r="C16" s="13">
        <v>100000</v>
      </c>
      <c r="D16" s="54">
        <v>2350000</v>
      </c>
      <c r="E16" s="56">
        <v>915000</v>
      </c>
      <c r="F16" s="13">
        <v>1435000</v>
      </c>
      <c r="G16" s="58">
        <f t="shared" si="1"/>
        <v>815000</v>
      </c>
      <c r="H16" s="24"/>
      <c r="I16" s="22"/>
      <c r="J16" s="12" t="s">
        <v>354</v>
      </c>
      <c r="K16" s="25" t="s">
        <v>355</v>
      </c>
      <c r="L16" s="18">
        <v>235000</v>
      </c>
    </row>
    <row r="17" spans="1:12">
      <c r="A17" s="12" t="s">
        <v>361</v>
      </c>
      <c r="B17" s="13">
        <v>3150000</v>
      </c>
      <c r="C17" s="13">
        <v>4650000</v>
      </c>
      <c r="D17" s="54">
        <v>7800000</v>
      </c>
      <c r="E17" s="56">
        <v>1191000</v>
      </c>
      <c r="F17" s="13">
        <v>6609000</v>
      </c>
      <c r="G17" s="58">
        <f t="shared" si="1"/>
        <v>-3459000</v>
      </c>
      <c r="H17" s="24"/>
      <c r="I17" s="26"/>
      <c r="J17" s="27" t="s">
        <v>354</v>
      </c>
      <c r="K17" s="47" t="s">
        <v>356</v>
      </c>
      <c r="L17" s="48">
        <v>295000</v>
      </c>
    </row>
    <row r="18" spans="1:12">
      <c r="A18" s="49" t="s">
        <v>362</v>
      </c>
      <c r="B18" s="50">
        <v>16150000</v>
      </c>
      <c r="C18" s="50">
        <v>6150000</v>
      </c>
      <c r="D18" s="54">
        <v>22300000</v>
      </c>
      <c r="E18" s="56">
        <v>2317000</v>
      </c>
      <c r="F18" s="50">
        <v>19983000</v>
      </c>
      <c r="G18" s="58">
        <f t="shared" si="1"/>
        <v>-3833000</v>
      </c>
      <c r="H18" s="24"/>
      <c r="I18" s="26"/>
      <c r="J18" s="12" t="s">
        <v>357</v>
      </c>
      <c r="K18" s="25" t="s">
        <v>358</v>
      </c>
      <c r="L18" s="18">
        <v>1000000</v>
      </c>
    </row>
    <row r="19" spans="1:12">
      <c r="A19" s="12" t="s">
        <v>365</v>
      </c>
      <c r="B19" s="13">
        <v>10050000</v>
      </c>
      <c r="C19" s="13">
        <v>3050000</v>
      </c>
      <c r="D19" s="54">
        <v>13100000</v>
      </c>
      <c r="E19" s="56">
        <v>2307000</v>
      </c>
      <c r="F19" s="13">
        <v>10793000</v>
      </c>
      <c r="G19" s="58">
        <f t="shared" si="1"/>
        <v>-743000</v>
      </c>
      <c r="H19" s="24"/>
      <c r="I19" s="29"/>
      <c r="J19" s="12" t="s">
        <v>359</v>
      </c>
      <c r="K19" s="23" t="s">
        <v>360</v>
      </c>
      <c r="L19" s="18">
        <v>200000</v>
      </c>
    </row>
    <row r="20" spans="1:12">
      <c r="A20" s="70" t="s">
        <v>366</v>
      </c>
      <c r="B20" s="71"/>
      <c r="C20" s="71"/>
      <c r="D20" s="71"/>
      <c r="E20" s="71"/>
      <c r="F20" s="71"/>
      <c r="G20" s="71"/>
      <c r="H20" s="24"/>
      <c r="I20" s="29"/>
      <c r="J20" s="27" t="s">
        <v>362</v>
      </c>
      <c r="K20" s="30" t="s">
        <v>363</v>
      </c>
      <c r="L20" s="18">
        <v>185000</v>
      </c>
    </row>
    <row r="21" spans="1:12">
      <c r="A21" s="49" t="s">
        <v>368</v>
      </c>
      <c r="B21" s="50">
        <v>1800000</v>
      </c>
      <c r="C21" s="50">
        <v>1250000</v>
      </c>
      <c r="D21" s="54">
        <v>3050000</v>
      </c>
      <c r="E21" s="56">
        <v>1015000</v>
      </c>
      <c r="F21" s="50">
        <v>2035000</v>
      </c>
      <c r="G21" s="58">
        <v>235000</v>
      </c>
      <c r="H21" s="24"/>
      <c r="I21" s="31"/>
      <c r="J21" s="32" t="s">
        <v>362</v>
      </c>
      <c r="K21" s="23" t="s">
        <v>364</v>
      </c>
      <c r="L21" s="18">
        <v>300000</v>
      </c>
    </row>
    <row r="22" spans="1:12">
      <c r="A22" s="49" t="s">
        <v>369</v>
      </c>
      <c r="B22" s="50">
        <v>6350000</v>
      </c>
      <c r="C22" s="50">
        <v>2150000</v>
      </c>
      <c r="D22" s="54">
        <v>8500000</v>
      </c>
      <c r="E22" s="56">
        <v>1371000</v>
      </c>
      <c r="F22" s="50">
        <v>7129000</v>
      </c>
      <c r="G22" s="58">
        <v>779000</v>
      </c>
      <c r="H22" s="51"/>
      <c r="I22" s="29"/>
      <c r="J22" s="27" t="s">
        <v>365</v>
      </c>
      <c r="K22" s="30" t="s">
        <v>34</v>
      </c>
      <c r="L22" s="18">
        <v>500000</v>
      </c>
    </row>
    <row r="23" spans="1:12">
      <c r="A23" s="12" t="s">
        <v>372</v>
      </c>
      <c r="B23" s="13">
        <v>6025000</v>
      </c>
      <c r="C23" s="13">
        <v>1000000</v>
      </c>
      <c r="D23" s="54">
        <v>7025000</v>
      </c>
      <c r="E23" s="56">
        <v>996000</v>
      </c>
      <c r="F23" s="13">
        <v>6029000</v>
      </c>
      <c r="G23" s="58">
        <v>4000</v>
      </c>
      <c r="H23" s="14"/>
      <c r="I23" s="29"/>
      <c r="J23" s="27" t="s">
        <v>366</v>
      </c>
      <c r="K23" s="30" t="s">
        <v>367</v>
      </c>
      <c r="L23" s="18">
        <v>1500000</v>
      </c>
    </row>
    <row r="24" spans="1:12">
      <c r="A24" s="12" t="s">
        <v>375</v>
      </c>
      <c r="B24" s="13">
        <v>1000000</v>
      </c>
      <c r="C24" s="13">
        <v>3350000</v>
      </c>
      <c r="D24" s="54">
        <v>4350000</v>
      </c>
      <c r="E24" s="56">
        <v>1439000</v>
      </c>
      <c r="F24" s="13">
        <v>2911000</v>
      </c>
      <c r="G24" s="58">
        <v>1911000</v>
      </c>
      <c r="H24" s="14"/>
      <c r="I24" s="31"/>
      <c r="J24" s="27" t="s">
        <v>368</v>
      </c>
      <c r="K24" s="30" t="s">
        <v>65</v>
      </c>
      <c r="L24" s="18">
        <v>500000</v>
      </c>
    </row>
    <row r="25" spans="1:12">
      <c r="A25" s="12" t="s">
        <v>387</v>
      </c>
      <c r="B25" s="13">
        <v>3350000</v>
      </c>
      <c r="C25" s="13">
        <v>300000</v>
      </c>
      <c r="D25" s="54">
        <v>3650000</v>
      </c>
      <c r="E25" s="56">
        <v>2704000</v>
      </c>
      <c r="F25" s="13">
        <v>946000</v>
      </c>
      <c r="G25" s="58">
        <v>2404000</v>
      </c>
      <c r="H25" s="14"/>
      <c r="I25" s="31"/>
      <c r="J25" s="27" t="s">
        <v>368</v>
      </c>
      <c r="K25" s="30" t="s">
        <v>355</v>
      </c>
      <c r="L25" s="18">
        <v>840000</v>
      </c>
    </row>
    <row r="26" spans="1:12">
      <c r="A26" s="12" t="s">
        <v>377</v>
      </c>
      <c r="B26" s="13">
        <v>3900000</v>
      </c>
      <c r="C26" s="13">
        <v>350000</v>
      </c>
      <c r="D26" s="54">
        <v>4250000</v>
      </c>
      <c r="E26" s="56">
        <v>1669000</v>
      </c>
      <c r="F26" s="13">
        <v>2581000</v>
      </c>
      <c r="G26" s="58">
        <v>1319000</v>
      </c>
      <c r="H26" s="14"/>
      <c r="I26" s="29"/>
      <c r="J26" s="27" t="s">
        <v>368</v>
      </c>
      <c r="K26" s="30" t="s">
        <v>237</v>
      </c>
      <c r="L26" s="18">
        <v>480000</v>
      </c>
    </row>
    <row r="27" spans="1:12">
      <c r="A27" s="12" t="s">
        <v>378</v>
      </c>
      <c r="B27" s="13"/>
      <c r="C27" s="13">
        <v>25000</v>
      </c>
      <c r="D27" s="54">
        <v>25000</v>
      </c>
      <c r="E27" s="56">
        <v>746000</v>
      </c>
      <c r="F27" s="13">
        <v>721000</v>
      </c>
      <c r="G27" s="58">
        <v>696000</v>
      </c>
      <c r="H27" s="33"/>
      <c r="I27" s="29"/>
      <c r="J27" s="27" t="s">
        <v>369</v>
      </c>
      <c r="K27" s="30" t="s">
        <v>370</v>
      </c>
      <c r="L27" s="18">
        <v>1800000</v>
      </c>
    </row>
    <row r="28" spans="1:12">
      <c r="A28" s="12" t="s">
        <v>379</v>
      </c>
      <c r="B28" s="13">
        <v>3100000</v>
      </c>
      <c r="C28" s="13">
        <v>1600000</v>
      </c>
      <c r="D28" s="54">
        <v>4700000</v>
      </c>
      <c r="E28" s="56">
        <v>1263000</v>
      </c>
      <c r="F28" s="13">
        <v>3437000</v>
      </c>
      <c r="G28" s="58">
        <v>337000</v>
      </c>
      <c r="H28" s="14"/>
      <c r="I28" s="29"/>
      <c r="J28" s="27" t="s">
        <v>369</v>
      </c>
      <c r="K28" s="30" t="s">
        <v>371</v>
      </c>
      <c r="L28" s="18">
        <v>1000000</v>
      </c>
    </row>
    <row r="29" spans="1:12">
      <c r="A29" s="12" t="s">
        <v>381</v>
      </c>
      <c r="B29" s="13">
        <v>2000000</v>
      </c>
      <c r="C29" s="13">
        <v>10150000</v>
      </c>
      <c r="D29" s="54">
        <v>12150000</v>
      </c>
      <c r="E29" s="56">
        <v>1171000</v>
      </c>
      <c r="F29" s="13">
        <v>10979000</v>
      </c>
      <c r="G29" s="58">
        <v>8979000</v>
      </c>
      <c r="H29" s="14"/>
      <c r="I29" s="29"/>
      <c r="J29" s="27" t="s">
        <v>372</v>
      </c>
      <c r="K29" s="30" t="s">
        <v>373</v>
      </c>
      <c r="L29" s="18">
        <v>300000</v>
      </c>
    </row>
    <row r="30" spans="1:12">
      <c r="A30" s="12" t="s">
        <v>383</v>
      </c>
      <c r="B30" s="13">
        <v>6600000</v>
      </c>
      <c r="C30" s="13">
        <v>6705000</v>
      </c>
      <c r="D30" s="54">
        <v>13305000</v>
      </c>
      <c r="E30" s="56">
        <v>1184000</v>
      </c>
      <c r="F30" s="13">
        <v>12121000</v>
      </c>
      <c r="G30" s="58">
        <v>5521000</v>
      </c>
      <c r="H30" s="14"/>
      <c r="I30" s="29"/>
      <c r="J30" s="27" t="s">
        <v>372</v>
      </c>
      <c r="K30" s="30" t="s">
        <v>374</v>
      </c>
      <c r="L30" s="18">
        <v>1250000</v>
      </c>
    </row>
    <row r="31" spans="1:12">
      <c r="A31" s="12" t="s">
        <v>386</v>
      </c>
      <c r="B31" s="13">
        <v>1700000</v>
      </c>
      <c r="C31" s="13">
        <v>11400000</v>
      </c>
      <c r="D31" s="54">
        <v>13100000</v>
      </c>
      <c r="E31" s="56">
        <v>2372000</v>
      </c>
      <c r="F31" s="13">
        <v>10728000</v>
      </c>
      <c r="G31" s="58">
        <v>9028000</v>
      </c>
      <c r="H31" s="14"/>
      <c r="I31" s="29"/>
      <c r="J31" s="27" t="s">
        <v>375</v>
      </c>
      <c r="K31" s="30" t="s">
        <v>376</v>
      </c>
      <c r="L31" s="18">
        <v>1000000</v>
      </c>
    </row>
    <row r="32" spans="1:12">
      <c r="A32" s="12" t="s">
        <v>390</v>
      </c>
      <c r="B32" s="13">
        <v>4150000</v>
      </c>
      <c r="C32" s="13">
        <v>1200000</v>
      </c>
      <c r="D32" s="54">
        <v>5350000</v>
      </c>
      <c r="E32" s="56">
        <v>1609000</v>
      </c>
      <c r="F32" s="13">
        <v>3741000</v>
      </c>
      <c r="G32" s="58">
        <v>409000</v>
      </c>
      <c r="H32" s="14"/>
      <c r="I32" s="29"/>
      <c r="J32" s="27" t="s">
        <v>379</v>
      </c>
      <c r="K32" s="30" t="s">
        <v>367</v>
      </c>
      <c r="L32" s="18">
        <v>3000000</v>
      </c>
    </row>
    <row r="33" spans="1:12">
      <c r="A33" s="12" t="s">
        <v>391</v>
      </c>
      <c r="B33" s="13">
        <v>6000000</v>
      </c>
      <c r="C33" s="13">
        <v>2200000</v>
      </c>
      <c r="D33" s="54">
        <v>8200000</v>
      </c>
      <c r="E33" s="56">
        <v>1601000</v>
      </c>
      <c r="F33" s="13">
        <v>6599000</v>
      </c>
      <c r="G33" s="58">
        <v>599000</v>
      </c>
      <c r="H33" s="14"/>
      <c r="I33" s="29"/>
      <c r="J33" s="27" t="s">
        <v>379</v>
      </c>
      <c r="K33" s="30" t="s">
        <v>380</v>
      </c>
      <c r="L33" s="18">
        <v>9900000</v>
      </c>
    </row>
    <row r="34" spans="1:12">
      <c r="A34" s="70" t="s">
        <v>399</v>
      </c>
      <c r="B34" s="71"/>
      <c r="C34" s="71"/>
      <c r="D34" s="71"/>
      <c r="E34" s="71"/>
      <c r="F34" s="71"/>
      <c r="G34" s="71"/>
      <c r="H34" s="14"/>
      <c r="I34" s="29"/>
      <c r="J34" s="27" t="s">
        <v>381</v>
      </c>
      <c r="K34" s="30" t="s">
        <v>382</v>
      </c>
      <c r="L34" s="18">
        <v>235000</v>
      </c>
    </row>
    <row r="35" spans="1:12">
      <c r="A35" s="12" t="s">
        <v>393</v>
      </c>
      <c r="B35" s="13"/>
      <c r="C35" s="13">
        <v>1000000</v>
      </c>
      <c r="D35" s="54">
        <v>1000000</v>
      </c>
      <c r="E35" s="56">
        <v>1180000</v>
      </c>
      <c r="F35" s="13">
        <v>180000</v>
      </c>
      <c r="G35" s="58">
        <v>820000</v>
      </c>
      <c r="H35" s="14"/>
      <c r="I35" s="29"/>
      <c r="J35" s="27" t="s">
        <v>383</v>
      </c>
      <c r="K35" s="30" t="s">
        <v>384</v>
      </c>
      <c r="L35" s="18">
        <v>1240000</v>
      </c>
    </row>
    <row r="36" spans="1:12">
      <c r="A36" s="12" t="s">
        <v>400</v>
      </c>
      <c r="B36" s="13">
        <v>7550000</v>
      </c>
      <c r="C36" s="13">
        <v>1800000</v>
      </c>
      <c r="D36" s="54">
        <v>9350000</v>
      </c>
      <c r="E36" s="56">
        <v>1200000</v>
      </c>
      <c r="F36" s="13">
        <v>8150000</v>
      </c>
      <c r="G36" s="58">
        <v>600000</v>
      </c>
      <c r="H36" s="14"/>
      <c r="I36" s="29"/>
      <c r="J36" s="27" t="s">
        <v>383</v>
      </c>
      <c r="K36" s="30" t="s">
        <v>385</v>
      </c>
      <c r="L36" s="18">
        <v>5000000</v>
      </c>
    </row>
    <row r="37" spans="1:12">
      <c r="A37" s="12" t="s">
        <v>403</v>
      </c>
      <c r="B37" s="13">
        <v>2400000</v>
      </c>
      <c r="C37" s="13">
        <v>1550000</v>
      </c>
      <c r="D37" s="54">
        <v>3950000</v>
      </c>
      <c r="E37" s="56">
        <v>1175000</v>
      </c>
      <c r="F37" s="13">
        <v>2775000</v>
      </c>
      <c r="G37" s="58">
        <v>375000</v>
      </c>
      <c r="H37" s="14"/>
      <c r="I37" s="29"/>
      <c r="J37" s="27" t="s">
        <v>383</v>
      </c>
      <c r="K37" s="30" t="s">
        <v>389</v>
      </c>
      <c r="L37" s="18">
        <v>300000</v>
      </c>
    </row>
    <row r="38" spans="1:12">
      <c r="A38" s="12" t="s">
        <v>404</v>
      </c>
      <c r="B38" s="13">
        <v>3600000</v>
      </c>
      <c r="C38" s="13">
        <v>2000000</v>
      </c>
      <c r="D38" s="54">
        <v>5600000</v>
      </c>
      <c r="E38" s="56">
        <v>2315000</v>
      </c>
      <c r="F38" s="13">
        <v>21285000</v>
      </c>
      <c r="G38" s="58">
        <v>17685000</v>
      </c>
      <c r="H38" s="14"/>
      <c r="I38" s="29"/>
      <c r="J38" s="27" t="s">
        <v>383</v>
      </c>
      <c r="K38" s="30" t="s">
        <v>388</v>
      </c>
      <c r="L38" s="18">
        <v>3000000</v>
      </c>
    </row>
    <row r="39" spans="1:12">
      <c r="A39" s="49"/>
      <c r="B39" s="50"/>
      <c r="C39" s="50"/>
      <c r="D39" s="54"/>
      <c r="E39" s="56"/>
      <c r="F39" s="50"/>
      <c r="G39" s="58"/>
      <c r="H39" s="51"/>
      <c r="I39" s="29"/>
      <c r="J39" s="27" t="s">
        <v>391</v>
      </c>
      <c r="K39" s="30" t="s">
        <v>392</v>
      </c>
      <c r="L39" s="18">
        <v>1550000</v>
      </c>
    </row>
    <row r="40" spans="1:12">
      <c r="A40" s="49"/>
      <c r="B40" s="50"/>
      <c r="C40" s="50"/>
      <c r="D40" s="54"/>
      <c r="E40" s="56"/>
      <c r="F40" s="50"/>
      <c r="G40" s="58"/>
      <c r="H40" s="51"/>
      <c r="I40" s="29"/>
      <c r="J40" s="27" t="s">
        <v>393</v>
      </c>
      <c r="K40" s="30" t="s">
        <v>394</v>
      </c>
      <c r="L40" s="18">
        <v>43132500</v>
      </c>
    </row>
    <row r="41" spans="1:12">
      <c r="A41" s="49"/>
      <c r="B41" s="50"/>
      <c r="C41" s="50"/>
      <c r="D41" s="54"/>
      <c r="E41" s="56"/>
      <c r="F41" s="50"/>
      <c r="G41" s="58"/>
      <c r="H41" s="51"/>
      <c r="I41" s="29"/>
      <c r="J41" s="27" t="s">
        <v>393</v>
      </c>
      <c r="K41" s="30" t="s">
        <v>395</v>
      </c>
      <c r="L41" s="18">
        <v>250000</v>
      </c>
    </row>
    <row r="42" spans="1:12">
      <c r="A42" s="49"/>
      <c r="B42" s="50"/>
      <c r="C42" s="50"/>
      <c r="D42" s="54"/>
      <c r="E42" s="56"/>
      <c r="F42" s="50"/>
      <c r="G42" s="58"/>
      <c r="H42" s="51"/>
      <c r="I42" s="29"/>
      <c r="J42" s="27" t="s">
        <v>393</v>
      </c>
      <c r="K42" s="30" t="s">
        <v>396</v>
      </c>
      <c r="L42" s="18">
        <v>9990000</v>
      </c>
    </row>
    <row r="43" spans="1:12">
      <c r="A43" s="49"/>
      <c r="B43" s="50"/>
      <c r="C43" s="50"/>
      <c r="D43" s="54"/>
      <c r="E43" s="56"/>
      <c r="F43" s="50"/>
      <c r="G43" s="58"/>
      <c r="H43" s="51"/>
      <c r="I43" s="29"/>
      <c r="J43" s="27" t="s">
        <v>393</v>
      </c>
      <c r="K43" s="30" t="s">
        <v>397</v>
      </c>
      <c r="L43" s="18">
        <v>700000</v>
      </c>
    </row>
    <row r="44" spans="1:12">
      <c r="A44" s="49"/>
      <c r="B44" s="50"/>
      <c r="C44" s="50"/>
      <c r="D44" s="54"/>
      <c r="E44" s="56"/>
      <c r="F44" s="50"/>
      <c r="G44" s="58"/>
      <c r="H44" s="51"/>
      <c r="I44" s="29"/>
      <c r="J44" s="27" t="s">
        <v>393</v>
      </c>
      <c r="K44" s="30" t="s">
        <v>398</v>
      </c>
      <c r="L44" s="18">
        <v>10000000</v>
      </c>
    </row>
    <row r="45" spans="1:12">
      <c r="A45" s="49"/>
      <c r="B45" s="50"/>
      <c r="C45" s="50"/>
      <c r="D45" s="54"/>
      <c r="E45" s="56"/>
      <c r="F45" s="50"/>
      <c r="G45" s="58"/>
      <c r="H45" s="51"/>
      <c r="I45" s="29"/>
      <c r="J45" s="27" t="s">
        <v>393</v>
      </c>
      <c r="K45" s="30" t="s">
        <v>65</v>
      </c>
      <c r="L45" s="18">
        <v>500000</v>
      </c>
    </row>
    <row r="46" spans="1:12">
      <c r="A46" s="49"/>
      <c r="B46" s="50"/>
      <c r="C46" s="50"/>
      <c r="D46" s="54"/>
      <c r="E46" s="56"/>
      <c r="F46" s="50"/>
      <c r="G46" s="58"/>
      <c r="H46" s="51"/>
      <c r="I46" s="29"/>
      <c r="J46" s="27" t="s">
        <v>400</v>
      </c>
      <c r="K46" s="30" t="s">
        <v>401</v>
      </c>
      <c r="L46" s="18">
        <v>120000</v>
      </c>
    </row>
    <row r="47" spans="1:12">
      <c r="A47" s="49"/>
      <c r="B47" s="50"/>
      <c r="C47" s="50"/>
      <c r="D47" s="54"/>
      <c r="E47" s="56"/>
      <c r="F47" s="50"/>
      <c r="G47" s="58"/>
      <c r="H47" s="51"/>
      <c r="I47" s="29"/>
      <c r="J47" s="27" t="s">
        <v>400</v>
      </c>
      <c r="K47" s="30" t="s">
        <v>402</v>
      </c>
      <c r="L47" s="18">
        <v>500000</v>
      </c>
    </row>
    <row r="48" spans="1:12">
      <c r="A48" s="49"/>
      <c r="B48" s="50"/>
      <c r="C48" s="50"/>
      <c r="D48" s="54"/>
      <c r="E48" s="56"/>
      <c r="F48" s="50"/>
      <c r="G48" s="58"/>
      <c r="H48" s="51"/>
      <c r="I48" s="29"/>
      <c r="J48" s="27" t="s">
        <v>404</v>
      </c>
      <c r="K48" s="30" t="s">
        <v>405</v>
      </c>
      <c r="L48" s="18">
        <v>3000000</v>
      </c>
    </row>
    <row r="49" spans="1:12">
      <c r="A49" s="49"/>
      <c r="B49" s="50"/>
      <c r="C49" s="50"/>
      <c r="D49" s="54"/>
      <c r="E49" s="56"/>
      <c r="F49" s="50"/>
      <c r="G49" s="58"/>
      <c r="H49" s="51"/>
      <c r="I49" s="29"/>
      <c r="J49" s="27" t="s">
        <v>404</v>
      </c>
      <c r="K49" s="30" t="s">
        <v>406</v>
      </c>
      <c r="L49" s="18">
        <v>3000000</v>
      </c>
    </row>
    <row r="50" spans="1:12">
      <c r="A50" s="49"/>
      <c r="B50" s="50"/>
      <c r="C50" s="50"/>
      <c r="D50" s="54"/>
      <c r="E50" s="56"/>
      <c r="F50" s="50"/>
      <c r="G50" s="58"/>
      <c r="H50" s="51"/>
      <c r="I50" s="29"/>
      <c r="J50" s="27" t="s">
        <v>404</v>
      </c>
      <c r="K50" s="30" t="s">
        <v>407</v>
      </c>
      <c r="L50" s="18">
        <v>925000</v>
      </c>
    </row>
    <row r="51" spans="1:12">
      <c r="A51" s="12"/>
      <c r="B51" s="13"/>
      <c r="C51" s="13"/>
      <c r="D51" s="54"/>
      <c r="E51" s="56"/>
      <c r="F51" s="13"/>
      <c r="G51" s="58"/>
      <c r="H51" s="14"/>
      <c r="I51" s="29"/>
      <c r="J51" s="27"/>
      <c r="K51" s="30"/>
      <c r="L51" s="18"/>
    </row>
    <row r="52" spans="1:12">
      <c r="A52" s="12"/>
      <c r="B52" s="13"/>
      <c r="C52" s="13"/>
      <c r="D52" s="54"/>
      <c r="E52" s="56"/>
      <c r="F52" s="13"/>
      <c r="G52" s="58"/>
      <c r="H52" s="14"/>
      <c r="I52" s="29"/>
      <c r="J52" s="34"/>
      <c r="K52" s="23"/>
      <c r="L52" s="75">
        <f>SUM(L8:L51)</f>
        <v>113694500</v>
      </c>
    </row>
    <row r="53" spans="1:12">
      <c r="A53" s="12"/>
      <c r="B53" s="13"/>
      <c r="C53" s="13"/>
      <c r="D53" s="54"/>
      <c r="E53" s="56"/>
      <c r="F53" s="13"/>
      <c r="G53" s="58"/>
      <c r="H53" s="14"/>
      <c r="I53" s="29"/>
      <c r="J53" s="28"/>
      <c r="K53" s="1"/>
      <c r="L53" s="1"/>
    </row>
    <row r="54" spans="1:12" ht="15.75">
      <c r="A54" s="12"/>
      <c r="B54" s="13"/>
      <c r="C54" s="13"/>
      <c r="D54" s="54"/>
      <c r="E54" s="56"/>
      <c r="F54" s="13"/>
      <c r="G54" s="58"/>
      <c r="H54" s="14"/>
      <c r="I54" s="29"/>
      <c r="J54" s="35" t="s">
        <v>11</v>
      </c>
      <c r="K54" s="36" t="s">
        <v>12</v>
      </c>
      <c r="L54" s="60">
        <v>194715000</v>
      </c>
    </row>
    <row r="55" spans="1:12" ht="15.75">
      <c r="A55" s="12"/>
      <c r="B55" s="13"/>
      <c r="C55" s="13"/>
      <c r="D55" s="54"/>
      <c r="E55" s="56"/>
      <c r="F55" s="13"/>
      <c r="G55" s="58"/>
      <c r="H55" s="14"/>
      <c r="I55" s="38"/>
      <c r="J55" s="39"/>
      <c r="K55" s="40" t="s">
        <v>13</v>
      </c>
      <c r="L55" s="61">
        <v>43366000</v>
      </c>
    </row>
    <row r="56" spans="1:12" ht="15.75">
      <c r="A56" s="12"/>
      <c r="B56" s="13"/>
      <c r="C56" s="13"/>
      <c r="D56" s="54"/>
      <c r="E56" s="56"/>
      <c r="F56" s="13"/>
      <c r="G56" s="58"/>
      <c r="H56" s="14"/>
      <c r="I56" s="29"/>
      <c r="J56" s="39"/>
      <c r="K56" s="40" t="s">
        <v>14</v>
      </c>
      <c r="L56" s="61">
        <v>113694500</v>
      </c>
    </row>
    <row r="57" spans="1:12" ht="15.75">
      <c r="A57" s="49"/>
      <c r="B57" s="50"/>
      <c r="C57" s="50"/>
      <c r="D57" s="54"/>
      <c r="E57" s="56"/>
      <c r="F57" s="50"/>
      <c r="G57" s="58"/>
      <c r="H57" s="51"/>
      <c r="I57" s="29"/>
      <c r="J57" s="39"/>
      <c r="K57" s="40" t="s">
        <v>15</v>
      </c>
      <c r="L57" s="41">
        <v>157060500</v>
      </c>
    </row>
    <row r="58" spans="1:12" ht="15.75">
      <c r="A58" s="12"/>
      <c r="B58" s="13"/>
      <c r="C58" s="13"/>
      <c r="D58" s="54"/>
      <c r="E58" s="56"/>
      <c r="F58" s="13"/>
      <c r="G58" s="58"/>
      <c r="H58" s="14"/>
      <c r="I58" s="29"/>
      <c r="J58" s="39"/>
      <c r="K58" s="42"/>
      <c r="L58" s="37"/>
    </row>
    <row r="59" spans="1:12" ht="18">
      <c r="A59" s="12"/>
      <c r="B59" s="13"/>
      <c r="C59" s="13"/>
      <c r="D59" s="54"/>
      <c r="E59" s="56"/>
      <c r="F59" s="13"/>
      <c r="G59" s="58"/>
      <c r="H59" s="14"/>
      <c r="I59" s="29"/>
      <c r="J59" s="80" t="s">
        <v>338</v>
      </c>
      <c r="K59" s="80"/>
      <c r="L59" s="43" t="s">
        <v>472</v>
      </c>
    </row>
    <row r="60" spans="1:12">
      <c r="A60" s="12"/>
      <c r="B60" s="13"/>
      <c r="C60" s="13"/>
      <c r="D60" s="54"/>
      <c r="E60" s="56"/>
      <c r="F60" s="13"/>
      <c r="G60" s="58"/>
      <c r="H60" s="14"/>
      <c r="I60" s="1"/>
      <c r="J60" s="29"/>
      <c r="K60" s="29"/>
      <c r="L60" s="1"/>
    </row>
    <row r="61" spans="1:12">
      <c r="A61" s="12"/>
      <c r="B61" s="44">
        <f t="shared" ref="B61:G61" si="2">SUM(B8:B60)</f>
        <v>121335000</v>
      </c>
      <c r="C61" s="44">
        <f t="shared" si="2"/>
        <v>73380000</v>
      </c>
      <c r="D61" s="55">
        <f t="shared" si="2"/>
        <v>194715000</v>
      </c>
      <c r="E61" s="57">
        <f t="shared" si="2"/>
        <v>43366000</v>
      </c>
      <c r="F61" s="53">
        <f t="shared" si="2"/>
        <v>171151000</v>
      </c>
      <c r="G61" s="59">
        <f t="shared" si="2"/>
        <v>46957000</v>
      </c>
      <c r="H61" s="29"/>
      <c r="I61" s="1"/>
      <c r="J61" s="1"/>
      <c r="K61" s="1"/>
      <c r="L61" s="1"/>
    </row>
    <row r="63" spans="1:12">
      <c r="H63" s="74"/>
    </row>
  </sheetData>
  <mergeCells count="8">
    <mergeCell ref="G5:G6"/>
    <mergeCell ref="J59:K59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3:L53"/>
  <sheetViews>
    <sheetView topLeftCell="C25" workbookViewId="0">
      <selection activeCell="D46" sqref="D46"/>
    </sheetView>
  </sheetViews>
  <sheetFormatPr defaultRowHeight="15"/>
  <cols>
    <col min="2" max="2" width="16.140625" customWidth="1"/>
    <col min="3" max="3" width="17.7109375" customWidth="1"/>
    <col min="4" max="4" width="17.42578125" customWidth="1"/>
    <col min="5" max="5" width="17.28515625" customWidth="1"/>
    <col min="6" max="6" width="17.42578125" customWidth="1"/>
    <col min="7" max="7" width="16.7109375" customWidth="1"/>
    <col min="10" max="10" width="11.28515625" customWidth="1"/>
    <col min="11" max="11" width="41.28515625" customWidth="1"/>
    <col min="12" max="12" width="19.85546875" customWidth="1"/>
  </cols>
  <sheetData>
    <row r="3" spans="1:12" ht="15" customHeight="1">
      <c r="A3" s="81" t="s">
        <v>408</v>
      </c>
      <c r="B3" s="82"/>
      <c r="C3" s="82"/>
      <c r="D3" s="82"/>
      <c r="E3" s="82"/>
      <c r="F3" s="1"/>
      <c r="G3" s="1"/>
      <c r="H3" s="1"/>
      <c r="I3" s="1"/>
      <c r="J3" s="1"/>
      <c r="K3" s="1"/>
      <c r="L3" s="1"/>
    </row>
    <row r="4" spans="1:12">
      <c r="A4" s="83"/>
      <c r="B4" s="83"/>
      <c r="C4" s="83"/>
      <c r="D4" s="83"/>
      <c r="E4" s="83"/>
      <c r="F4" s="1"/>
      <c r="G4" s="1"/>
      <c r="H4" s="1"/>
      <c r="I4" s="1"/>
      <c r="J4" s="1"/>
      <c r="K4" s="1"/>
      <c r="L4" s="1"/>
    </row>
    <row r="5" spans="1:12" ht="15.75" customHeight="1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2"/>
      <c r="I5" s="3"/>
      <c r="J5" s="4" t="s">
        <v>6</v>
      </c>
      <c r="K5" s="5"/>
      <c r="L5" s="6"/>
    </row>
    <row r="6" spans="1:12" ht="15.75">
      <c r="A6" s="85"/>
      <c r="B6" s="7" t="s">
        <v>7</v>
      </c>
      <c r="C6" s="76" t="s">
        <v>8</v>
      </c>
      <c r="D6" s="89"/>
      <c r="E6" s="79"/>
      <c r="F6" s="89"/>
      <c r="G6" s="79"/>
      <c r="H6" s="2"/>
      <c r="I6" s="3"/>
      <c r="J6" s="9" t="s">
        <v>0</v>
      </c>
      <c r="K6" s="10" t="s">
        <v>9</v>
      </c>
      <c r="L6" s="11" t="s">
        <v>10</v>
      </c>
    </row>
    <row r="7" spans="1:12">
      <c r="A7" s="49"/>
      <c r="B7" s="64"/>
      <c r="C7" s="64"/>
      <c r="D7" s="66"/>
      <c r="E7" s="65"/>
      <c r="F7" s="64"/>
      <c r="G7" s="67"/>
      <c r="H7" s="51"/>
      <c r="I7" s="6"/>
      <c r="J7" s="12">
        <v>45600</v>
      </c>
      <c r="K7" s="15" t="s">
        <v>424</v>
      </c>
      <c r="L7" s="16">
        <v>120000</v>
      </c>
    </row>
    <row r="8" spans="1:12">
      <c r="A8" s="49">
        <v>45597</v>
      </c>
      <c r="B8" s="50">
        <v>3940000</v>
      </c>
      <c r="C8" s="50"/>
      <c r="D8" s="54">
        <f>B8+C8</f>
        <v>3940000</v>
      </c>
      <c r="E8" s="56">
        <v>1425000</v>
      </c>
      <c r="F8" s="50">
        <f t="shared" ref="F8:F19" si="0">D8-E8</f>
        <v>2515000</v>
      </c>
      <c r="G8" s="58">
        <f t="shared" ref="G8:G20" si="1">C8-E8</f>
        <v>-1425000</v>
      </c>
      <c r="H8" s="51"/>
      <c r="I8" s="6"/>
      <c r="J8" s="68">
        <v>45602</v>
      </c>
      <c r="K8" s="63" t="s">
        <v>410</v>
      </c>
      <c r="L8" s="18">
        <v>280000</v>
      </c>
    </row>
    <row r="9" spans="1:12">
      <c r="A9" s="12">
        <v>45598</v>
      </c>
      <c r="B9" s="13">
        <v>4400000</v>
      </c>
      <c r="C9" s="13">
        <v>2900000</v>
      </c>
      <c r="D9" s="54">
        <f>B9+C9</f>
        <v>7300000</v>
      </c>
      <c r="E9" s="56">
        <v>2701000</v>
      </c>
      <c r="F9" s="13">
        <f t="shared" si="0"/>
        <v>4599000</v>
      </c>
      <c r="G9" s="58">
        <f t="shared" si="1"/>
        <v>199000</v>
      </c>
      <c r="H9" s="14"/>
      <c r="I9" s="19"/>
      <c r="J9" s="68">
        <v>45603</v>
      </c>
      <c r="K9" s="63" t="s">
        <v>413</v>
      </c>
      <c r="L9" s="18">
        <v>70000</v>
      </c>
    </row>
    <row r="10" spans="1:12">
      <c r="A10" s="70">
        <v>45599</v>
      </c>
      <c r="B10" s="71"/>
      <c r="C10" s="71"/>
      <c r="D10" s="71">
        <f>B10+C10</f>
        <v>0</v>
      </c>
      <c r="E10" s="71"/>
      <c r="F10" s="71">
        <f t="shared" si="0"/>
        <v>0</v>
      </c>
      <c r="G10" s="71">
        <f t="shared" si="1"/>
        <v>0</v>
      </c>
      <c r="H10" s="14"/>
      <c r="I10" s="6"/>
      <c r="J10" s="20">
        <v>45603</v>
      </c>
      <c r="K10" s="21" t="s">
        <v>414</v>
      </c>
      <c r="L10" s="18">
        <v>950000</v>
      </c>
    </row>
    <row r="11" spans="1:12">
      <c r="A11" s="12">
        <v>45600</v>
      </c>
      <c r="B11" s="13">
        <v>17100000</v>
      </c>
      <c r="C11" s="13">
        <v>7000000</v>
      </c>
      <c r="D11" s="54">
        <f>B11+C11</f>
        <v>24100000</v>
      </c>
      <c r="E11" s="56">
        <v>3878000</v>
      </c>
      <c r="F11" s="50">
        <f t="shared" si="0"/>
        <v>20222000</v>
      </c>
      <c r="G11" s="58">
        <f t="shared" si="1"/>
        <v>3122000</v>
      </c>
      <c r="H11" s="14"/>
      <c r="I11" s="22"/>
      <c r="J11" s="20">
        <v>45604</v>
      </c>
      <c r="K11" s="46" t="s">
        <v>34</v>
      </c>
      <c r="L11" s="18">
        <v>500000</v>
      </c>
    </row>
    <row r="12" spans="1:12">
      <c r="A12" s="12">
        <v>45601</v>
      </c>
      <c r="B12" s="13">
        <v>5300000</v>
      </c>
      <c r="C12" s="13">
        <v>4025000</v>
      </c>
      <c r="D12" s="54">
        <f>B12+C12</f>
        <v>9325000</v>
      </c>
      <c r="E12" s="56">
        <v>3226000</v>
      </c>
      <c r="F12" s="50">
        <f t="shared" si="0"/>
        <v>6099000</v>
      </c>
      <c r="G12" s="58">
        <f t="shared" si="1"/>
        <v>799000</v>
      </c>
      <c r="H12" s="14"/>
      <c r="I12" s="22"/>
      <c r="J12" s="12">
        <v>45606</v>
      </c>
      <c r="K12" s="63" t="s">
        <v>415</v>
      </c>
      <c r="L12" s="18">
        <v>160000</v>
      </c>
    </row>
    <row r="13" spans="1:12">
      <c r="A13" s="12">
        <v>45602</v>
      </c>
      <c r="B13" s="13"/>
      <c r="C13" s="50">
        <v>1900000</v>
      </c>
      <c r="D13" s="54">
        <v>1900000</v>
      </c>
      <c r="E13" s="56">
        <v>1317000</v>
      </c>
      <c r="F13" s="13">
        <f t="shared" si="0"/>
        <v>583000</v>
      </c>
      <c r="G13" s="58">
        <f t="shared" si="1"/>
        <v>583000</v>
      </c>
      <c r="H13" s="14"/>
      <c r="I13" s="6"/>
      <c r="J13" s="12">
        <v>45608</v>
      </c>
      <c r="K13" s="15" t="s">
        <v>417</v>
      </c>
      <c r="L13" s="18">
        <v>140000</v>
      </c>
    </row>
    <row r="14" spans="1:12">
      <c r="A14" s="12">
        <v>45603</v>
      </c>
      <c r="B14" s="13">
        <v>2900000</v>
      </c>
      <c r="C14" s="13">
        <v>3130000</v>
      </c>
      <c r="D14" s="54">
        <f t="shared" ref="D14:D19" si="2">B14+C14</f>
        <v>6030000</v>
      </c>
      <c r="E14" s="56">
        <v>1455000</v>
      </c>
      <c r="F14" s="13">
        <f t="shared" si="0"/>
        <v>4575000</v>
      </c>
      <c r="G14" s="58">
        <f t="shared" si="1"/>
        <v>1675000</v>
      </c>
      <c r="H14" s="14"/>
      <c r="I14" s="6"/>
      <c r="J14" s="12">
        <v>45608</v>
      </c>
      <c r="K14" s="25" t="s">
        <v>418</v>
      </c>
      <c r="L14" s="18">
        <v>400000</v>
      </c>
    </row>
    <row r="15" spans="1:12">
      <c r="A15" s="49">
        <v>45604</v>
      </c>
      <c r="B15" s="50">
        <v>1700000</v>
      </c>
      <c r="C15" s="50">
        <v>500000</v>
      </c>
      <c r="D15" s="54">
        <f t="shared" si="2"/>
        <v>2200000</v>
      </c>
      <c r="E15" s="56">
        <v>1613000</v>
      </c>
      <c r="F15" s="50">
        <f t="shared" si="0"/>
        <v>587000</v>
      </c>
      <c r="G15" s="58">
        <f t="shared" si="1"/>
        <v>-1113000</v>
      </c>
      <c r="H15" s="52"/>
      <c r="I15" s="6"/>
      <c r="J15" s="12">
        <v>45610</v>
      </c>
      <c r="K15" s="25" t="s">
        <v>416</v>
      </c>
      <c r="L15" s="18">
        <v>1500000</v>
      </c>
    </row>
    <row r="16" spans="1:12">
      <c r="A16" s="12">
        <v>45605</v>
      </c>
      <c r="B16" s="13">
        <v>2280000</v>
      </c>
      <c r="C16" s="13">
        <v>2000000</v>
      </c>
      <c r="D16" s="54">
        <f t="shared" si="2"/>
        <v>4280000</v>
      </c>
      <c r="E16" s="56">
        <v>991000</v>
      </c>
      <c r="F16" s="13">
        <f t="shared" si="0"/>
        <v>3289000</v>
      </c>
      <c r="G16" s="58">
        <f t="shared" si="1"/>
        <v>1009000</v>
      </c>
      <c r="H16" s="24"/>
      <c r="I16" s="22"/>
      <c r="J16" s="27">
        <v>45610</v>
      </c>
      <c r="K16" s="47" t="s">
        <v>65</v>
      </c>
      <c r="L16" s="48">
        <v>500000</v>
      </c>
    </row>
    <row r="17" spans="1:12">
      <c r="A17" s="12">
        <v>45606</v>
      </c>
      <c r="B17" s="13">
        <v>3400000</v>
      </c>
      <c r="C17" s="13">
        <v>5700000</v>
      </c>
      <c r="D17" s="54">
        <f t="shared" si="2"/>
        <v>9100000</v>
      </c>
      <c r="E17" s="56">
        <v>1496000</v>
      </c>
      <c r="F17" s="13">
        <f t="shared" si="0"/>
        <v>7604000</v>
      </c>
      <c r="G17" s="58">
        <f t="shared" si="1"/>
        <v>4204000</v>
      </c>
      <c r="H17" s="24"/>
      <c r="I17" s="26"/>
      <c r="J17" s="12">
        <v>45612</v>
      </c>
      <c r="K17" s="23" t="s">
        <v>370</v>
      </c>
      <c r="L17" s="18">
        <v>1800000</v>
      </c>
    </row>
    <row r="18" spans="1:12">
      <c r="A18" s="12">
        <v>45607</v>
      </c>
      <c r="B18" s="13">
        <v>1750000</v>
      </c>
      <c r="C18" s="13">
        <v>2400000</v>
      </c>
      <c r="D18" s="54">
        <f t="shared" si="2"/>
        <v>4150000</v>
      </c>
      <c r="E18" s="56">
        <v>2060000</v>
      </c>
      <c r="F18" s="13">
        <f t="shared" si="0"/>
        <v>2090000</v>
      </c>
      <c r="G18" s="58">
        <f t="shared" si="1"/>
        <v>340000</v>
      </c>
      <c r="H18" s="24"/>
      <c r="I18" s="26"/>
      <c r="J18" s="27">
        <v>45612</v>
      </c>
      <c r="K18" s="30" t="s">
        <v>419</v>
      </c>
      <c r="L18" s="18">
        <v>1000000</v>
      </c>
    </row>
    <row r="19" spans="1:12">
      <c r="A19" s="12">
        <v>45608</v>
      </c>
      <c r="B19" s="13"/>
      <c r="C19" s="13">
        <v>4500000</v>
      </c>
      <c r="D19" s="54">
        <f t="shared" si="2"/>
        <v>4500000</v>
      </c>
      <c r="E19" s="56">
        <v>1949000</v>
      </c>
      <c r="F19" s="13">
        <f t="shared" si="0"/>
        <v>2551000</v>
      </c>
      <c r="G19" s="58">
        <f t="shared" si="1"/>
        <v>2551000</v>
      </c>
      <c r="H19" s="24"/>
      <c r="I19" s="29"/>
      <c r="J19" s="32">
        <v>45612</v>
      </c>
      <c r="K19" s="23" t="s">
        <v>326</v>
      </c>
      <c r="L19" s="18">
        <v>1500000</v>
      </c>
    </row>
    <row r="20" spans="1:12">
      <c r="A20" s="12">
        <v>45609</v>
      </c>
      <c r="B20" s="13">
        <v>500000</v>
      </c>
      <c r="C20" s="13">
        <v>1100000</v>
      </c>
      <c r="D20" s="54">
        <v>1600000</v>
      </c>
      <c r="E20" s="56">
        <v>1445000</v>
      </c>
      <c r="F20" s="13">
        <v>155000</v>
      </c>
      <c r="G20" s="58">
        <f t="shared" si="1"/>
        <v>-345000</v>
      </c>
      <c r="H20" s="24"/>
      <c r="I20" s="29"/>
      <c r="J20" s="27">
        <v>45612</v>
      </c>
      <c r="K20" s="30" t="s">
        <v>420</v>
      </c>
      <c r="L20" s="18">
        <v>470000</v>
      </c>
    </row>
    <row r="21" spans="1:12">
      <c r="A21" s="12">
        <v>45610</v>
      </c>
      <c r="B21" s="13">
        <v>2850000</v>
      </c>
      <c r="C21" s="13">
        <v>1500000</v>
      </c>
      <c r="D21" s="54">
        <f>B21+C21</f>
        <v>4350000</v>
      </c>
      <c r="E21" s="56">
        <v>1328000</v>
      </c>
      <c r="F21" s="13">
        <f t="shared" ref="F21:F26" si="3">D21-E21</f>
        <v>3022000</v>
      </c>
      <c r="G21" s="58">
        <f t="shared" ref="G21:G27" si="4">C21-E21</f>
        <v>172000</v>
      </c>
      <c r="H21" s="24"/>
      <c r="I21" s="31"/>
      <c r="J21" s="27">
        <v>45615</v>
      </c>
      <c r="K21" s="30" t="s">
        <v>421</v>
      </c>
      <c r="L21" s="18">
        <v>1000000</v>
      </c>
    </row>
    <row r="22" spans="1:12">
      <c r="A22" s="49">
        <v>45611</v>
      </c>
      <c r="B22" s="50">
        <v>10591000</v>
      </c>
      <c r="C22" s="50"/>
      <c r="D22" s="54">
        <v>10591000</v>
      </c>
      <c r="E22" s="56">
        <v>1443000</v>
      </c>
      <c r="F22" s="50">
        <f t="shared" si="3"/>
        <v>9148000</v>
      </c>
      <c r="G22" s="58">
        <f t="shared" si="4"/>
        <v>-1443000</v>
      </c>
      <c r="H22" s="51"/>
      <c r="I22" s="29"/>
      <c r="J22" s="27">
        <v>45615</v>
      </c>
      <c r="K22" s="30" t="s">
        <v>34</v>
      </c>
      <c r="L22" s="18">
        <v>500000</v>
      </c>
    </row>
    <row r="23" spans="1:12">
      <c r="A23" s="49">
        <v>45612</v>
      </c>
      <c r="B23" s="50">
        <v>11200000</v>
      </c>
      <c r="C23" s="50">
        <v>1480000</v>
      </c>
      <c r="D23" s="54">
        <f>B23+C23</f>
        <v>12680000</v>
      </c>
      <c r="E23" s="56">
        <v>1962000</v>
      </c>
      <c r="F23" s="50">
        <f t="shared" si="3"/>
        <v>10718000</v>
      </c>
      <c r="G23" s="58">
        <f t="shared" si="4"/>
        <v>-482000</v>
      </c>
      <c r="H23" s="51"/>
      <c r="I23" s="29"/>
      <c r="J23" s="27">
        <v>45615</v>
      </c>
      <c r="K23" s="30" t="s">
        <v>422</v>
      </c>
      <c r="L23" s="18">
        <v>500000</v>
      </c>
    </row>
    <row r="24" spans="1:12">
      <c r="A24" s="49">
        <v>45613</v>
      </c>
      <c r="B24" s="50">
        <v>2000000</v>
      </c>
      <c r="C24" s="50">
        <v>1450000</v>
      </c>
      <c r="D24" s="54">
        <f>B24+C24</f>
        <v>3450000</v>
      </c>
      <c r="E24" s="56">
        <v>965000</v>
      </c>
      <c r="F24" s="50">
        <f t="shared" si="3"/>
        <v>2485000</v>
      </c>
      <c r="G24" s="58">
        <f t="shared" si="4"/>
        <v>485000</v>
      </c>
      <c r="H24" s="51"/>
      <c r="I24" s="29"/>
      <c r="J24" s="27">
        <v>45616</v>
      </c>
      <c r="K24" s="30" t="s">
        <v>423</v>
      </c>
      <c r="L24" s="18">
        <v>10500000</v>
      </c>
    </row>
    <row r="25" spans="1:12">
      <c r="A25" s="49">
        <v>45614</v>
      </c>
      <c r="B25" s="50">
        <v>13250000</v>
      </c>
      <c r="C25" s="50">
        <v>3350000</v>
      </c>
      <c r="D25" s="54">
        <f>B25+C25</f>
        <v>16600000</v>
      </c>
      <c r="E25" s="56">
        <v>1385000</v>
      </c>
      <c r="F25" s="50">
        <f t="shared" si="3"/>
        <v>15215000</v>
      </c>
      <c r="G25" s="58">
        <f t="shared" si="4"/>
        <v>1965000</v>
      </c>
      <c r="H25" s="51"/>
      <c r="I25" s="29"/>
      <c r="J25" s="27">
        <v>45616</v>
      </c>
      <c r="K25" s="30" t="s">
        <v>414</v>
      </c>
      <c r="L25" s="18">
        <v>3200000</v>
      </c>
    </row>
    <row r="26" spans="1:12">
      <c r="A26" s="49">
        <v>45615</v>
      </c>
      <c r="B26" s="50"/>
      <c r="C26" s="50">
        <v>3000000</v>
      </c>
      <c r="D26" s="54">
        <f>B26+C26</f>
        <v>3000000</v>
      </c>
      <c r="E26" s="56">
        <v>1060000</v>
      </c>
      <c r="F26" s="50">
        <f t="shared" si="3"/>
        <v>1940000</v>
      </c>
      <c r="G26" s="58">
        <f t="shared" si="4"/>
        <v>1940000</v>
      </c>
      <c r="H26" s="51"/>
      <c r="I26" s="29"/>
      <c r="J26" s="27">
        <v>45616</v>
      </c>
      <c r="K26" s="30" t="s">
        <v>424</v>
      </c>
      <c r="L26" s="18">
        <v>95000</v>
      </c>
    </row>
    <row r="27" spans="1:12">
      <c r="A27" s="49">
        <v>45616</v>
      </c>
      <c r="B27" s="50">
        <v>5900000</v>
      </c>
      <c r="C27" s="50">
        <v>400000</v>
      </c>
      <c r="D27" s="54">
        <v>6300000</v>
      </c>
      <c r="E27" s="56">
        <v>1470000</v>
      </c>
      <c r="F27" s="50">
        <v>4830000</v>
      </c>
      <c r="G27" s="58">
        <f t="shared" si="4"/>
        <v>-1070000</v>
      </c>
      <c r="H27" s="51"/>
      <c r="I27" s="29"/>
      <c r="J27" s="27">
        <v>45619</v>
      </c>
      <c r="K27" s="30" t="s">
        <v>425</v>
      </c>
      <c r="L27" s="18">
        <v>2500000</v>
      </c>
    </row>
    <row r="28" spans="1:12">
      <c r="A28" s="12">
        <v>45617</v>
      </c>
      <c r="B28" s="13">
        <v>1600000</v>
      </c>
      <c r="C28" s="13">
        <v>4100000</v>
      </c>
      <c r="D28" s="54">
        <f>B28+C28</f>
        <v>5700000</v>
      </c>
      <c r="E28" s="56">
        <v>2288000</v>
      </c>
      <c r="F28" s="13">
        <f t="shared" ref="F28:F36" si="5">D28-E28</f>
        <v>3412000</v>
      </c>
      <c r="G28" s="58">
        <f t="shared" ref="G28:G37" si="6">C28-E28</f>
        <v>1812000</v>
      </c>
      <c r="H28" s="14"/>
      <c r="I28" s="29"/>
      <c r="J28" s="27">
        <v>45621</v>
      </c>
      <c r="K28" s="30" t="s">
        <v>426</v>
      </c>
      <c r="L28" s="18">
        <v>41630000</v>
      </c>
    </row>
    <row r="29" spans="1:12">
      <c r="A29" s="12">
        <v>45618</v>
      </c>
      <c r="B29" s="13">
        <v>1980000</v>
      </c>
      <c r="C29" s="13">
        <v>2950000</v>
      </c>
      <c r="D29" s="54">
        <f>B29+C29</f>
        <v>4930000</v>
      </c>
      <c r="E29" s="56">
        <v>1067000</v>
      </c>
      <c r="F29" s="13">
        <f t="shared" si="5"/>
        <v>3863000</v>
      </c>
      <c r="G29" s="58">
        <f t="shared" si="6"/>
        <v>1883000</v>
      </c>
      <c r="H29" s="14"/>
      <c r="I29" s="31"/>
      <c r="J29" s="27">
        <v>45621</v>
      </c>
      <c r="K29" s="30" t="s">
        <v>115</v>
      </c>
      <c r="L29" s="18">
        <v>6000000</v>
      </c>
    </row>
    <row r="30" spans="1:12">
      <c r="A30" s="12">
        <v>45619</v>
      </c>
      <c r="B30" s="13">
        <v>7500000</v>
      </c>
      <c r="C30" s="13"/>
      <c r="D30" s="54">
        <f t="shared" ref="D30:D37" si="7">B30+C30</f>
        <v>7500000</v>
      </c>
      <c r="E30" s="56">
        <v>1730000</v>
      </c>
      <c r="F30" s="13">
        <f t="shared" si="5"/>
        <v>5770000</v>
      </c>
      <c r="G30" s="58">
        <f t="shared" si="6"/>
        <v>-1730000</v>
      </c>
      <c r="H30" s="14"/>
      <c r="I30" s="29"/>
      <c r="J30" s="27">
        <v>45621</v>
      </c>
      <c r="K30" s="30" t="s">
        <v>427</v>
      </c>
      <c r="L30" s="18">
        <v>10000000</v>
      </c>
    </row>
    <row r="31" spans="1:12">
      <c r="A31" s="70">
        <v>45620</v>
      </c>
      <c r="B31" s="71"/>
      <c r="C31" s="71"/>
      <c r="D31" s="71">
        <f t="shared" si="7"/>
        <v>0</v>
      </c>
      <c r="E31" s="71"/>
      <c r="F31" s="71">
        <f t="shared" si="5"/>
        <v>0</v>
      </c>
      <c r="G31" s="71">
        <f t="shared" si="6"/>
        <v>0</v>
      </c>
      <c r="H31" s="33"/>
      <c r="I31" s="29"/>
      <c r="J31" s="27">
        <v>45621</v>
      </c>
      <c r="K31" s="30" t="s">
        <v>428</v>
      </c>
      <c r="L31" s="18">
        <v>1230000</v>
      </c>
    </row>
    <row r="32" spans="1:12">
      <c r="A32" s="12">
        <v>45621</v>
      </c>
      <c r="B32" s="13">
        <v>1750000</v>
      </c>
      <c r="C32" s="13"/>
      <c r="D32" s="54">
        <f t="shared" si="7"/>
        <v>1750000</v>
      </c>
      <c r="E32" s="56">
        <v>1590000</v>
      </c>
      <c r="F32" s="13">
        <f t="shared" si="5"/>
        <v>160000</v>
      </c>
      <c r="G32" s="58">
        <f t="shared" si="6"/>
        <v>-1590000</v>
      </c>
      <c r="H32" s="14"/>
      <c r="I32" s="29"/>
      <c r="J32" s="27">
        <v>45621</v>
      </c>
      <c r="K32" s="30" t="s">
        <v>422</v>
      </c>
      <c r="L32" s="18">
        <v>140000</v>
      </c>
    </row>
    <row r="33" spans="1:12">
      <c r="A33" s="12">
        <v>45622</v>
      </c>
      <c r="B33" s="13">
        <v>8175000</v>
      </c>
      <c r="C33" s="13">
        <v>2100000</v>
      </c>
      <c r="D33" s="54">
        <f t="shared" si="7"/>
        <v>10275000</v>
      </c>
      <c r="E33" s="56">
        <v>957000</v>
      </c>
      <c r="F33" s="13">
        <f t="shared" si="5"/>
        <v>9318000</v>
      </c>
      <c r="G33" s="58">
        <f t="shared" si="6"/>
        <v>1143000</v>
      </c>
      <c r="H33" s="14"/>
      <c r="I33" s="29"/>
      <c r="J33" s="27">
        <v>45624</v>
      </c>
      <c r="K33" s="30" t="s">
        <v>429</v>
      </c>
      <c r="L33" s="18">
        <v>1550000</v>
      </c>
    </row>
    <row r="34" spans="1:12">
      <c r="A34" s="70">
        <v>45623</v>
      </c>
      <c r="B34" s="71"/>
      <c r="C34" s="71"/>
      <c r="D34" s="71">
        <f t="shared" si="7"/>
        <v>0</v>
      </c>
      <c r="E34" s="71"/>
      <c r="F34" s="71">
        <f t="shared" si="5"/>
        <v>0</v>
      </c>
      <c r="G34" s="71">
        <f t="shared" si="6"/>
        <v>0</v>
      </c>
      <c r="H34" s="14"/>
      <c r="I34" s="29"/>
      <c r="J34" s="27">
        <v>45625</v>
      </c>
      <c r="K34" s="30" t="s">
        <v>430</v>
      </c>
      <c r="L34" s="18">
        <v>300000</v>
      </c>
    </row>
    <row r="35" spans="1:12">
      <c r="A35" s="12">
        <v>45624</v>
      </c>
      <c r="B35" s="13">
        <v>5850000</v>
      </c>
      <c r="C35" s="13">
        <v>5780000</v>
      </c>
      <c r="D35" s="54">
        <f t="shared" si="7"/>
        <v>11630000</v>
      </c>
      <c r="E35" s="56">
        <v>1336000</v>
      </c>
      <c r="F35" s="13">
        <f t="shared" si="5"/>
        <v>10294000</v>
      </c>
      <c r="G35" s="58">
        <f t="shared" si="6"/>
        <v>4444000</v>
      </c>
      <c r="H35" s="14"/>
      <c r="I35" s="29"/>
      <c r="J35" s="27">
        <v>45625</v>
      </c>
      <c r="K35" s="30" t="s">
        <v>431</v>
      </c>
      <c r="L35" s="18">
        <v>3898500</v>
      </c>
    </row>
    <row r="36" spans="1:12">
      <c r="A36" s="12">
        <v>45625</v>
      </c>
      <c r="B36" s="13">
        <v>1200000</v>
      </c>
      <c r="C36" s="13"/>
      <c r="D36" s="54">
        <f t="shared" si="7"/>
        <v>1200000</v>
      </c>
      <c r="E36" s="56">
        <v>985000</v>
      </c>
      <c r="F36" s="13">
        <f t="shared" si="5"/>
        <v>215000</v>
      </c>
      <c r="G36" s="58">
        <f t="shared" si="6"/>
        <v>-985000</v>
      </c>
      <c r="H36" s="14"/>
      <c r="I36" s="29"/>
      <c r="J36" s="27">
        <v>45625</v>
      </c>
      <c r="K36" s="30" t="s">
        <v>344</v>
      </c>
      <c r="L36" s="18">
        <v>550000</v>
      </c>
    </row>
    <row r="37" spans="1:12" ht="12.75" customHeight="1">
      <c r="A37" s="12">
        <v>45626</v>
      </c>
      <c r="B37" s="13">
        <v>4050000</v>
      </c>
      <c r="C37" s="13">
        <v>2725000</v>
      </c>
      <c r="D37" s="54">
        <f t="shared" si="7"/>
        <v>6775000</v>
      </c>
      <c r="E37" s="56">
        <v>1355000</v>
      </c>
      <c r="F37" s="13">
        <f>D37-E37</f>
        <v>5420000</v>
      </c>
      <c r="G37" s="58">
        <f t="shared" si="6"/>
        <v>1370000</v>
      </c>
      <c r="H37" s="14"/>
      <c r="I37" s="29"/>
      <c r="J37" s="27">
        <v>45625</v>
      </c>
      <c r="K37" s="30" t="s">
        <v>432</v>
      </c>
      <c r="L37" s="18">
        <v>750000</v>
      </c>
    </row>
    <row r="38" spans="1:12" ht="12.75" customHeight="1">
      <c r="A38" s="12"/>
      <c r="B38" s="13"/>
      <c r="C38" s="13"/>
      <c r="D38" s="54"/>
      <c r="E38" s="56"/>
      <c r="F38" s="13"/>
      <c r="G38" s="58"/>
      <c r="H38" s="14"/>
      <c r="I38" s="29"/>
      <c r="J38" s="27">
        <v>45625</v>
      </c>
      <c r="K38" s="30" t="s">
        <v>433</v>
      </c>
      <c r="L38" s="18">
        <v>140000</v>
      </c>
    </row>
    <row r="39" spans="1:12">
      <c r="A39" s="12"/>
      <c r="B39" s="13"/>
      <c r="C39" s="13"/>
      <c r="D39" s="54"/>
      <c r="E39" s="56"/>
      <c r="F39" s="13"/>
      <c r="G39" s="58"/>
      <c r="H39" s="14"/>
      <c r="I39" s="29"/>
      <c r="J39" s="27">
        <v>45626</v>
      </c>
      <c r="K39" s="30" t="s">
        <v>434</v>
      </c>
      <c r="L39" s="18">
        <v>700000</v>
      </c>
    </row>
    <row r="40" spans="1:12">
      <c r="A40" s="12"/>
      <c r="B40" s="13"/>
      <c r="C40" s="13"/>
      <c r="D40" s="54"/>
      <c r="E40" s="56"/>
      <c r="F40" s="13"/>
      <c r="G40" s="58"/>
      <c r="H40" s="14"/>
      <c r="I40" s="29"/>
      <c r="J40" s="27"/>
      <c r="K40" s="30"/>
      <c r="L40" s="18"/>
    </row>
    <row r="41" spans="1:12">
      <c r="A41" s="49"/>
      <c r="B41" s="50"/>
      <c r="C41" s="50"/>
      <c r="D41" s="54"/>
      <c r="E41" s="56"/>
      <c r="F41" s="50"/>
      <c r="G41" s="58"/>
      <c r="H41" s="51"/>
      <c r="I41" s="29"/>
      <c r="J41" s="34"/>
      <c r="K41" s="23"/>
      <c r="L41" s="62">
        <f>SUM(L7:L40)</f>
        <v>94573500</v>
      </c>
    </row>
    <row r="42" spans="1:12">
      <c r="A42" s="12"/>
      <c r="B42" s="13"/>
      <c r="C42" s="13"/>
      <c r="D42" s="54"/>
      <c r="E42" s="56"/>
      <c r="F42" s="13"/>
      <c r="G42" s="58"/>
      <c r="H42" s="14"/>
      <c r="I42" s="29"/>
      <c r="J42" s="28"/>
      <c r="K42" s="1"/>
      <c r="L42" s="1"/>
    </row>
    <row r="43" spans="1:12" ht="15.75">
      <c r="A43" s="12"/>
      <c r="B43" s="13"/>
      <c r="C43" s="13"/>
      <c r="D43" s="54"/>
      <c r="E43" s="56"/>
      <c r="F43" s="13"/>
      <c r="G43" s="58"/>
      <c r="H43" s="14"/>
      <c r="I43" s="29"/>
      <c r="J43" s="35" t="s">
        <v>11</v>
      </c>
      <c r="K43" s="36" t="s">
        <v>12</v>
      </c>
      <c r="L43" s="60">
        <f>B52+C52</f>
        <v>185156000</v>
      </c>
    </row>
    <row r="44" spans="1:12" ht="15.75">
      <c r="A44" s="12"/>
      <c r="B44" s="13"/>
      <c r="C44" s="13"/>
      <c r="D44" s="54"/>
      <c r="E44" s="56"/>
      <c r="F44" s="13"/>
      <c r="G44" s="58"/>
      <c r="H44" s="14"/>
      <c r="I44" s="29"/>
      <c r="J44" s="39"/>
      <c r="K44" s="40" t="s">
        <v>13</v>
      </c>
      <c r="L44" s="61">
        <v>44477000</v>
      </c>
    </row>
    <row r="45" spans="1:12" ht="15.75">
      <c r="A45" s="12"/>
      <c r="B45" s="13"/>
      <c r="C45" s="13"/>
      <c r="D45" s="54"/>
      <c r="E45" s="56"/>
      <c r="F45" s="13"/>
      <c r="G45" s="58"/>
      <c r="H45" s="14"/>
      <c r="I45" s="29"/>
      <c r="J45" s="39"/>
      <c r="K45" s="40" t="s">
        <v>14</v>
      </c>
      <c r="L45" s="61">
        <v>94573500</v>
      </c>
    </row>
    <row r="46" spans="1:12" ht="15.75">
      <c r="A46" s="12"/>
      <c r="B46" s="13"/>
      <c r="C46" s="13"/>
      <c r="D46" s="54"/>
      <c r="E46" s="56"/>
      <c r="F46" s="13"/>
      <c r="G46" s="58"/>
      <c r="H46" s="14"/>
      <c r="I46" s="38"/>
      <c r="J46" s="39"/>
      <c r="K46" s="40" t="s">
        <v>15</v>
      </c>
      <c r="L46" s="41">
        <v>139050500</v>
      </c>
    </row>
    <row r="47" spans="1:12" ht="15.75">
      <c r="A47" s="12"/>
      <c r="B47" s="13"/>
      <c r="C47" s="13"/>
      <c r="D47" s="54"/>
      <c r="E47" s="56"/>
      <c r="F47" s="13"/>
      <c r="G47" s="58"/>
      <c r="H47" s="14"/>
      <c r="I47" s="29"/>
      <c r="J47" s="39"/>
      <c r="K47" s="42"/>
      <c r="L47" s="37"/>
    </row>
    <row r="48" spans="1:12" ht="18">
      <c r="A48" s="49"/>
      <c r="B48" s="50"/>
      <c r="C48" s="50"/>
      <c r="D48" s="54"/>
      <c r="E48" s="56"/>
      <c r="F48" s="50"/>
      <c r="G48" s="58"/>
      <c r="H48" s="51"/>
      <c r="I48" s="29"/>
      <c r="J48" s="80" t="s">
        <v>409</v>
      </c>
      <c r="K48" s="80"/>
      <c r="L48" s="43">
        <f>L43-L46</f>
        <v>46105500</v>
      </c>
    </row>
    <row r="49" spans="1:12">
      <c r="A49" s="12"/>
      <c r="B49" s="13"/>
      <c r="C49" s="13"/>
      <c r="D49" s="54"/>
      <c r="E49" s="56"/>
      <c r="F49" s="13"/>
      <c r="G49" s="58"/>
      <c r="H49" s="14"/>
      <c r="I49" s="29"/>
      <c r="J49" s="29"/>
      <c r="K49" s="29"/>
      <c r="L49" s="1"/>
    </row>
    <row r="50" spans="1:12">
      <c r="A50" s="12"/>
      <c r="B50" s="13"/>
      <c r="C50" s="13"/>
      <c r="D50" s="54"/>
      <c r="E50" s="56"/>
      <c r="F50" s="13"/>
      <c r="G50" s="58"/>
      <c r="H50" s="14"/>
      <c r="I50" s="29"/>
      <c r="J50" s="1"/>
      <c r="K50" s="1"/>
      <c r="L50" s="1"/>
    </row>
    <row r="51" spans="1:12">
      <c r="A51" s="12"/>
      <c r="B51" s="13"/>
      <c r="C51" s="13"/>
      <c r="D51" s="54"/>
      <c r="E51" s="56"/>
      <c r="F51" s="13"/>
      <c r="G51" s="58"/>
      <c r="H51" s="14"/>
      <c r="I51" s="1"/>
      <c r="J51" s="1"/>
      <c r="K51" s="1"/>
      <c r="L51" s="1"/>
    </row>
    <row r="52" spans="1:12">
      <c r="A52" s="12"/>
      <c r="B52" s="44">
        <f t="shared" ref="B52:G52" si="8">SUM(B8:B51)</f>
        <v>121166000</v>
      </c>
      <c r="C52" s="44">
        <f t="shared" si="8"/>
        <v>63990000</v>
      </c>
      <c r="D52" s="55">
        <f t="shared" si="8"/>
        <v>185156000</v>
      </c>
      <c r="E52" s="57">
        <f t="shared" si="8"/>
        <v>44477000</v>
      </c>
      <c r="F52" s="53">
        <f t="shared" si="8"/>
        <v>140679000</v>
      </c>
      <c r="G52" s="59">
        <f t="shared" si="8"/>
        <v>19513000</v>
      </c>
      <c r="H52" s="29"/>
      <c r="I52" s="1"/>
    </row>
    <row r="53" spans="1:12">
      <c r="A53" s="1"/>
      <c r="B53" s="1"/>
      <c r="C53" s="1"/>
      <c r="D53" s="45"/>
      <c r="E53" s="1"/>
      <c r="F53" s="1"/>
      <c r="G53" s="1"/>
      <c r="H53" s="29"/>
      <c r="I53" s="1"/>
    </row>
  </sheetData>
  <mergeCells count="8">
    <mergeCell ref="J48:K48"/>
    <mergeCell ref="G5:G6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3:L52"/>
  <sheetViews>
    <sheetView tabSelected="1" topLeftCell="C25" workbookViewId="0">
      <selection activeCell="K51" sqref="K51"/>
    </sheetView>
  </sheetViews>
  <sheetFormatPr defaultRowHeight="15"/>
  <cols>
    <col min="2" max="2" width="16.5703125" customWidth="1"/>
    <col min="3" max="3" width="17.5703125" customWidth="1"/>
    <col min="4" max="4" width="19.7109375" customWidth="1"/>
    <col min="5" max="5" width="20" customWidth="1"/>
    <col min="6" max="6" width="19.7109375" customWidth="1"/>
    <col min="7" max="7" width="18.85546875" customWidth="1"/>
    <col min="11" max="11" width="35.140625" customWidth="1"/>
    <col min="12" max="12" width="18.28515625" customWidth="1"/>
  </cols>
  <sheetData>
    <row r="3" spans="1:12" ht="15" customHeight="1">
      <c r="A3" s="81" t="s">
        <v>411</v>
      </c>
      <c r="B3" s="82"/>
      <c r="C3" s="82"/>
      <c r="D3" s="82"/>
      <c r="E3" s="82"/>
      <c r="F3" s="1"/>
      <c r="G3" s="1"/>
      <c r="H3" s="1"/>
      <c r="I3" s="1"/>
      <c r="J3" s="1"/>
      <c r="K3" s="1"/>
      <c r="L3" s="1"/>
    </row>
    <row r="4" spans="1:12">
      <c r="A4" s="83"/>
      <c r="B4" s="83"/>
      <c r="C4" s="83"/>
      <c r="D4" s="83"/>
      <c r="E4" s="83"/>
      <c r="F4" s="1"/>
      <c r="G4" s="1"/>
      <c r="H4" s="1"/>
      <c r="I4" s="1"/>
      <c r="J4" s="1"/>
      <c r="K4" s="1"/>
      <c r="L4" s="1"/>
    </row>
    <row r="5" spans="1:12" ht="15.75" customHeight="1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2"/>
      <c r="I5" s="3"/>
      <c r="J5" s="4" t="s">
        <v>6</v>
      </c>
      <c r="K5" s="5"/>
      <c r="L5" s="6"/>
    </row>
    <row r="6" spans="1:12" ht="15.75">
      <c r="A6" s="85"/>
      <c r="B6" s="7" t="s">
        <v>7</v>
      </c>
      <c r="C6" s="77" t="s">
        <v>8</v>
      </c>
      <c r="D6" s="89"/>
      <c r="E6" s="79"/>
      <c r="F6" s="89"/>
      <c r="G6" s="79"/>
      <c r="H6" s="2"/>
      <c r="I6" s="3"/>
      <c r="J6" s="9" t="s">
        <v>0</v>
      </c>
      <c r="K6" s="10" t="s">
        <v>9</v>
      </c>
      <c r="L6" s="11" t="s">
        <v>10</v>
      </c>
    </row>
    <row r="7" spans="1:12">
      <c r="A7" s="49"/>
      <c r="B7" s="50"/>
      <c r="C7" s="50"/>
      <c r="D7" s="54"/>
      <c r="E7" s="56"/>
      <c r="F7" s="50"/>
      <c r="G7" s="58">
        <f t="shared" ref="G7:G19" si="0">C7-E7</f>
        <v>0</v>
      </c>
      <c r="H7" s="51"/>
      <c r="I7" s="6"/>
      <c r="J7" s="68" t="s">
        <v>436</v>
      </c>
      <c r="K7" s="63" t="s">
        <v>405</v>
      </c>
      <c r="L7" s="18">
        <v>3000000</v>
      </c>
    </row>
    <row r="8" spans="1:12">
      <c r="A8" s="12" t="s">
        <v>435</v>
      </c>
      <c r="B8" s="13">
        <v>6300000</v>
      </c>
      <c r="C8" s="13">
        <v>1425000</v>
      </c>
      <c r="D8" s="54">
        <f>B8+C8</f>
        <v>7725000</v>
      </c>
      <c r="E8" s="56">
        <v>2015000</v>
      </c>
      <c r="F8" s="13">
        <f t="shared" ref="F8:F19" si="1">D8-E8</f>
        <v>5710000</v>
      </c>
      <c r="G8" s="58">
        <f t="shared" si="0"/>
        <v>-590000</v>
      </c>
      <c r="H8" s="14"/>
      <c r="I8" s="19"/>
      <c r="J8" s="68" t="s">
        <v>441</v>
      </c>
      <c r="K8" s="63" t="s">
        <v>442</v>
      </c>
      <c r="L8" s="18">
        <v>1500000</v>
      </c>
    </row>
    <row r="9" spans="1:12">
      <c r="A9" s="49" t="s">
        <v>436</v>
      </c>
      <c r="B9" s="50">
        <v>950000</v>
      </c>
      <c r="C9" s="50">
        <v>4450000</v>
      </c>
      <c r="D9" s="54">
        <f>B9+C9</f>
        <v>5400000</v>
      </c>
      <c r="E9" s="56">
        <v>2165000</v>
      </c>
      <c r="F9" s="50">
        <f t="shared" si="1"/>
        <v>3235000</v>
      </c>
      <c r="G9" s="58">
        <f t="shared" si="0"/>
        <v>2285000</v>
      </c>
      <c r="H9" s="14"/>
      <c r="I9" s="6"/>
      <c r="J9" s="20" t="s">
        <v>441</v>
      </c>
      <c r="K9" s="21" t="s">
        <v>407</v>
      </c>
      <c r="L9" s="18">
        <v>1925000</v>
      </c>
    </row>
    <row r="10" spans="1:12">
      <c r="A10" s="12" t="s">
        <v>437</v>
      </c>
      <c r="B10" s="13"/>
      <c r="C10" s="13">
        <v>2625000</v>
      </c>
      <c r="D10" s="54">
        <f>B10+C10</f>
        <v>2625000</v>
      </c>
      <c r="E10" s="56">
        <v>1104000</v>
      </c>
      <c r="F10" s="50">
        <f t="shared" si="1"/>
        <v>1521000</v>
      </c>
      <c r="G10" s="58">
        <f t="shared" si="0"/>
        <v>1521000</v>
      </c>
      <c r="H10" s="14"/>
      <c r="I10" s="22"/>
      <c r="J10" s="20" t="s">
        <v>441</v>
      </c>
      <c r="K10" s="46" t="s">
        <v>443</v>
      </c>
      <c r="L10" s="18">
        <v>425000</v>
      </c>
    </row>
    <row r="11" spans="1:12">
      <c r="A11" s="12" t="s">
        <v>452</v>
      </c>
      <c r="B11" s="13">
        <v>15250000</v>
      </c>
      <c r="C11" s="13">
        <v>1350000</v>
      </c>
      <c r="D11" s="54">
        <f>B11+C11</f>
        <v>16600000</v>
      </c>
      <c r="E11" s="56">
        <v>1754000</v>
      </c>
      <c r="F11" s="50">
        <f t="shared" si="1"/>
        <v>14846000</v>
      </c>
      <c r="G11" s="58">
        <f t="shared" si="0"/>
        <v>-404000</v>
      </c>
      <c r="H11" s="14"/>
      <c r="I11" s="22"/>
      <c r="J11" s="12" t="s">
        <v>446</v>
      </c>
      <c r="K11" s="21" t="s">
        <v>447</v>
      </c>
      <c r="L11" s="18">
        <v>2400000</v>
      </c>
    </row>
    <row r="12" spans="1:12">
      <c r="A12" s="12" t="s">
        <v>438</v>
      </c>
      <c r="B12" s="13">
        <v>850000</v>
      </c>
      <c r="C12" s="50">
        <v>1000000</v>
      </c>
      <c r="D12" s="54">
        <f>B12+C12</f>
        <v>1850000</v>
      </c>
      <c r="E12" s="56">
        <v>1358000</v>
      </c>
      <c r="F12" s="13">
        <f t="shared" si="1"/>
        <v>492000</v>
      </c>
      <c r="G12" s="58">
        <f t="shared" si="0"/>
        <v>-358000</v>
      </c>
      <c r="H12" s="14"/>
      <c r="I12" s="6"/>
      <c r="J12" s="12" t="s">
        <v>448</v>
      </c>
      <c r="K12" s="15" t="s">
        <v>34</v>
      </c>
      <c r="L12" s="18">
        <v>500000</v>
      </c>
    </row>
    <row r="13" spans="1:12">
      <c r="A13" s="12" t="s">
        <v>439</v>
      </c>
      <c r="B13" s="13">
        <v>10295000</v>
      </c>
      <c r="C13" s="13">
        <v>5900000</v>
      </c>
      <c r="D13" s="54">
        <f t="shared" ref="D13:D19" si="2">B13+C13</f>
        <v>16195000</v>
      </c>
      <c r="E13" s="56">
        <v>3005000</v>
      </c>
      <c r="F13" s="13">
        <f t="shared" si="1"/>
        <v>13190000</v>
      </c>
      <c r="G13" s="58">
        <f t="shared" si="0"/>
        <v>2895000</v>
      </c>
      <c r="H13" s="14"/>
      <c r="I13" s="6"/>
      <c r="J13" s="12" t="s">
        <v>453</v>
      </c>
      <c r="K13" s="25" t="s">
        <v>422</v>
      </c>
      <c r="L13" s="18">
        <v>1080000</v>
      </c>
    </row>
    <row r="14" spans="1:12">
      <c r="A14" s="49" t="s">
        <v>440</v>
      </c>
      <c r="B14" s="50">
        <v>3000000</v>
      </c>
      <c r="C14" s="50">
        <v>6930000</v>
      </c>
      <c r="D14" s="54">
        <f t="shared" si="2"/>
        <v>9930000</v>
      </c>
      <c r="E14" s="56">
        <v>1890000</v>
      </c>
      <c r="F14" s="50">
        <f t="shared" si="1"/>
        <v>8040000</v>
      </c>
      <c r="G14" s="58">
        <f t="shared" si="0"/>
        <v>5040000</v>
      </c>
      <c r="H14" s="52"/>
      <c r="I14" s="6"/>
      <c r="J14" s="12" t="s">
        <v>453</v>
      </c>
      <c r="K14" s="25" t="s">
        <v>422</v>
      </c>
      <c r="L14" s="18">
        <v>1106000</v>
      </c>
    </row>
    <row r="15" spans="1:12">
      <c r="A15" s="12" t="s">
        <v>441</v>
      </c>
      <c r="B15" s="13">
        <v>1150000</v>
      </c>
      <c r="C15" s="13">
        <v>1350000</v>
      </c>
      <c r="D15" s="54">
        <f t="shared" si="2"/>
        <v>2500000</v>
      </c>
      <c r="E15" s="56">
        <v>1010000</v>
      </c>
      <c r="F15" s="13">
        <f t="shared" si="1"/>
        <v>1490000</v>
      </c>
      <c r="G15" s="58">
        <f t="shared" si="0"/>
        <v>340000</v>
      </c>
      <c r="H15" s="24"/>
      <c r="I15" s="22"/>
      <c r="J15" s="27" t="s">
        <v>453</v>
      </c>
      <c r="K15" s="47" t="s">
        <v>30</v>
      </c>
      <c r="L15" s="48">
        <v>1500000</v>
      </c>
    </row>
    <row r="16" spans="1:12">
      <c r="A16" s="12" t="s">
        <v>444</v>
      </c>
      <c r="B16" s="13">
        <v>1000000</v>
      </c>
      <c r="C16" s="13">
        <v>1300000</v>
      </c>
      <c r="D16" s="54">
        <f t="shared" si="2"/>
        <v>2300000</v>
      </c>
      <c r="E16" s="56">
        <v>1049000</v>
      </c>
      <c r="F16" s="13">
        <f t="shared" si="1"/>
        <v>1251000</v>
      </c>
      <c r="G16" s="58">
        <f t="shared" si="0"/>
        <v>251000</v>
      </c>
      <c r="H16" s="24"/>
      <c r="I16" s="26"/>
      <c r="J16" s="12" t="s">
        <v>453</v>
      </c>
      <c r="K16" s="25" t="s">
        <v>454</v>
      </c>
      <c r="L16" s="18">
        <v>3000000</v>
      </c>
    </row>
    <row r="17" spans="1:12">
      <c r="A17" s="12" t="s">
        <v>445</v>
      </c>
      <c r="B17" s="13">
        <v>150000</v>
      </c>
      <c r="C17" s="13"/>
      <c r="D17" s="54">
        <f t="shared" si="2"/>
        <v>150000</v>
      </c>
      <c r="E17" s="56">
        <v>1815000</v>
      </c>
      <c r="F17" s="13">
        <f t="shared" si="1"/>
        <v>-1665000</v>
      </c>
      <c r="G17" s="58">
        <f t="shared" si="0"/>
        <v>-1815000</v>
      </c>
      <c r="H17" s="24"/>
      <c r="I17" s="26"/>
      <c r="J17" s="12" t="s">
        <v>456</v>
      </c>
      <c r="K17" s="23" t="s">
        <v>447</v>
      </c>
      <c r="L17" s="18">
        <v>263000</v>
      </c>
    </row>
    <row r="18" spans="1:12">
      <c r="A18" s="12" t="s">
        <v>446</v>
      </c>
      <c r="B18" s="13">
        <v>8650000</v>
      </c>
      <c r="C18" s="13">
        <v>2550000</v>
      </c>
      <c r="D18" s="54">
        <f t="shared" si="2"/>
        <v>11200000</v>
      </c>
      <c r="E18" s="56">
        <v>1487000</v>
      </c>
      <c r="F18" s="13">
        <f t="shared" si="1"/>
        <v>9713000</v>
      </c>
      <c r="G18" s="58">
        <f t="shared" si="0"/>
        <v>1063000</v>
      </c>
      <c r="H18" s="24"/>
      <c r="I18" s="29"/>
      <c r="J18" s="27" t="s">
        <v>458</v>
      </c>
      <c r="K18" s="30" t="s">
        <v>427</v>
      </c>
      <c r="L18" s="18">
        <v>10000000</v>
      </c>
    </row>
    <row r="19" spans="1:12">
      <c r="A19" s="12" t="s">
        <v>448</v>
      </c>
      <c r="B19" s="13">
        <v>1900000</v>
      </c>
      <c r="C19" s="13">
        <v>4350000</v>
      </c>
      <c r="D19" s="54">
        <f t="shared" si="2"/>
        <v>6250000</v>
      </c>
      <c r="E19" s="56">
        <v>1916000</v>
      </c>
      <c r="F19" s="13">
        <f t="shared" si="1"/>
        <v>4334000</v>
      </c>
      <c r="G19" s="58">
        <f t="shared" si="0"/>
        <v>2434000</v>
      </c>
      <c r="H19" s="24"/>
      <c r="I19" s="29"/>
      <c r="J19" s="32" t="s">
        <v>458</v>
      </c>
      <c r="K19" s="23" t="s">
        <v>431</v>
      </c>
      <c r="L19" s="18">
        <v>1724250</v>
      </c>
    </row>
    <row r="20" spans="1:12">
      <c r="A20" s="12" t="s">
        <v>449</v>
      </c>
      <c r="B20" s="13"/>
      <c r="C20" s="13">
        <v>6050000</v>
      </c>
      <c r="D20" s="54">
        <f>B20+C20</f>
        <v>6050000</v>
      </c>
      <c r="E20" s="56">
        <v>1677000</v>
      </c>
      <c r="F20" s="13">
        <f t="shared" ref="F20:F26" si="3">D20-E20</f>
        <v>4373000</v>
      </c>
      <c r="G20" s="58">
        <f t="shared" ref="G20:G26" si="4">C20-E20</f>
        <v>4373000</v>
      </c>
      <c r="H20" s="24"/>
      <c r="I20" s="31"/>
      <c r="J20" s="27" t="s">
        <v>459</v>
      </c>
      <c r="K20" s="30" t="s">
        <v>34</v>
      </c>
      <c r="L20" s="18">
        <v>500000</v>
      </c>
    </row>
    <row r="21" spans="1:12">
      <c r="A21" s="49" t="s">
        <v>450</v>
      </c>
      <c r="B21" s="50">
        <v>200000</v>
      </c>
      <c r="C21" s="50">
        <v>1150000</v>
      </c>
      <c r="D21" s="54">
        <v>1350000</v>
      </c>
      <c r="E21" s="56">
        <v>1150000</v>
      </c>
      <c r="F21" s="50">
        <f t="shared" si="3"/>
        <v>200000</v>
      </c>
      <c r="G21" s="58">
        <f t="shared" si="4"/>
        <v>0</v>
      </c>
      <c r="H21" s="51"/>
      <c r="I21" s="29"/>
      <c r="J21" s="27" t="s">
        <v>459</v>
      </c>
      <c r="K21" s="30" t="s">
        <v>367</v>
      </c>
      <c r="L21" s="18">
        <v>2000000</v>
      </c>
    </row>
    <row r="22" spans="1:12">
      <c r="A22" s="70" t="s">
        <v>451</v>
      </c>
      <c r="B22" s="71"/>
      <c r="C22" s="71"/>
      <c r="D22" s="71">
        <f t="shared" ref="D22:D28" si="5">B22+C22</f>
        <v>0</v>
      </c>
      <c r="E22" s="71"/>
      <c r="F22" s="71">
        <f t="shared" si="3"/>
        <v>0</v>
      </c>
      <c r="G22" s="71">
        <f t="shared" si="4"/>
        <v>0</v>
      </c>
      <c r="H22" s="51"/>
      <c r="I22" s="29"/>
      <c r="J22" s="27" t="s">
        <v>462</v>
      </c>
      <c r="K22" s="30" t="s">
        <v>463</v>
      </c>
      <c r="L22" s="18">
        <v>1230000</v>
      </c>
    </row>
    <row r="23" spans="1:12">
      <c r="A23" s="49" t="s">
        <v>453</v>
      </c>
      <c r="B23" s="50">
        <v>5050000</v>
      </c>
      <c r="C23" s="50">
        <v>500000</v>
      </c>
      <c r="D23" s="54">
        <f t="shared" si="5"/>
        <v>5550000</v>
      </c>
      <c r="E23" s="56">
        <v>1344000</v>
      </c>
      <c r="F23" s="50">
        <f t="shared" si="3"/>
        <v>4206000</v>
      </c>
      <c r="G23" s="58">
        <f t="shared" si="4"/>
        <v>-844000</v>
      </c>
      <c r="H23" s="51"/>
      <c r="I23" s="29"/>
      <c r="J23" s="27" t="s">
        <v>466</v>
      </c>
      <c r="K23" s="30" t="s">
        <v>422</v>
      </c>
      <c r="L23" s="18">
        <v>1500000</v>
      </c>
    </row>
    <row r="24" spans="1:12">
      <c r="A24" s="49" t="s">
        <v>455</v>
      </c>
      <c r="B24" s="50">
        <v>2450000</v>
      </c>
      <c r="C24" s="50">
        <v>3085000</v>
      </c>
      <c r="D24" s="54">
        <f t="shared" si="5"/>
        <v>5535000</v>
      </c>
      <c r="E24" s="56">
        <v>1036000</v>
      </c>
      <c r="F24" s="50">
        <f t="shared" si="3"/>
        <v>4499000</v>
      </c>
      <c r="G24" s="58">
        <f t="shared" si="4"/>
        <v>2049000</v>
      </c>
      <c r="H24" s="51"/>
      <c r="I24" s="29"/>
      <c r="J24" s="27" t="s">
        <v>466</v>
      </c>
      <c r="K24" s="30" t="s">
        <v>471</v>
      </c>
      <c r="L24" s="18">
        <v>500000</v>
      </c>
    </row>
    <row r="25" spans="1:12">
      <c r="A25" s="49" t="s">
        <v>456</v>
      </c>
      <c r="B25" s="50">
        <v>550000</v>
      </c>
      <c r="C25" s="50">
        <v>2375000</v>
      </c>
      <c r="D25" s="54">
        <f t="shared" si="5"/>
        <v>2925000</v>
      </c>
      <c r="E25" s="56">
        <v>1443000</v>
      </c>
      <c r="F25" s="50">
        <f t="shared" si="3"/>
        <v>1482000</v>
      </c>
      <c r="G25" s="58">
        <f t="shared" si="4"/>
        <v>932000</v>
      </c>
      <c r="H25" s="51"/>
      <c r="I25" s="29"/>
      <c r="J25" s="27" t="s">
        <v>467</v>
      </c>
      <c r="K25" s="30" t="s">
        <v>474</v>
      </c>
      <c r="L25" s="18">
        <v>1522000</v>
      </c>
    </row>
    <row r="26" spans="1:12">
      <c r="A26" s="49" t="s">
        <v>457</v>
      </c>
      <c r="B26" s="50">
        <v>12550000</v>
      </c>
      <c r="C26" s="50">
        <v>1335000</v>
      </c>
      <c r="D26" s="54">
        <f t="shared" si="5"/>
        <v>13885000</v>
      </c>
      <c r="E26" s="56">
        <v>1345000</v>
      </c>
      <c r="F26" s="50">
        <f t="shared" si="3"/>
        <v>12540000</v>
      </c>
      <c r="G26" s="58">
        <f t="shared" si="4"/>
        <v>-10000</v>
      </c>
      <c r="H26" s="51"/>
      <c r="I26" s="29"/>
      <c r="J26" s="27" t="s">
        <v>467</v>
      </c>
      <c r="K26" s="30" t="s">
        <v>473</v>
      </c>
      <c r="L26" s="18">
        <v>1600000</v>
      </c>
    </row>
    <row r="27" spans="1:12">
      <c r="A27" s="12" t="s">
        <v>458</v>
      </c>
      <c r="B27" s="13">
        <v>4350000</v>
      </c>
      <c r="C27" s="13">
        <v>650000</v>
      </c>
      <c r="D27" s="54">
        <f t="shared" si="5"/>
        <v>5000000</v>
      </c>
      <c r="E27" s="56">
        <v>1561000</v>
      </c>
      <c r="F27" s="13">
        <f t="shared" ref="F27:F35" si="6">D27-E27</f>
        <v>3439000</v>
      </c>
      <c r="G27" s="58">
        <f t="shared" ref="G27:G35" si="7">C27-E27</f>
        <v>-911000</v>
      </c>
      <c r="H27" s="14"/>
      <c r="I27" s="29"/>
      <c r="J27" s="27" t="s">
        <v>467</v>
      </c>
      <c r="K27" s="30" t="s">
        <v>473</v>
      </c>
      <c r="L27" s="18">
        <v>1400000</v>
      </c>
    </row>
    <row r="28" spans="1:12">
      <c r="A28" s="12" t="s">
        <v>459</v>
      </c>
      <c r="B28" s="13">
        <v>5400000</v>
      </c>
      <c r="C28" s="13">
        <v>4900000</v>
      </c>
      <c r="D28" s="54">
        <f t="shared" si="5"/>
        <v>10300000</v>
      </c>
      <c r="E28" s="56">
        <v>2126000</v>
      </c>
      <c r="F28" s="13">
        <f t="shared" si="6"/>
        <v>8174000</v>
      </c>
      <c r="G28" s="58">
        <f t="shared" si="7"/>
        <v>2774000</v>
      </c>
      <c r="H28" s="14"/>
      <c r="I28" s="31"/>
      <c r="J28" s="27" t="s">
        <v>467</v>
      </c>
      <c r="K28" s="30" t="s">
        <v>475</v>
      </c>
      <c r="L28" s="18">
        <v>1600000</v>
      </c>
    </row>
    <row r="29" spans="1:12">
      <c r="A29" s="12" t="s">
        <v>460</v>
      </c>
      <c r="B29" s="13">
        <v>4300000</v>
      </c>
      <c r="C29" s="13">
        <v>8000000</v>
      </c>
      <c r="D29" s="54">
        <f t="shared" ref="D29:D35" si="8">B29+C29</f>
        <v>12300000</v>
      </c>
      <c r="E29" s="56">
        <v>783000</v>
      </c>
      <c r="F29" s="13">
        <f t="shared" si="6"/>
        <v>11517000</v>
      </c>
      <c r="G29" s="58">
        <f t="shared" si="7"/>
        <v>7217000</v>
      </c>
      <c r="H29" s="14"/>
      <c r="I29" s="29"/>
      <c r="J29" s="27" t="s">
        <v>467</v>
      </c>
      <c r="K29" s="30" t="s">
        <v>473</v>
      </c>
      <c r="L29" s="18">
        <v>875000</v>
      </c>
    </row>
    <row r="30" spans="1:12">
      <c r="A30" s="12" t="s">
        <v>461</v>
      </c>
      <c r="B30" s="13">
        <v>2000000</v>
      </c>
      <c r="C30" s="13">
        <v>1550000</v>
      </c>
      <c r="D30" s="54">
        <f t="shared" si="8"/>
        <v>3550000</v>
      </c>
      <c r="E30" s="56">
        <v>2343000</v>
      </c>
      <c r="F30" s="13">
        <f t="shared" si="6"/>
        <v>1207000</v>
      </c>
      <c r="G30" s="58">
        <f t="shared" si="7"/>
        <v>-793000</v>
      </c>
      <c r="H30" s="33"/>
      <c r="I30" s="29"/>
      <c r="J30" s="27" t="s">
        <v>468</v>
      </c>
      <c r="K30" s="30" t="s">
        <v>34</v>
      </c>
      <c r="L30" s="18">
        <v>500000</v>
      </c>
    </row>
    <row r="31" spans="1:12">
      <c r="A31" s="12" t="s">
        <v>462</v>
      </c>
      <c r="B31" s="13">
        <v>250000</v>
      </c>
      <c r="C31" s="13">
        <v>675000</v>
      </c>
      <c r="D31" s="54">
        <f t="shared" si="8"/>
        <v>925000</v>
      </c>
      <c r="E31" s="56">
        <v>1369000</v>
      </c>
      <c r="F31" s="13">
        <f t="shared" si="6"/>
        <v>-444000</v>
      </c>
      <c r="G31" s="58">
        <f t="shared" si="7"/>
        <v>-694000</v>
      </c>
      <c r="H31" s="14"/>
      <c r="I31" s="29"/>
      <c r="J31" s="27" t="s">
        <v>468</v>
      </c>
      <c r="K31" s="30" t="s">
        <v>476</v>
      </c>
      <c r="L31" s="18">
        <v>1100000</v>
      </c>
    </row>
    <row r="32" spans="1:12">
      <c r="A32" s="12" t="s">
        <v>464</v>
      </c>
      <c r="B32" s="13">
        <v>2550000</v>
      </c>
      <c r="C32" s="13"/>
      <c r="D32" s="54">
        <f t="shared" si="8"/>
        <v>2550000</v>
      </c>
      <c r="E32" s="56">
        <v>1187000</v>
      </c>
      <c r="F32" s="13">
        <f t="shared" si="6"/>
        <v>1363000</v>
      </c>
      <c r="G32" s="58">
        <f t="shared" si="7"/>
        <v>-1187000</v>
      </c>
      <c r="H32" s="14"/>
      <c r="I32" s="29"/>
      <c r="J32" s="27" t="s">
        <v>468</v>
      </c>
      <c r="K32" s="30" t="s">
        <v>426</v>
      </c>
      <c r="L32" s="18">
        <v>50000000</v>
      </c>
    </row>
    <row r="33" spans="1:12">
      <c r="A33" s="12" t="s">
        <v>465</v>
      </c>
      <c r="B33" s="13">
        <v>3150000</v>
      </c>
      <c r="C33" s="13">
        <v>425000</v>
      </c>
      <c r="D33" s="54">
        <f t="shared" si="8"/>
        <v>3575000</v>
      </c>
      <c r="E33" s="56">
        <v>1325000</v>
      </c>
      <c r="F33" s="13">
        <f t="shared" si="6"/>
        <v>2250000</v>
      </c>
      <c r="G33" s="58">
        <f t="shared" si="7"/>
        <v>-900000</v>
      </c>
      <c r="H33" s="14"/>
      <c r="I33" s="29"/>
      <c r="J33" s="27" t="s">
        <v>469</v>
      </c>
      <c r="K33" s="30" t="s">
        <v>426</v>
      </c>
      <c r="L33" s="18">
        <v>8045000</v>
      </c>
    </row>
    <row r="34" spans="1:12">
      <c r="A34" s="12" t="s">
        <v>466</v>
      </c>
      <c r="B34" s="13">
        <v>12650000</v>
      </c>
      <c r="C34" s="13">
        <v>2200000</v>
      </c>
      <c r="D34" s="54">
        <f t="shared" si="8"/>
        <v>14850000</v>
      </c>
      <c r="E34" s="56">
        <v>1705000</v>
      </c>
      <c r="F34" s="13">
        <f t="shared" si="6"/>
        <v>13145000</v>
      </c>
      <c r="G34" s="58">
        <f t="shared" si="7"/>
        <v>495000</v>
      </c>
      <c r="H34" s="14"/>
      <c r="I34" s="29"/>
      <c r="J34" s="27" t="s">
        <v>469</v>
      </c>
      <c r="K34" s="30" t="s">
        <v>414</v>
      </c>
      <c r="L34" s="18">
        <v>5000000</v>
      </c>
    </row>
    <row r="35" spans="1:12">
      <c r="A35" s="12" t="s">
        <v>467</v>
      </c>
      <c r="B35" s="13">
        <v>24750000</v>
      </c>
      <c r="C35" s="13">
        <v>1800000</v>
      </c>
      <c r="D35" s="54">
        <f t="shared" si="8"/>
        <v>26550000</v>
      </c>
      <c r="E35" s="56">
        <v>1682000</v>
      </c>
      <c r="F35" s="13">
        <f t="shared" si="6"/>
        <v>24868000</v>
      </c>
      <c r="G35" s="58">
        <f t="shared" si="7"/>
        <v>118000</v>
      </c>
      <c r="H35" s="14"/>
      <c r="I35" s="29"/>
      <c r="J35" s="27" t="s">
        <v>469</v>
      </c>
      <c r="K35" s="30" t="s">
        <v>424</v>
      </c>
      <c r="L35" s="18">
        <v>130000</v>
      </c>
    </row>
    <row r="36" spans="1:12">
      <c r="A36" s="12" t="s">
        <v>468</v>
      </c>
      <c r="B36" s="13">
        <v>3250000</v>
      </c>
      <c r="C36" s="13"/>
      <c r="D36" s="54">
        <f t="shared" ref="D36" si="9">B36+C36</f>
        <v>3250000</v>
      </c>
      <c r="E36" s="56">
        <v>834000</v>
      </c>
      <c r="F36" s="13">
        <f t="shared" ref="F36:F37" si="10">D36-E36</f>
        <v>2416000</v>
      </c>
      <c r="G36" s="58">
        <f t="shared" ref="G36:G37" si="11">C36-E36</f>
        <v>-834000</v>
      </c>
      <c r="H36" s="14"/>
      <c r="I36" s="29"/>
      <c r="J36" s="27" t="s">
        <v>469</v>
      </c>
      <c r="K36" s="30" t="s">
        <v>65</v>
      </c>
      <c r="L36" s="18">
        <v>500000</v>
      </c>
    </row>
    <row r="37" spans="1:12">
      <c r="A37" s="12" t="s">
        <v>469</v>
      </c>
      <c r="B37" s="13">
        <v>6400000</v>
      </c>
      <c r="C37" s="13">
        <v>1900000</v>
      </c>
      <c r="D37" s="54">
        <f>B37+C37</f>
        <v>8300000</v>
      </c>
      <c r="E37" s="56">
        <v>1334000</v>
      </c>
      <c r="F37" s="13">
        <f t="shared" si="10"/>
        <v>6966000</v>
      </c>
      <c r="G37" s="58">
        <f t="shared" si="11"/>
        <v>566000</v>
      </c>
      <c r="H37" s="14"/>
      <c r="I37" s="29"/>
      <c r="J37" s="27" t="s">
        <v>470</v>
      </c>
      <c r="K37" s="30" t="s">
        <v>405</v>
      </c>
      <c r="L37" s="18">
        <v>3200000</v>
      </c>
    </row>
    <row r="38" spans="1:12">
      <c r="A38" s="12" t="s">
        <v>470</v>
      </c>
      <c r="B38" s="13">
        <v>5370000</v>
      </c>
      <c r="C38" s="13">
        <v>1450000</v>
      </c>
      <c r="D38" s="54">
        <f t="shared" ref="D38" si="12">B38+C38</f>
        <v>6820000</v>
      </c>
      <c r="E38" s="56">
        <v>3057000</v>
      </c>
      <c r="F38" s="13">
        <f t="shared" ref="F38" si="13">D38-E38</f>
        <v>3763000</v>
      </c>
      <c r="G38" s="58">
        <f t="shared" ref="G38" si="14">C38-E38</f>
        <v>-1607000</v>
      </c>
      <c r="H38" s="14"/>
      <c r="I38" s="29"/>
      <c r="J38" s="27" t="s">
        <v>470</v>
      </c>
      <c r="K38" s="30" t="s">
        <v>406</v>
      </c>
      <c r="L38" s="18">
        <v>2200000</v>
      </c>
    </row>
    <row r="39" spans="1:12">
      <c r="A39" s="12"/>
      <c r="B39" s="13"/>
      <c r="C39" s="13"/>
      <c r="D39" s="54"/>
      <c r="E39" s="56"/>
      <c r="F39" s="13"/>
      <c r="G39" s="58"/>
      <c r="H39" s="14"/>
      <c r="I39" s="29"/>
      <c r="J39" s="27"/>
      <c r="K39" s="30"/>
      <c r="L39" s="18"/>
    </row>
    <row r="40" spans="1:12">
      <c r="A40" s="49"/>
      <c r="B40" s="50"/>
      <c r="C40" s="50"/>
      <c r="D40" s="54"/>
      <c r="E40" s="56"/>
      <c r="F40" s="50"/>
      <c r="G40" s="58"/>
      <c r="H40" s="51"/>
      <c r="I40" s="29"/>
      <c r="J40" s="27"/>
      <c r="K40" s="30"/>
      <c r="L40" s="18"/>
    </row>
    <row r="41" spans="1:12">
      <c r="A41" s="12"/>
      <c r="B41" s="13"/>
      <c r="C41" s="13"/>
      <c r="D41" s="54"/>
      <c r="E41" s="56"/>
      <c r="F41" s="13"/>
      <c r="G41" s="58"/>
      <c r="H41" s="14"/>
      <c r="I41" s="29"/>
      <c r="J41" s="34"/>
      <c r="K41" s="23"/>
      <c r="L41" s="62">
        <f>SUM(L7:L40)</f>
        <v>111825250</v>
      </c>
    </row>
    <row r="42" spans="1:12">
      <c r="A42" s="12"/>
      <c r="B42" s="13"/>
      <c r="C42" s="13"/>
      <c r="D42" s="54"/>
      <c r="E42" s="56"/>
      <c r="F42" s="13"/>
      <c r="G42" s="58"/>
      <c r="H42" s="14"/>
      <c r="I42" s="29"/>
      <c r="J42" s="28"/>
      <c r="K42" s="1"/>
      <c r="L42" s="1"/>
    </row>
    <row r="43" spans="1:12" ht="15.75">
      <c r="A43" s="12"/>
      <c r="B43" s="13"/>
      <c r="C43" s="13"/>
      <c r="D43" s="54"/>
      <c r="E43" s="56"/>
      <c r="F43" s="13"/>
      <c r="G43" s="58"/>
      <c r="H43" s="14"/>
      <c r="I43" s="29"/>
      <c r="J43" s="35" t="s">
        <v>11</v>
      </c>
      <c r="K43" s="36" t="s">
        <v>12</v>
      </c>
      <c r="L43" s="60">
        <f>B51+C51</f>
        <v>215990000</v>
      </c>
    </row>
    <row r="44" spans="1:12" ht="15.75">
      <c r="A44" s="12"/>
      <c r="B44" s="13"/>
      <c r="C44" s="13"/>
      <c r="D44" s="54"/>
      <c r="E44" s="56"/>
      <c r="F44" s="13"/>
      <c r="G44" s="58"/>
      <c r="H44" s="14"/>
      <c r="I44" s="29"/>
      <c r="J44" s="39"/>
      <c r="K44" s="40" t="s">
        <v>13</v>
      </c>
      <c r="L44" s="61">
        <v>47869000</v>
      </c>
    </row>
    <row r="45" spans="1:12" ht="15.75">
      <c r="A45" s="12"/>
      <c r="B45" s="13"/>
      <c r="C45" s="13"/>
      <c r="D45" s="54"/>
      <c r="E45" s="56"/>
      <c r="F45" s="13"/>
      <c r="G45" s="58"/>
      <c r="H45" s="14"/>
      <c r="I45" s="38"/>
      <c r="J45" s="39"/>
      <c r="K45" s="40" t="s">
        <v>14</v>
      </c>
      <c r="L45" s="61">
        <v>111825000</v>
      </c>
    </row>
    <row r="46" spans="1:12" ht="15.75">
      <c r="A46" s="12"/>
      <c r="B46" s="13"/>
      <c r="C46" s="13"/>
      <c r="D46" s="54"/>
      <c r="E46" s="56"/>
      <c r="F46" s="13"/>
      <c r="G46" s="58"/>
      <c r="H46" s="14"/>
      <c r="I46" s="29"/>
      <c r="J46" s="39"/>
      <c r="K46" s="40" t="s">
        <v>15</v>
      </c>
      <c r="L46" s="41">
        <v>159694250</v>
      </c>
    </row>
    <row r="47" spans="1:12" ht="15.75">
      <c r="A47" s="49"/>
      <c r="B47" s="50"/>
      <c r="C47" s="50"/>
      <c r="D47" s="54"/>
      <c r="E47" s="56"/>
      <c r="F47" s="50"/>
      <c r="G47" s="58"/>
      <c r="H47" s="51"/>
      <c r="I47" s="29"/>
      <c r="J47" s="39"/>
      <c r="K47" s="42"/>
      <c r="L47" s="37"/>
    </row>
    <row r="48" spans="1:12" ht="18">
      <c r="A48" s="12"/>
      <c r="B48" s="13"/>
      <c r="C48" s="13"/>
      <c r="D48" s="54"/>
      <c r="E48" s="56"/>
      <c r="F48" s="13"/>
      <c r="G48" s="58"/>
      <c r="H48" s="14"/>
      <c r="I48" s="29"/>
      <c r="J48" s="80" t="s">
        <v>412</v>
      </c>
      <c r="K48" s="80"/>
      <c r="L48" s="43">
        <f>L43-L46</f>
        <v>56295750</v>
      </c>
    </row>
    <row r="49" spans="1:12">
      <c r="A49" s="12"/>
      <c r="B49" s="13"/>
      <c r="C49" s="13"/>
      <c r="D49" s="54"/>
      <c r="E49" s="56"/>
      <c r="F49" s="13"/>
      <c r="G49" s="58"/>
      <c r="H49" s="14"/>
      <c r="I49" s="29"/>
      <c r="J49" s="29"/>
      <c r="K49" s="29"/>
      <c r="L49" s="1"/>
    </row>
    <row r="50" spans="1:12">
      <c r="A50" s="12"/>
      <c r="B50" s="13"/>
      <c r="C50" s="13"/>
      <c r="D50" s="54"/>
      <c r="E50" s="56"/>
      <c r="F50" s="13"/>
      <c r="G50" s="58"/>
      <c r="H50" s="14"/>
      <c r="I50" s="1"/>
      <c r="J50" s="1"/>
      <c r="K50" s="1"/>
      <c r="L50" s="1"/>
    </row>
    <row r="51" spans="1:12">
      <c r="A51" s="12"/>
      <c r="B51" s="44">
        <f t="shared" ref="B51:G51" si="15">SUM(B7:B50)</f>
        <v>144715000</v>
      </c>
      <c r="C51" s="44">
        <f t="shared" si="15"/>
        <v>71275000</v>
      </c>
      <c r="D51" s="55">
        <f t="shared" si="15"/>
        <v>215990000</v>
      </c>
      <c r="E51" s="57">
        <f t="shared" si="15"/>
        <v>47869000</v>
      </c>
      <c r="F51" s="53">
        <f t="shared" si="15"/>
        <v>168121000</v>
      </c>
      <c r="G51" s="59">
        <f t="shared" si="15"/>
        <v>23406000</v>
      </c>
      <c r="H51" s="29"/>
      <c r="I51" s="1"/>
      <c r="J51" s="1"/>
      <c r="K51" s="1"/>
      <c r="L51" s="1"/>
    </row>
    <row r="52" spans="1:12">
      <c r="A52" s="1"/>
      <c r="B52" s="1"/>
      <c r="C52" s="1"/>
      <c r="D52" s="45"/>
      <c r="E52" s="1"/>
      <c r="F52" s="1"/>
      <c r="G52" s="1"/>
      <c r="H52" s="29"/>
      <c r="I52" s="1"/>
    </row>
  </sheetData>
  <mergeCells count="8">
    <mergeCell ref="J48:K48"/>
    <mergeCell ref="G5:G6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JANUARI</vt:lpstr>
      <vt:lpstr>FEBRUARI</vt:lpstr>
      <vt:lpstr>MARET</vt:lpstr>
      <vt:lpstr>APRIL</vt:lpstr>
      <vt:lpstr>MEI</vt:lpstr>
      <vt:lpstr>JUNI</vt:lpstr>
      <vt:lpstr>JULI</vt:lpstr>
      <vt:lpstr>AGUST</vt:lpstr>
      <vt:lpstr>SEPT</vt:lpstr>
      <vt:lpstr>OKTOB</vt:lpstr>
      <vt:lpstr>NOV</vt:lpstr>
      <vt:lpstr>DES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2023-12-07T03:49:43Z</dcterms:created>
  <dcterms:modified xsi:type="dcterms:W3CDTF">2025-01-29T02:19:39Z</dcterms:modified>
</cp:coreProperties>
</file>